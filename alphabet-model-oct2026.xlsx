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mad10\AppData\Local\Temp\claude\C--Users-mahmad10-OneDrive---Tufts-Desktop-Projects-Ahmadi-Research-Ahmadi-Research-Data-google-research\01735ad4-03cd-4032-96ef-6b1f209a3961\scratchpad\"/>
    </mc:Choice>
  </mc:AlternateContent>
  <xr:revisionPtr revIDLastSave="0" documentId="13_ncr:1_{431755E9-069D-4A70-B887-8E8C89709BB1}" xr6:coauthVersionLast="47" xr6:coauthVersionMax="47" xr10:uidLastSave="{00000000-0000-0000-0000-000000000000}"/>
  <bookViews>
    <workbookView xWindow="15045" yWindow="-16500" windowWidth="29040" windowHeight="16440" firstSheet="24" activeTab="24" xr2:uid="{00000000-000D-0000-FFFF-FFFF00000000}"/>
  </bookViews>
  <sheets>
    <sheet name="00 Contents" sheetId="1" r:id="rId1"/>
    <sheet name="01 Income Statement" sheetId="2" r:id="rId2"/>
    <sheet name="02 Quarterly" sheetId="3" r:id="rId3"/>
    <sheet name="03 Segments" sheetId="5" r:id="rId4"/>
    <sheet name="04 Balance Sheet" sheetId="6" r:id="rId5"/>
    <sheet name="05 Capital Structure" sheetId="9" r:id="rId6"/>
    <sheet name="06 Core EPS Bridge" sheetId="4" r:id="rId7"/>
    <sheet name="07 Consensus" sheetId="12" r:id="rId8"/>
    <sheet name="08 PPE and Depreciation" sheetId="8" r:id="rId9"/>
    <sheet name="09 Cash Flow" sheetId="7" r:id="rId10"/>
    <sheet name="10 Guidance and Quotes" sheetId="13" r:id="rId11"/>
    <sheet name="11 Valuation" sheetId="10" r:id="rId12"/>
    <sheet name="12 Peers" sheetId="11" r:id="rId13"/>
    <sheet name="13 EPIC Ranking" sheetId="14" r:id="rId14"/>
    <sheet name="14 Model Cover" sheetId="21" r:id="rId15"/>
    <sheet name="15 Assumptions" sheetId="22" r:id="rId16"/>
    <sheet name="16 Scenarios" sheetId="23" r:id="rId17"/>
    <sheet name="DCF Base Drivers" sheetId="34" state="hidden" r:id="rId18"/>
    <sheet name="DCF Best Drivers" sheetId="36" state="hidden" r:id="rId19"/>
    <sheet name="DCF Worst Drivers" sheetId="38" state="hidden" r:id="rId20"/>
    <sheet name="17 Model" sheetId="24" r:id="rId21"/>
    <sheet name="DCF Base Model" sheetId="35" state="hidden" r:id="rId22"/>
    <sheet name="DCF Best Model" sheetId="37" state="hidden" r:id="rId23"/>
    <sheet name="DCF Worst Model" sheetId="39" state="hidden" r:id="rId24"/>
    <sheet name="18 Balance Sheet" sheetId="41" r:id="rId25"/>
    <sheet name="19 Model Summary" sheetId="25" r:id="rId26"/>
    <sheet name="20 DCF Valuation" sheetId="40" r:id="rId27"/>
    <sheet name="21 Reverse DCF" sheetId="42" r:id="rId28"/>
    <sheet name="22 Earnings Quality" sheetId="30" r:id="rId29"/>
    <sheet name="23 Growth and Mix" sheetId="31" r:id="rId30"/>
    <sheet name="24 Cash and Margins" sheetId="32" r:id="rId31"/>
    <sheet name="25 Peers and Priorities" sheetId="33" r:id="rId32"/>
    <sheet name="26 Pack Audit" sheetId="16" r:id="rId33"/>
    <sheet name="27 Model Audit" sheetId="26" r:id="rId34"/>
    <sheet name="28 Sources" sheetId="15" r:id="rId35"/>
    <sheet name="29 Change Log" sheetId="17" r:id="rId36"/>
  </sheets>
  <definedNames>
    <definedName name="_xlnm._FilterDatabase" localSheetId="34" hidden="1">'28 Sources'!$B$5:$I$210</definedName>
    <definedName name="_xlnm.Print_Area" localSheetId="0">'00 Contents'!$B$2:$C$49</definedName>
    <definedName name="_xlnm.Print_Area" localSheetId="1">'01 Income Statement'!$B$2:$J$27</definedName>
    <definedName name="_xlnm.Print_Area" localSheetId="2">'02 Quarterly'!$B$2:$J$44</definedName>
    <definedName name="_xlnm.Print_Area" localSheetId="3">'03 Segments'!$B$2:$J$46</definedName>
    <definedName name="_xlnm.Print_Area" localSheetId="4">'04 Balance Sheet'!$B$2:$J$30</definedName>
    <definedName name="_xlnm.Print_Area" localSheetId="5">'05 Capital Structure'!$B$2:$E$36</definedName>
    <definedName name="_xlnm.Print_Area" localSheetId="6">'06 Core EPS Bridge'!$B$2:$K$29</definedName>
    <definedName name="_xlnm.Print_Area" localSheetId="7">'07 Consensus'!$B$2:$E$61</definedName>
    <definedName name="_xlnm.Print_Area" localSheetId="8">'08 PPE and Depreciation'!$B$2:$F$43</definedName>
    <definedName name="_xlnm.Print_Area" localSheetId="9">'09 Cash Flow'!$B$2:$G$33</definedName>
    <definedName name="_xlnm.Print_Area" localSheetId="10">'10 Guidance and Quotes'!$B$2:$C$32</definedName>
    <definedName name="_xlnm.Print_Area" localSheetId="11">'11 Valuation'!$B$2:$E$68</definedName>
    <definedName name="_xlnm.Print_Area" localSheetId="12">'12 Peers'!$B$2:$L$27</definedName>
    <definedName name="_xlnm.Print_Area" localSheetId="13">'13 EPIC Ranking'!$B$2:$H$27</definedName>
    <definedName name="_xlnm.Print_Area" localSheetId="15">'15 Assumptions'!$B$2:$H$70</definedName>
    <definedName name="_xlnm.Print_Area" localSheetId="24">'18 Balance Sheet'!$B$2:$I$61</definedName>
    <definedName name="_xlnm.Print_Area" localSheetId="26">'20 DCF Valuation'!$B$2:$N$61</definedName>
    <definedName name="_xlnm.Print_Area" localSheetId="28">'22 Earnings Quality'!$B$2:$I$31</definedName>
    <definedName name="_xlnm.Print_Area" localSheetId="29">'23 Growth and Mix'!$B$2:$I$31</definedName>
    <definedName name="_xlnm.Print_Area" localSheetId="30">'24 Cash and Margins'!$B$2:$I$47</definedName>
    <definedName name="_xlnm.Print_Area" localSheetId="31">'25 Peers and Priorities'!$B$2:$I$40</definedName>
    <definedName name="_xlnm.Print_Area" localSheetId="32">'26 Pack Audit'!$B$2:$F$31</definedName>
    <definedName name="_xlnm.Print_Area" localSheetId="34">'28 Sources'!$B$2:$I$232</definedName>
    <definedName name="_xlnm.Print_Area" localSheetId="35">'29 Change Log'!$B$2:$C$306</definedName>
    <definedName name="_xlnm.Print_Titles" localSheetId="0">'00 Contents'!$2:$3</definedName>
    <definedName name="_xlnm.Print_Titles" localSheetId="1">'01 Income Statement'!$2:$5</definedName>
    <definedName name="_xlnm.Print_Titles" localSheetId="2">'02 Quarterly'!$2:$5</definedName>
    <definedName name="_xlnm.Print_Titles" localSheetId="3">'03 Segments'!$2:$5</definedName>
    <definedName name="_xlnm.Print_Titles" localSheetId="4">'04 Balance Sheet'!$2:$5</definedName>
    <definedName name="_xlnm.Print_Titles" localSheetId="5">'05 Capital Structure'!$2:$5</definedName>
    <definedName name="_xlnm.Print_Titles" localSheetId="6">'06 Core EPS Bridge'!$2:$5</definedName>
    <definedName name="_xlnm.Print_Titles" localSheetId="7">'07 Consensus'!$2:$5</definedName>
    <definedName name="_xlnm.Print_Titles" localSheetId="8">'08 PPE and Depreciation'!$2:$5</definedName>
    <definedName name="_xlnm.Print_Titles" localSheetId="9">'09 Cash Flow'!$2:$5</definedName>
    <definedName name="_xlnm.Print_Titles" localSheetId="10">'10 Guidance and Quotes'!$2:$3</definedName>
    <definedName name="_xlnm.Print_Titles" localSheetId="11">'11 Valuation'!$2:$5</definedName>
    <definedName name="_xlnm.Print_Titles" localSheetId="12">'12 Peers'!$2:$5</definedName>
    <definedName name="_xlnm.Print_Titles" localSheetId="13">'13 EPIC Ranking'!$2:$5</definedName>
    <definedName name="_xlnm.Print_Titles" localSheetId="28">'22 Earnings Quality'!$2:$5</definedName>
    <definedName name="_xlnm.Print_Titles" localSheetId="29">'23 Growth and Mix'!$2:$5</definedName>
    <definedName name="_xlnm.Print_Titles" localSheetId="30">'24 Cash and Margins'!$2:$5</definedName>
    <definedName name="_xlnm.Print_Titles" localSheetId="31">'25 Peers and Priorities'!$2:$5</definedName>
    <definedName name="_xlnm.Print_Titles" localSheetId="32">'26 Pack Audit'!$2:$5</definedName>
    <definedName name="_xlnm.Print_Titles" localSheetId="34">'28 Sources'!$2:$3</definedName>
    <definedName name="_xlnm.Print_Titles" localSheetId="35">'29 Change Log'!$2:$3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0" l="1"/>
  <c r="D13" i="10"/>
  <c r="D83" i="12"/>
  <c r="C83" i="12"/>
  <c r="B43" i="12"/>
  <c r="D19" i="33"/>
  <c r="D18" i="33"/>
  <c r="Q6" i="31"/>
  <c r="T7" i="31"/>
  <c r="T8" i="31"/>
  <c r="T9" i="31"/>
  <c r="T10" i="31"/>
  <c r="T11" i="31"/>
  <c r="T12" i="31"/>
  <c r="T13" i="31"/>
  <c r="Q14" i="31"/>
  <c r="Q6" i="30"/>
  <c r="T7" i="30"/>
  <c r="Q8" i="30"/>
  <c r="T9" i="30"/>
  <c r="Q10" i="30"/>
  <c r="I6" i="32"/>
  <c r="I7" i="32"/>
  <c r="I8" i="32"/>
  <c r="I9" i="32"/>
  <c r="I10" i="32"/>
  <c r="I11" i="32"/>
  <c r="I12" i="32"/>
  <c r="I13" i="32"/>
  <c r="I14" i="32"/>
  <c r="I6" i="30"/>
  <c r="I7" i="30"/>
  <c r="I8" i="30"/>
  <c r="I9" i="30"/>
  <c r="I10" i="30"/>
  <c r="I11" i="30"/>
  <c r="I12" i="30"/>
  <c r="I13" i="30"/>
  <c r="I14" i="30"/>
  <c r="C74" i="10"/>
  <c r="C110" i="10"/>
  <c r="D110" i="10" s="1"/>
  <c r="D107" i="10"/>
  <c r="D106" i="10"/>
  <c r="D105" i="10"/>
  <c r="D104" i="10"/>
  <c r="C76" i="10"/>
  <c r="C75" i="10"/>
  <c r="G37" i="11"/>
  <c r="H37" i="11" s="1"/>
  <c r="E37" i="11"/>
  <c r="G36" i="11"/>
  <c r="H36" i="11" s="1"/>
  <c r="E36" i="11"/>
  <c r="G35" i="11"/>
  <c r="H35" i="11" s="1"/>
  <c r="E35" i="11"/>
  <c r="G34" i="11"/>
  <c r="H34" i="11" s="1"/>
  <c r="E34" i="11"/>
  <c r="G33" i="11"/>
  <c r="H33" i="11" s="1"/>
  <c r="E33" i="11"/>
  <c r="F6" i="11"/>
  <c r="C73" i="12"/>
  <c r="F20" i="11"/>
  <c r="G20" i="11" s="1"/>
  <c r="F19" i="11"/>
  <c r="G19" i="11" s="1"/>
  <c r="F18" i="11"/>
  <c r="G18" i="11" s="1"/>
  <c r="F17" i="11"/>
  <c r="G17" i="11" s="1"/>
  <c r="F16" i="11"/>
  <c r="G16" i="11" s="1"/>
  <c r="C15" i="10"/>
  <c r="B20" i="4"/>
  <c r="B19" i="4"/>
  <c r="B224" i="15"/>
  <c r="B51" i="1"/>
  <c r="D85" i="26"/>
  <c r="E33" i="42"/>
  <c r="E32" i="42"/>
  <c r="E31" i="42"/>
  <c r="E30" i="42"/>
  <c r="E29" i="42"/>
  <c r="E28" i="42"/>
  <c r="E27" i="42"/>
  <c r="E26" i="42"/>
  <c r="F22" i="42"/>
  <c r="F21" i="42"/>
  <c r="F20" i="42"/>
  <c r="F19" i="42"/>
  <c r="F18" i="42"/>
  <c r="F17" i="42"/>
  <c r="C11" i="42"/>
  <c r="E11" i="42" s="1"/>
  <c r="C10" i="42"/>
  <c r="E10" i="42" s="1"/>
  <c r="C9" i="42"/>
  <c r="E9" i="42" s="1"/>
  <c r="E84" i="26"/>
  <c r="D84" i="26"/>
  <c r="F84" i="26" s="1"/>
  <c r="E83" i="26"/>
  <c r="D83" i="26"/>
  <c r="E27" i="40"/>
  <c r="D27" i="40"/>
  <c r="C27" i="40"/>
  <c r="G51" i="6"/>
  <c r="B53" i="6" s="1"/>
  <c r="E51" i="6"/>
  <c r="G48" i="6"/>
  <c r="I10" i="40"/>
  <c r="C131" i="22"/>
  <c r="E79" i="26"/>
  <c r="P124" i="39"/>
  <c r="O124" i="39"/>
  <c r="N124" i="39"/>
  <c r="M124" i="39"/>
  <c r="L124" i="39"/>
  <c r="P117" i="39"/>
  <c r="O117" i="39"/>
  <c r="N117" i="39"/>
  <c r="M117" i="39"/>
  <c r="L117" i="39"/>
  <c r="J117" i="39"/>
  <c r="I117" i="39"/>
  <c r="H117" i="39"/>
  <c r="G25" i="38"/>
  <c r="E93" i="22" s="1"/>
  <c r="F25" i="38"/>
  <c r="E25" i="38"/>
  <c r="D25" i="38"/>
  <c r="C25" i="38"/>
  <c r="C37" i="38"/>
  <c r="C36" i="38"/>
  <c r="C35" i="38"/>
  <c r="P124" i="37"/>
  <c r="O124" i="37"/>
  <c r="N124" i="37"/>
  <c r="M124" i="37"/>
  <c r="L124" i="37"/>
  <c r="P117" i="37"/>
  <c r="O117" i="37"/>
  <c r="N117" i="37"/>
  <c r="M117" i="37"/>
  <c r="L117" i="37"/>
  <c r="J117" i="37"/>
  <c r="I117" i="37"/>
  <c r="H117" i="37"/>
  <c r="G25" i="36"/>
  <c r="D93" i="22" s="1"/>
  <c r="F25" i="36"/>
  <c r="E25" i="36"/>
  <c r="D25" i="36"/>
  <c r="C25" i="36"/>
  <c r="C37" i="36"/>
  <c r="C36" i="36"/>
  <c r="C35" i="36"/>
  <c r="P124" i="35"/>
  <c r="O124" i="35"/>
  <c r="N124" i="35"/>
  <c r="M124" i="35"/>
  <c r="L124" i="35"/>
  <c r="P117" i="35"/>
  <c r="O117" i="35"/>
  <c r="N117" i="35"/>
  <c r="M117" i="35"/>
  <c r="L117" i="35"/>
  <c r="J117" i="35"/>
  <c r="I117" i="35"/>
  <c r="H117" i="35"/>
  <c r="G25" i="34"/>
  <c r="C93" i="22" s="1"/>
  <c r="F25" i="34"/>
  <c r="E25" i="34"/>
  <c r="D25" i="34"/>
  <c r="C25" i="34"/>
  <c r="C37" i="34"/>
  <c r="C36" i="34"/>
  <c r="C35" i="34"/>
  <c r="P124" i="24"/>
  <c r="O124" i="24"/>
  <c r="N124" i="24"/>
  <c r="M124" i="24"/>
  <c r="L124" i="24"/>
  <c r="P117" i="24"/>
  <c r="O117" i="24"/>
  <c r="N117" i="24"/>
  <c r="M117" i="24"/>
  <c r="L117" i="24"/>
  <c r="J117" i="24"/>
  <c r="I117" i="24"/>
  <c r="H117" i="24"/>
  <c r="G25" i="23"/>
  <c r="D79" i="26" s="1"/>
  <c r="F25" i="23"/>
  <c r="E25" i="23"/>
  <c r="D25" i="23"/>
  <c r="C25" i="23"/>
  <c r="E32" i="26" s="1"/>
  <c r="C37" i="23"/>
  <c r="C36" i="23"/>
  <c r="C35" i="23"/>
  <c r="C124" i="22"/>
  <c r="E87" i="26"/>
  <c r="B46" i="5"/>
  <c r="P113" i="39"/>
  <c r="O113" i="39"/>
  <c r="N113" i="39"/>
  <c r="M113" i="39"/>
  <c r="L113" i="39"/>
  <c r="K113" i="39"/>
  <c r="J113" i="39"/>
  <c r="I113" i="39"/>
  <c r="H113" i="39"/>
  <c r="O109" i="39"/>
  <c r="P113" i="37"/>
  <c r="O113" i="37"/>
  <c r="N113" i="37"/>
  <c r="M113" i="37"/>
  <c r="L113" i="37"/>
  <c r="K113" i="37"/>
  <c r="J113" i="37"/>
  <c r="I113" i="37"/>
  <c r="H113" i="37"/>
  <c r="O109" i="37"/>
  <c r="P113" i="35"/>
  <c r="O113" i="35"/>
  <c r="N113" i="35"/>
  <c r="M113" i="35"/>
  <c r="L113" i="35"/>
  <c r="K113" i="35"/>
  <c r="J113" i="35"/>
  <c r="I113" i="35"/>
  <c r="H113" i="35"/>
  <c r="O109" i="35"/>
  <c r="P113" i="24"/>
  <c r="O113" i="24"/>
  <c r="N113" i="24"/>
  <c r="M113" i="24"/>
  <c r="L113" i="24"/>
  <c r="K113" i="24"/>
  <c r="J113" i="24"/>
  <c r="I113" i="24"/>
  <c r="H113" i="24"/>
  <c r="O109" i="24"/>
  <c r="E98" i="22"/>
  <c r="D98" i="22"/>
  <c r="C98" i="22"/>
  <c r="E97" i="22"/>
  <c r="E97" i="10" s="1"/>
  <c r="D97" i="22"/>
  <c r="D97" i="10" s="1"/>
  <c r="C97" i="22"/>
  <c r="C97" i="10" s="1"/>
  <c r="E96" i="22"/>
  <c r="D96" i="22"/>
  <c r="C96" i="22"/>
  <c r="I34" i="4"/>
  <c r="H34" i="4"/>
  <c r="G34" i="4"/>
  <c r="F34" i="4"/>
  <c r="E34" i="4"/>
  <c r="D34" i="4"/>
  <c r="C34" i="4"/>
  <c r="I33" i="4"/>
  <c r="H33" i="4"/>
  <c r="G33" i="4"/>
  <c r="F33" i="4"/>
  <c r="E33" i="4"/>
  <c r="D33" i="4"/>
  <c r="C33" i="4"/>
  <c r="J32" i="4"/>
  <c r="I32" i="4"/>
  <c r="H32" i="4"/>
  <c r="G32" i="4"/>
  <c r="F32" i="4"/>
  <c r="E32" i="4"/>
  <c r="D32" i="4"/>
  <c r="C32" i="4"/>
  <c r="G36" i="6"/>
  <c r="E36" i="6"/>
  <c r="G48" i="26"/>
  <c r="B42" i="40"/>
  <c r="E31" i="23"/>
  <c r="B12" i="23"/>
  <c r="H29" i="22"/>
  <c r="B26" i="11"/>
  <c r="B30" i="7"/>
  <c r="B40" i="8"/>
  <c r="D27" i="8"/>
  <c r="B24" i="4"/>
  <c r="B30" i="6"/>
  <c r="B26" i="6"/>
  <c r="B25" i="6"/>
  <c r="B45" i="5"/>
  <c r="B26" i="2"/>
  <c r="B25" i="2"/>
  <c r="H19" i="2"/>
  <c r="B48" i="1"/>
  <c r="D12" i="12"/>
  <c r="D8" i="12"/>
  <c r="C38" i="41"/>
  <c r="D35" i="41" s="1"/>
  <c r="C8" i="22"/>
  <c r="E12" i="16"/>
  <c r="G20" i="2"/>
  <c r="J11" i="4"/>
  <c r="I11" i="4"/>
  <c r="E66" i="26"/>
  <c r="E65" i="26"/>
  <c r="H27" i="40"/>
  <c r="H26" i="40"/>
  <c r="C27" i="38"/>
  <c r="G24" i="38"/>
  <c r="F24" i="38"/>
  <c r="E24" i="38"/>
  <c r="D24" i="38"/>
  <c r="C27" i="36"/>
  <c r="G24" i="36"/>
  <c r="F24" i="36"/>
  <c r="E24" i="36"/>
  <c r="D24" i="36"/>
  <c r="C27" i="34"/>
  <c r="G24" i="34"/>
  <c r="F24" i="34"/>
  <c r="E24" i="34"/>
  <c r="D24" i="34"/>
  <c r="C27" i="23"/>
  <c r="U96" i="24" s="1"/>
  <c r="G24" i="23"/>
  <c r="F24" i="23"/>
  <c r="E24" i="23"/>
  <c r="D24" i="23"/>
  <c r="E61" i="26"/>
  <c r="D45" i="40"/>
  <c r="F45" i="40" s="1"/>
  <c r="D46" i="40"/>
  <c r="F46" i="40" s="1"/>
  <c r="D47" i="40"/>
  <c r="F47" i="40" s="1"/>
  <c r="D55" i="40"/>
  <c r="F55" i="40" s="1"/>
  <c r="D59" i="41"/>
  <c r="D44" i="41"/>
  <c r="D32" i="41"/>
  <c r="D37" i="41" s="1"/>
  <c r="E32" i="41"/>
  <c r="E37" i="41" s="1"/>
  <c r="F32" i="41"/>
  <c r="F37" i="41" s="1"/>
  <c r="G32" i="41"/>
  <c r="G37" i="41" s="1"/>
  <c r="H32" i="41"/>
  <c r="H37" i="41" s="1"/>
  <c r="D31" i="41"/>
  <c r="D36" i="41" s="1"/>
  <c r="E31" i="41"/>
  <c r="E36" i="41" s="1"/>
  <c r="F31" i="41"/>
  <c r="F36" i="41" s="1"/>
  <c r="G31" i="41"/>
  <c r="G36" i="41" s="1"/>
  <c r="H31" i="41"/>
  <c r="H36" i="41" s="1"/>
  <c r="D30" i="41"/>
  <c r="D47" i="41" s="1"/>
  <c r="E30" i="41"/>
  <c r="E47" i="41" s="1"/>
  <c r="F30" i="41"/>
  <c r="F47" i="41" s="1"/>
  <c r="G30" i="41"/>
  <c r="G47" i="41" s="1"/>
  <c r="H30" i="41"/>
  <c r="H47" i="41" s="1"/>
  <c r="C18" i="41"/>
  <c r="C19" i="41"/>
  <c r="C20" i="41"/>
  <c r="C21" i="41"/>
  <c r="C22" i="41"/>
  <c r="C9" i="41"/>
  <c r="C11" i="41"/>
  <c r="C12" i="41"/>
  <c r="C13" i="41"/>
  <c r="C14" i="41"/>
  <c r="C15" i="41"/>
  <c r="F68" i="22"/>
  <c r="C66" i="22"/>
  <c r="C67" i="22"/>
  <c r="B229" i="15"/>
  <c r="B223" i="15"/>
  <c r="B222" i="15"/>
  <c r="B221" i="15"/>
  <c r="B220" i="15"/>
  <c r="B219" i="15"/>
  <c r="B218" i="15"/>
  <c r="B216" i="15"/>
  <c r="C67" i="10"/>
  <c r="H22" i="40"/>
  <c r="H23" i="40"/>
  <c r="H24" i="40"/>
  <c r="B3" i="42" s="1"/>
  <c r="H8" i="40"/>
  <c r="H9" i="40"/>
  <c r="H12" i="40"/>
  <c r="H16" i="40"/>
  <c r="H10" i="39"/>
  <c r="I10" i="39"/>
  <c r="J10" i="39"/>
  <c r="K10" i="39"/>
  <c r="H11" i="39"/>
  <c r="I11" i="39"/>
  <c r="J11" i="39"/>
  <c r="K11" i="39"/>
  <c r="H12" i="39"/>
  <c r="I12" i="39"/>
  <c r="J12" i="39"/>
  <c r="K12" i="39"/>
  <c r="H13" i="39"/>
  <c r="I13" i="39"/>
  <c r="J13" i="39"/>
  <c r="K13" i="39"/>
  <c r="H14" i="39"/>
  <c r="I14" i="39"/>
  <c r="J14" i="39"/>
  <c r="K14" i="39"/>
  <c r="H15" i="39"/>
  <c r="I15" i="39"/>
  <c r="J15" i="39"/>
  <c r="K15" i="39"/>
  <c r="H16" i="39"/>
  <c r="I16" i="39"/>
  <c r="J16" i="39"/>
  <c r="K16" i="39"/>
  <c r="L16" i="39"/>
  <c r="M16" i="39"/>
  <c r="N16" i="39"/>
  <c r="O16" i="39"/>
  <c r="P16" i="39"/>
  <c r="L27" i="39"/>
  <c r="M27" i="39"/>
  <c r="N27" i="39"/>
  <c r="O27" i="39"/>
  <c r="P27" i="39"/>
  <c r="H28" i="39"/>
  <c r="I28" i="39"/>
  <c r="J28" i="39"/>
  <c r="K28" i="39"/>
  <c r="L28" i="39"/>
  <c r="M28" i="39"/>
  <c r="N28" i="39"/>
  <c r="O28" i="39"/>
  <c r="P28" i="39"/>
  <c r="H29" i="39"/>
  <c r="I29" i="39"/>
  <c r="I27" i="39" s="1"/>
  <c r="J29" i="39"/>
  <c r="J27" i="39" s="1"/>
  <c r="H32" i="39"/>
  <c r="H45" i="39" s="1"/>
  <c r="I32" i="39"/>
  <c r="I45" i="39" s="1"/>
  <c r="J32" i="39"/>
  <c r="J45" i="39" s="1"/>
  <c r="L35" i="39"/>
  <c r="M35" i="39"/>
  <c r="N35" i="39"/>
  <c r="O35" i="39"/>
  <c r="P35" i="39"/>
  <c r="H37" i="39"/>
  <c r="I37" i="39"/>
  <c r="J37" i="39"/>
  <c r="K43" i="39"/>
  <c r="L55" i="39"/>
  <c r="M55" i="39"/>
  <c r="N55" i="39"/>
  <c r="O55" i="39"/>
  <c r="P55" i="39"/>
  <c r="H64" i="39"/>
  <c r="I64" i="39"/>
  <c r="J64" i="39"/>
  <c r="H70" i="39"/>
  <c r="I70" i="39"/>
  <c r="J70" i="39"/>
  <c r="H71" i="39"/>
  <c r="I71" i="39"/>
  <c r="J71" i="39"/>
  <c r="K72" i="39"/>
  <c r="H74" i="39"/>
  <c r="I74" i="39"/>
  <c r="J74" i="39"/>
  <c r="H75" i="39"/>
  <c r="I75" i="39"/>
  <c r="J75" i="39"/>
  <c r="H81" i="39"/>
  <c r="I81" i="39"/>
  <c r="J81" i="39"/>
  <c r="K81" i="39"/>
  <c r="L81" i="39"/>
  <c r="M81" i="39"/>
  <c r="N81" i="39"/>
  <c r="O81" i="39"/>
  <c r="P81" i="39"/>
  <c r="C28" i="38"/>
  <c r="G26" i="38"/>
  <c r="F26" i="38"/>
  <c r="E26" i="38"/>
  <c r="D26" i="38"/>
  <c r="C26" i="38"/>
  <c r="G23" i="38"/>
  <c r="F23" i="38"/>
  <c r="E23" i="38"/>
  <c r="D23" i="38"/>
  <c r="C23" i="38"/>
  <c r="C22" i="38"/>
  <c r="G21" i="38"/>
  <c r="F21" i="38"/>
  <c r="E21" i="38"/>
  <c r="D21" i="38"/>
  <c r="C21" i="38"/>
  <c r="G20" i="38"/>
  <c r="F20" i="38"/>
  <c r="E20" i="38"/>
  <c r="D20" i="38"/>
  <c r="C20" i="38"/>
  <c r="G19" i="38"/>
  <c r="F19" i="38"/>
  <c r="E19" i="38"/>
  <c r="D19" i="38"/>
  <c r="C19" i="38"/>
  <c r="G18" i="38"/>
  <c r="F18" i="38"/>
  <c r="E18" i="38"/>
  <c r="D18" i="38"/>
  <c r="C18" i="38"/>
  <c r="F6" i="38"/>
  <c r="O1" i="39" s="1"/>
  <c r="H10" i="37"/>
  <c r="I10" i="37"/>
  <c r="J10" i="37"/>
  <c r="K10" i="37"/>
  <c r="H11" i="37"/>
  <c r="I11" i="37"/>
  <c r="J11" i="37"/>
  <c r="K11" i="37"/>
  <c r="H12" i="37"/>
  <c r="I12" i="37"/>
  <c r="J12" i="37"/>
  <c r="K12" i="37"/>
  <c r="H13" i="37"/>
  <c r="I13" i="37"/>
  <c r="J13" i="37"/>
  <c r="K13" i="37"/>
  <c r="H14" i="37"/>
  <c r="I14" i="37"/>
  <c r="J14" i="37"/>
  <c r="K14" i="37"/>
  <c r="H15" i="37"/>
  <c r="I15" i="37"/>
  <c r="J15" i="37"/>
  <c r="K15" i="37"/>
  <c r="H16" i="37"/>
  <c r="I16" i="37"/>
  <c r="J16" i="37"/>
  <c r="K16" i="37"/>
  <c r="L16" i="37"/>
  <c r="M16" i="37"/>
  <c r="N16" i="37"/>
  <c r="O16" i="37"/>
  <c r="P16" i="37"/>
  <c r="L27" i="37"/>
  <c r="M27" i="37"/>
  <c r="N27" i="37"/>
  <c r="O27" i="37"/>
  <c r="P27" i="37"/>
  <c r="H28" i="37"/>
  <c r="I28" i="37"/>
  <c r="J28" i="37"/>
  <c r="K28" i="37"/>
  <c r="L28" i="37"/>
  <c r="M28" i="37"/>
  <c r="N28" i="37"/>
  <c r="O28" i="37"/>
  <c r="P28" i="37"/>
  <c r="H29" i="37"/>
  <c r="I29" i="37"/>
  <c r="J29" i="37"/>
  <c r="J27" i="37" s="1"/>
  <c r="H32" i="37"/>
  <c r="H45" i="37" s="1"/>
  <c r="I32" i="37"/>
  <c r="I45" i="37" s="1"/>
  <c r="J32" i="37"/>
  <c r="L35" i="37"/>
  <c r="M35" i="37"/>
  <c r="N35" i="37"/>
  <c r="O35" i="37"/>
  <c r="P35" i="37"/>
  <c r="H37" i="37"/>
  <c r="I37" i="37"/>
  <c r="J37" i="37"/>
  <c r="K43" i="37"/>
  <c r="L55" i="37"/>
  <c r="M55" i="37"/>
  <c r="N55" i="37"/>
  <c r="O55" i="37"/>
  <c r="P55" i="37"/>
  <c r="H64" i="37"/>
  <c r="H70" i="37" s="1"/>
  <c r="I64" i="37"/>
  <c r="I70" i="37" s="1"/>
  <c r="J64" i="37"/>
  <c r="J70" i="37"/>
  <c r="H71" i="37"/>
  <c r="I71" i="37"/>
  <c r="J71" i="37"/>
  <c r="K72" i="37"/>
  <c r="H74" i="37"/>
  <c r="I74" i="37"/>
  <c r="J74" i="37"/>
  <c r="H75" i="37"/>
  <c r="I75" i="37"/>
  <c r="J75" i="37"/>
  <c r="H76" i="37"/>
  <c r="H81" i="37"/>
  <c r="I81" i="37"/>
  <c r="J81" i="37"/>
  <c r="K81" i="37"/>
  <c r="L81" i="37"/>
  <c r="M81" i="37"/>
  <c r="N81" i="37"/>
  <c r="O81" i="37"/>
  <c r="P81" i="37"/>
  <c r="C28" i="36"/>
  <c r="G26" i="36"/>
  <c r="F26" i="36"/>
  <c r="E26" i="36"/>
  <c r="D26" i="36"/>
  <c r="C26" i="36"/>
  <c r="G23" i="36"/>
  <c r="F23" i="36"/>
  <c r="E23" i="36"/>
  <c r="D23" i="36"/>
  <c r="C23" i="36"/>
  <c r="C22" i="36"/>
  <c r="G21" i="36"/>
  <c r="F21" i="36"/>
  <c r="E21" i="36"/>
  <c r="D21" i="36"/>
  <c r="C21" i="36"/>
  <c r="G20" i="36"/>
  <c r="F20" i="36"/>
  <c r="E20" i="36"/>
  <c r="D20" i="36"/>
  <c r="C20" i="36"/>
  <c r="G19" i="36"/>
  <c r="F19" i="36"/>
  <c r="E19" i="36"/>
  <c r="D19" i="36"/>
  <c r="C19" i="36"/>
  <c r="G18" i="36"/>
  <c r="F18" i="36"/>
  <c r="E18" i="36"/>
  <c r="D18" i="36"/>
  <c r="C18" i="36"/>
  <c r="F6" i="36"/>
  <c r="O1" i="37" s="1"/>
  <c r="H10" i="35"/>
  <c r="I10" i="35"/>
  <c r="J10" i="35"/>
  <c r="K10" i="35"/>
  <c r="H11" i="35"/>
  <c r="I11" i="35"/>
  <c r="J11" i="35"/>
  <c r="K11" i="35"/>
  <c r="H12" i="35"/>
  <c r="I12" i="35"/>
  <c r="J12" i="35"/>
  <c r="K12" i="35"/>
  <c r="H13" i="35"/>
  <c r="I13" i="35"/>
  <c r="J13" i="35"/>
  <c r="K13" i="35"/>
  <c r="H14" i="35"/>
  <c r="I14" i="35"/>
  <c r="J14" i="35"/>
  <c r="K14" i="35"/>
  <c r="H15" i="35"/>
  <c r="I15" i="35"/>
  <c r="J15" i="35"/>
  <c r="K15" i="35"/>
  <c r="H16" i="35"/>
  <c r="I16" i="35"/>
  <c r="J16" i="35"/>
  <c r="K16" i="35"/>
  <c r="L16" i="35"/>
  <c r="M16" i="35"/>
  <c r="N16" i="35"/>
  <c r="O16" i="35"/>
  <c r="P16" i="35"/>
  <c r="L27" i="35"/>
  <c r="M27" i="35"/>
  <c r="N27" i="35"/>
  <c r="O27" i="35"/>
  <c r="P27" i="35"/>
  <c r="H28" i="35"/>
  <c r="I28" i="35"/>
  <c r="J28" i="35"/>
  <c r="K28" i="35"/>
  <c r="L28" i="35"/>
  <c r="M28" i="35"/>
  <c r="N28" i="35"/>
  <c r="O28" i="35"/>
  <c r="P28" i="35"/>
  <c r="H29" i="35"/>
  <c r="I29" i="35"/>
  <c r="J29" i="35"/>
  <c r="H32" i="35"/>
  <c r="I32" i="35"/>
  <c r="J32" i="35"/>
  <c r="L35" i="35"/>
  <c r="M35" i="35"/>
  <c r="N35" i="35"/>
  <c r="O35" i="35"/>
  <c r="P35" i="35"/>
  <c r="H37" i="35"/>
  <c r="I37" i="35"/>
  <c r="J37" i="35"/>
  <c r="K43" i="35"/>
  <c r="L55" i="35"/>
  <c r="M55" i="35"/>
  <c r="N55" i="35"/>
  <c r="O55" i="35"/>
  <c r="P55" i="35"/>
  <c r="H64" i="35"/>
  <c r="H70" i="35" s="1"/>
  <c r="I64" i="35"/>
  <c r="I70" i="35" s="1"/>
  <c r="J64" i="35"/>
  <c r="J70" i="35"/>
  <c r="H71" i="35"/>
  <c r="I71" i="35"/>
  <c r="J71" i="35"/>
  <c r="K72" i="35"/>
  <c r="H74" i="35"/>
  <c r="I74" i="35"/>
  <c r="J74" i="35"/>
  <c r="H75" i="35"/>
  <c r="I75" i="35"/>
  <c r="J75" i="35"/>
  <c r="H81" i="35"/>
  <c r="I81" i="35"/>
  <c r="J81" i="35"/>
  <c r="K81" i="35"/>
  <c r="L81" i="35"/>
  <c r="M81" i="35"/>
  <c r="N81" i="35"/>
  <c r="O81" i="35"/>
  <c r="P81" i="35"/>
  <c r="C28" i="34"/>
  <c r="G26" i="34"/>
  <c r="F26" i="34"/>
  <c r="E26" i="34"/>
  <c r="D26" i="34"/>
  <c r="C26" i="34"/>
  <c r="G23" i="34"/>
  <c r="F23" i="34"/>
  <c r="E23" i="34"/>
  <c r="D23" i="34"/>
  <c r="C23" i="34"/>
  <c r="C22" i="34"/>
  <c r="G21" i="34"/>
  <c r="F21" i="34"/>
  <c r="E21" i="34"/>
  <c r="D21" i="34"/>
  <c r="C21" i="34"/>
  <c r="G20" i="34"/>
  <c r="F20" i="34"/>
  <c r="E20" i="34"/>
  <c r="D20" i="34"/>
  <c r="C20" i="34"/>
  <c r="G19" i="34"/>
  <c r="F19" i="34"/>
  <c r="E19" i="34"/>
  <c r="D19" i="34"/>
  <c r="C19" i="34"/>
  <c r="G18" i="34"/>
  <c r="F18" i="34"/>
  <c r="E18" i="34"/>
  <c r="D18" i="34"/>
  <c r="C18" i="34"/>
  <c r="F6" i="34"/>
  <c r="O1" i="35" s="1"/>
  <c r="B215" i="15"/>
  <c r="B214" i="15"/>
  <c r="B213" i="15"/>
  <c r="B212" i="15"/>
  <c r="B211" i="15"/>
  <c r="C63" i="10"/>
  <c r="D22" i="33"/>
  <c r="D21" i="33"/>
  <c r="D20" i="33"/>
  <c r="D17" i="33"/>
  <c r="D16" i="33"/>
  <c r="D15" i="33"/>
  <c r="G11" i="33"/>
  <c r="F11" i="33"/>
  <c r="E11" i="33"/>
  <c r="D11" i="33"/>
  <c r="C11" i="33"/>
  <c r="H11" i="33" s="1"/>
  <c r="G10" i="33"/>
  <c r="F10" i="33"/>
  <c r="E10" i="33"/>
  <c r="D10" i="33"/>
  <c r="C10" i="33"/>
  <c r="H10" i="33" s="1"/>
  <c r="G9" i="33"/>
  <c r="F9" i="33"/>
  <c r="E9" i="33"/>
  <c r="D9" i="33"/>
  <c r="C9" i="33"/>
  <c r="G8" i="33"/>
  <c r="F8" i="33"/>
  <c r="E8" i="33"/>
  <c r="D8" i="33"/>
  <c r="C8" i="33"/>
  <c r="H8" i="33" s="1"/>
  <c r="G7" i="33"/>
  <c r="F7" i="33"/>
  <c r="E7" i="33"/>
  <c r="D7" i="33"/>
  <c r="C7" i="33"/>
  <c r="H81" i="24"/>
  <c r="I81" i="24"/>
  <c r="J81" i="24"/>
  <c r="E45" i="10"/>
  <c r="D45" i="10"/>
  <c r="C45" i="10"/>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E26" i="3"/>
  <c r="L6" i="11"/>
  <c r="G13" i="14"/>
  <c r="B23" i="14" s="1"/>
  <c r="G12" i="14"/>
  <c r="G11" i="14"/>
  <c r="B24" i="14" s="1"/>
  <c r="G10" i="14"/>
  <c r="C19" i="33" s="1"/>
  <c r="G9" i="14"/>
  <c r="C18" i="33" s="1"/>
  <c r="G8" i="14"/>
  <c r="B21" i="14" s="1"/>
  <c r="G7" i="14"/>
  <c r="G6" i="14"/>
  <c r="E30" i="16"/>
  <c r="D29" i="16"/>
  <c r="C8" i="12"/>
  <c r="C9" i="12" s="1"/>
  <c r="E53" i="26"/>
  <c r="D53" i="26"/>
  <c r="F53" i="26" s="1"/>
  <c r="E52" i="26"/>
  <c r="D51" i="26"/>
  <c r="D50" i="26"/>
  <c r="D49" i="26"/>
  <c r="E46" i="26"/>
  <c r="D46" i="26"/>
  <c r="E26" i="26"/>
  <c r="G7" i="25"/>
  <c r="D7" i="25"/>
  <c r="K28" i="24"/>
  <c r="D26" i="26" s="1"/>
  <c r="H28" i="24"/>
  <c r="I28" i="24"/>
  <c r="J28" i="24"/>
  <c r="K72" i="24"/>
  <c r="K43" i="24"/>
  <c r="H75" i="24"/>
  <c r="I75" i="24"/>
  <c r="J75" i="24"/>
  <c r="H74" i="24"/>
  <c r="C6" i="32" s="1"/>
  <c r="I74" i="24"/>
  <c r="C7" i="32" s="1"/>
  <c r="J74" i="24"/>
  <c r="C8" i="32" s="1"/>
  <c r="H71" i="24"/>
  <c r="I71" i="24"/>
  <c r="J71" i="24"/>
  <c r="H64" i="24"/>
  <c r="F6" i="32" s="1"/>
  <c r="I64" i="24"/>
  <c r="F7" i="32" s="1"/>
  <c r="J64" i="24"/>
  <c r="F8" i="32" s="1"/>
  <c r="P81" i="24"/>
  <c r="O81" i="24"/>
  <c r="N81" i="24"/>
  <c r="M81" i="24"/>
  <c r="L81" i="24"/>
  <c r="K81" i="24"/>
  <c r="P55" i="24"/>
  <c r="O55" i="24"/>
  <c r="N55" i="24"/>
  <c r="M55" i="24"/>
  <c r="L55" i="24"/>
  <c r="H37" i="24"/>
  <c r="I37" i="24"/>
  <c r="J37" i="24"/>
  <c r="P35" i="24"/>
  <c r="O35" i="24"/>
  <c r="N35" i="24"/>
  <c r="M35" i="24"/>
  <c r="L35" i="24"/>
  <c r="H32" i="24"/>
  <c r="H45" i="24" s="1"/>
  <c r="I32" i="24"/>
  <c r="I45" i="24" s="1"/>
  <c r="J32" i="24"/>
  <c r="J45" i="24" s="1"/>
  <c r="H29" i="24"/>
  <c r="I29" i="24"/>
  <c r="J29" i="24"/>
  <c r="P28" i="24"/>
  <c r="O28" i="24"/>
  <c r="N28" i="24"/>
  <c r="M28" i="24"/>
  <c r="L28" i="24"/>
  <c r="P27" i="24"/>
  <c r="P29" i="24" s="1"/>
  <c r="O27" i="24"/>
  <c r="N27" i="24"/>
  <c r="M27" i="24"/>
  <c r="L27" i="24"/>
  <c r="P16" i="24"/>
  <c r="O16" i="24"/>
  <c r="N16" i="24"/>
  <c r="M16" i="24"/>
  <c r="L16" i="24"/>
  <c r="K16" i="24"/>
  <c r="K15" i="24"/>
  <c r="K14" i="24"/>
  <c r="K13" i="24"/>
  <c r="K12" i="24"/>
  <c r="K11" i="24"/>
  <c r="K10" i="24"/>
  <c r="H16" i="24"/>
  <c r="I16" i="24"/>
  <c r="J16" i="24"/>
  <c r="H15" i="24"/>
  <c r="I15" i="24"/>
  <c r="J15" i="24"/>
  <c r="G11" i="31" s="1"/>
  <c r="H14" i="24"/>
  <c r="I14" i="24"/>
  <c r="J14" i="24"/>
  <c r="H13" i="24"/>
  <c r="I13" i="24"/>
  <c r="J13" i="24"/>
  <c r="G9" i="31" s="1"/>
  <c r="H12" i="24"/>
  <c r="I12" i="24"/>
  <c r="J12" i="24"/>
  <c r="G8" i="31" s="1"/>
  <c r="H11" i="24"/>
  <c r="I11" i="24"/>
  <c r="J11" i="24"/>
  <c r="G7" i="31" s="1"/>
  <c r="H10" i="24"/>
  <c r="I10" i="24"/>
  <c r="J10" i="24"/>
  <c r="G6" i="31" s="1"/>
  <c r="C28" i="23"/>
  <c r="L53" i="24" s="1"/>
  <c r="C26" i="23"/>
  <c r="D26" i="23"/>
  <c r="E26" i="23"/>
  <c r="F26" i="23"/>
  <c r="G26" i="23"/>
  <c r="C23" i="23"/>
  <c r="D23" i="23"/>
  <c r="E23" i="23"/>
  <c r="F23" i="23"/>
  <c r="G23" i="23"/>
  <c r="C22" i="23"/>
  <c r="C21" i="23"/>
  <c r="D21" i="23"/>
  <c r="E21" i="23"/>
  <c r="F21" i="23"/>
  <c r="G21" i="23"/>
  <c r="C20" i="23"/>
  <c r="D20" i="23"/>
  <c r="E20" i="23"/>
  <c r="F20" i="23"/>
  <c r="G20" i="23"/>
  <c r="C19" i="23"/>
  <c r="D19" i="23"/>
  <c r="E19" i="23"/>
  <c r="F19" i="23"/>
  <c r="G19" i="23"/>
  <c r="C18" i="23"/>
  <c r="D18" i="23"/>
  <c r="E18" i="23"/>
  <c r="F18" i="23"/>
  <c r="G18" i="23"/>
  <c r="F6" i="23"/>
  <c r="B3" i="41" s="1"/>
  <c r="G7" i="7"/>
  <c r="B29" i="7" s="1"/>
  <c r="G8" i="7"/>
  <c r="E16" i="11"/>
  <c r="E15" i="11"/>
  <c r="E17" i="11"/>
  <c r="E18" i="11"/>
  <c r="E19" i="11"/>
  <c r="E20" i="11"/>
  <c r="C32" i="12"/>
  <c r="C27" i="12"/>
  <c r="D30" i="16" s="1"/>
  <c r="D15" i="12"/>
  <c r="C17" i="9"/>
  <c r="C14" i="9"/>
  <c r="B54" i="12" s="1"/>
  <c r="C24" i="9"/>
  <c r="C9" i="9"/>
  <c r="C27" i="8"/>
  <c r="E50" i="26" s="1"/>
  <c r="C24" i="8"/>
  <c r="C16" i="1" s="1"/>
  <c r="F11" i="8"/>
  <c r="F9" i="8"/>
  <c r="F8" i="8"/>
  <c r="B39" i="8" s="1"/>
  <c r="F7" i="8"/>
  <c r="F6" i="8"/>
  <c r="E10" i="8"/>
  <c r="D10" i="8"/>
  <c r="D12" i="8" s="1"/>
  <c r="C10" i="8"/>
  <c r="C12" i="8" s="1"/>
  <c r="G10" i="7"/>
  <c r="G9" i="7"/>
  <c r="D22" i="7"/>
  <c r="D20" i="7"/>
  <c r="D19" i="7"/>
  <c r="G21" i="7"/>
  <c r="F21" i="7"/>
  <c r="E21" i="7"/>
  <c r="C21" i="7"/>
  <c r="F11" i="7"/>
  <c r="F12" i="7" s="1"/>
  <c r="E11" i="7"/>
  <c r="D11" i="7"/>
  <c r="D12" i="7" s="1"/>
  <c r="C11" i="7"/>
  <c r="G8" i="6"/>
  <c r="F8" i="6"/>
  <c r="F22" i="6" s="1"/>
  <c r="C26" i="9" s="1"/>
  <c r="E8" i="6"/>
  <c r="D8" i="6"/>
  <c r="D22" i="6" s="1"/>
  <c r="C8" i="6"/>
  <c r="C22" i="6" s="1"/>
  <c r="G39" i="5"/>
  <c r="F39" i="5"/>
  <c r="E39" i="5"/>
  <c r="D39" i="5"/>
  <c r="C39" i="5"/>
  <c r="F33" i="5"/>
  <c r="E33" i="5"/>
  <c r="D33" i="5"/>
  <c r="C33" i="5"/>
  <c r="F31" i="5"/>
  <c r="E31" i="5"/>
  <c r="D31" i="5"/>
  <c r="C31" i="5"/>
  <c r="F30" i="5"/>
  <c r="E30" i="5"/>
  <c r="D30" i="5"/>
  <c r="C30" i="5"/>
  <c r="F29" i="5"/>
  <c r="E29" i="5"/>
  <c r="D29" i="5"/>
  <c r="C29" i="5"/>
  <c r="F28" i="5"/>
  <c r="E28" i="5"/>
  <c r="D28" i="5"/>
  <c r="C28" i="5"/>
  <c r="I24" i="5"/>
  <c r="E15" i="16" s="1"/>
  <c r="I10" i="5"/>
  <c r="I12" i="5" s="1"/>
  <c r="H24" i="5"/>
  <c r="H10" i="5"/>
  <c r="H12" i="5" s="1"/>
  <c r="H16" i="5" s="1"/>
  <c r="G24" i="5"/>
  <c r="G10" i="5"/>
  <c r="G12" i="5" s="1"/>
  <c r="F24" i="5"/>
  <c r="F10" i="5"/>
  <c r="F12" i="5" s="1"/>
  <c r="F16" i="5" s="1"/>
  <c r="E24" i="5"/>
  <c r="E10" i="5"/>
  <c r="E12" i="5" s="1"/>
  <c r="D24" i="5"/>
  <c r="D10" i="5"/>
  <c r="D12" i="5" s="1"/>
  <c r="C24" i="5"/>
  <c r="C10" i="5"/>
  <c r="C12" i="5" s="1"/>
  <c r="J7" i="4"/>
  <c r="J6" i="4"/>
  <c r="I8" i="4"/>
  <c r="H8" i="4"/>
  <c r="G8" i="4"/>
  <c r="F8" i="4"/>
  <c r="E8" i="4"/>
  <c r="D8" i="4"/>
  <c r="C8" i="4"/>
  <c r="E39" i="3"/>
  <c r="E37" i="3"/>
  <c r="E27" i="3"/>
  <c r="E25" i="3"/>
  <c r="E24" i="3"/>
  <c r="E23" i="3"/>
  <c r="D32" i="3"/>
  <c r="E10" i="16" s="1"/>
  <c r="C32" i="3"/>
  <c r="D28" i="3"/>
  <c r="E9" i="16" s="1"/>
  <c r="C28" i="3"/>
  <c r="D10" i="3"/>
  <c r="C10" i="3"/>
  <c r="G16" i="2"/>
  <c r="G14" i="2"/>
  <c r="G7" i="2"/>
  <c r="G11" i="2" s="1"/>
  <c r="G6" i="2"/>
  <c r="C20" i="10" s="1"/>
  <c r="F12" i="2"/>
  <c r="E11" i="2"/>
  <c r="E12" i="2" s="1"/>
  <c r="D11" i="2"/>
  <c r="D12" i="2" s="1"/>
  <c r="C11" i="2"/>
  <c r="C12" i="2" s="1"/>
  <c r="C6" i="11"/>
  <c r="F15" i="11" s="1"/>
  <c r="G15" i="11" s="1"/>
  <c r="C18" i="4"/>
  <c r="C20" i="4" s="1"/>
  <c r="C17" i="4"/>
  <c r="C19" i="4" s="1"/>
  <c r="C22" i="10"/>
  <c r="D11" i="10" s="1"/>
  <c r="C9" i="10"/>
  <c r="C7" i="10" s="1"/>
  <c r="C27" i="10"/>
  <c r="C13" i="10"/>
  <c r="H6" i="11" s="1"/>
  <c r="E18" i="16"/>
  <c r="D6" i="16"/>
  <c r="D7" i="16"/>
  <c r="D9" i="16"/>
  <c r="F9" i="16" s="1"/>
  <c r="D10" i="16"/>
  <c r="D15" i="16"/>
  <c r="F15" i="16" s="1"/>
  <c r="D16" i="16"/>
  <c r="D18" i="16"/>
  <c r="F18" i="16" s="1"/>
  <c r="D20" i="16"/>
  <c r="D22" i="16"/>
  <c r="D23" i="16"/>
  <c r="D24" i="16"/>
  <c r="D25" i="16"/>
  <c r="D27" i="16"/>
  <c r="D31" i="16"/>
  <c r="F10" i="16" l="1"/>
  <c r="B17" i="14"/>
  <c r="H9" i="33"/>
  <c r="C21" i="33"/>
  <c r="B25" i="14"/>
  <c r="I114" i="24"/>
  <c r="C74" i="12"/>
  <c r="D74" i="12" s="1"/>
  <c r="C72" i="10"/>
  <c r="B28" i="11"/>
  <c r="H45" i="35"/>
  <c r="I45" i="35"/>
  <c r="F83" i="26"/>
  <c r="H15" i="40"/>
  <c r="H17" i="40" s="1"/>
  <c r="C16" i="33"/>
  <c r="B22" i="14"/>
  <c r="B33" i="7"/>
  <c r="H45" i="22"/>
  <c r="F79" i="26"/>
  <c r="I114" i="37"/>
  <c r="J114" i="37"/>
  <c r="C20" i="33"/>
  <c r="C17" i="33"/>
  <c r="B52" i="6"/>
  <c r="G49" i="6"/>
  <c r="G50" i="6" s="1"/>
  <c r="G54" i="6" s="1"/>
  <c r="C81" i="10" s="1"/>
  <c r="J18" i="37"/>
  <c r="J23" i="37" s="1"/>
  <c r="K18" i="37"/>
  <c r="K23" i="37" s="1"/>
  <c r="I114" i="35"/>
  <c r="J114" i="35"/>
  <c r="C132" i="22"/>
  <c r="E100" i="40"/>
  <c r="E99" i="40"/>
  <c r="E98" i="40"/>
  <c r="B31" i="9"/>
  <c r="E23" i="16"/>
  <c r="B36" i="9"/>
  <c r="B29" i="9"/>
  <c r="E20" i="16"/>
  <c r="B26" i="7"/>
  <c r="C33" i="41"/>
  <c r="D25" i="9"/>
  <c r="B43" i="3"/>
  <c r="B35" i="9"/>
  <c r="I114" i="39"/>
  <c r="J45" i="35"/>
  <c r="H82" i="35"/>
  <c r="I82" i="35"/>
  <c r="J82" i="35"/>
  <c r="H76" i="35"/>
  <c r="I76" i="35"/>
  <c r="I85" i="35" s="1"/>
  <c r="J76" i="35"/>
  <c r="J85" i="35" s="1"/>
  <c r="J114" i="39"/>
  <c r="B43" i="5"/>
  <c r="K118" i="39"/>
  <c r="K118" i="37"/>
  <c r="K118" i="35"/>
  <c r="K118" i="24"/>
  <c r="C123" i="22"/>
  <c r="O121" i="35"/>
  <c r="N121" i="35"/>
  <c r="P121" i="24"/>
  <c r="K121" i="24"/>
  <c r="O121" i="24"/>
  <c r="N121" i="24"/>
  <c r="L121" i="35"/>
  <c r="K121" i="37"/>
  <c r="P121" i="39"/>
  <c r="L121" i="37"/>
  <c r="K121" i="39"/>
  <c r="O121" i="39"/>
  <c r="M121" i="39"/>
  <c r="M121" i="37"/>
  <c r="N121" i="39"/>
  <c r="L121" i="24"/>
  <c r="L121" i="39"/>
  <c r="N121" i="37"/>
  <c r="O121" i="37"/>
  <c r="P121" i="37"/>
  <c r="P121" i="35"/>
  <c r="M121" i="24"/>
  <c r="M121" i="35"/>
  <c r="K121" i="35"/>
  <c r="J45" i="37"/>
  <c r="I76" i="37"/>
  <c r="J76" i="37"/>
  <c r="D34" i="40"/>
  <c r="U96" i="37"/>
  <c r="D84" i="40" s="1"/>
  <c r="D87" i="40" s="1"/>
  <c r="C34" i="40"/>
  <c r="U96" i="35"/>
  <c r="C84" i="40" s="1"/>
  <c r="C87" i="40" s="1"/>
  <c r="G6" i="33"/>
  <c r="G10" i="31"/>
  <c r="J114" i="24"/>
  <c r="C29" i="8"/>
  <c r="B38" i="8"/>
  <c r="D29" i="8"/>
  <c r="D65" i="26"/>
  <c r="F65" i="26" s="1"/>
  <c r="F26" i="26"/>
  <c r="E34" i="40"/>
  <c r="U96" i="39"/>
  <c r="E84" i="40" s="1"/>
  <c r="E87" i="40" s="1"/>
  <c r="E108" i="22"/>
  <c r="D108" i="22"/>
  <c r="C108" i="22"/>
  <c r="C64" i="12"/>
  <c r="C63" i="12" s="1"/>
  <c r="C71" i="12" s="1"/>
  <c r="J34" i="4"/>
  <c r="I37" i="4"/>
  <c r="I35" i="4"/>
  <c r="H37" i="4"/>
  <c r="H35" i="4"/>
  <c r="G35" i="4"/>
  <c r="J33" i="4"/>
  <c r="G37" i="4"/>
  <c r="F37" i="4"/>
  <c r="F35" i="4"/>
  <c r="E35" i="4"/>
  <c r="E37" i="4"/>
  <c r="D37" i="4"/>
  <c r="D35" i="4"/>
  <c r="C37" i="4"/>
  <c r="C35" i="4"/>
  <c r="G37" i="6"/>
  <c r="E85" i="22" s="1"/>
  <c r="C22" i="33"/>
  <c r="C36" i="14" a="1"/>
  <c r="E49" i="26"/>
  <c r="F49" i="26" s="1"/>
  <c r="H7" i="33"/>
  <c r="H27" i="37"/>
  <c r="I27" i="37"/>
  <c r="F20" i="16"/>
  <c r="F23" i="16"/>
  <c r="C23" i="41"/>
  <c r="C24" i="41" s="1"/>
  <c r="H18" i="39"/>
  <c r="H23" i="39" s="1"/>
  <c r="I18" i="39"/>
  <c r="F30" i="16"/>
  <c r="K18" i="24"/>
  <c r="F50" i="26"/>
  <c r="L29" i="39"/>
  <c r="F46" i="26"/>
  <c r="M29" i="39"/>
  <c r="D52" i="26"/>
  <c r="F52" i="26" s="1"/>
  <c r="K37" i="39"/>
  <c r="K82" i="39" s="1"/>
  <c r="K37" i="37"/>
  <c r="K82" i="37" s="1"/>
  <c r="K37" i="35"/>
  <c r="K82" i="35" s="1"/>
  <c r="E16" i="26"/>
  <c r="K37" i="24"/>
  <c r="D61" i="26"/>
  <c r="F61" i="26" s="1"/>
  <c r="N29" i="39"/>
  <c r="O29" i="39"/>
  <c r="P29" i="39"/>
  <c r="H27" i="39"/>
  <c r="H18" i="35"/>
  <c r="H23" i="35" s="1"/>
  <c r="I18" i="35"/>
  <c r="J18" i="35"/>
  <c r="K18" i="35"/>
  <c r="K23" i="35" s="1"/>
  <c r="L11" i="35"/>
  <c r="M11" i="35" s="1"/>
  <c r="N11" i="35" s="1"/>
  <c r="O11" i="35" s="1"/>
  <c r="P11" i="35" s="1"/>
  <c r="L10" i="35"/>
  <c r="J82" i="37"/>
  <c r="L15" i="35"/>
  <c r="M15" i="35" s="1"/>
  <c r="N15" i="35" s="1"/>
  <c r="O15" i="35" s="1"/>
  <c r="P15" i="35" s="1"/>
  <c r="L14" i="35"/>
  <c r="L13" i="35"/>
  <c r="M13" i="35" s="1"/>
  <c r="N13" i="35" s="1"/>
  <c r="O13" i="35" s="1"/>
  <c r="P13" i="35" s="1"/>
  <c r="H82" i="37"/>
  <c r="H85" i="37" s="1"/>
  <c r="I82" i="37"/>
  <c r="L29" i="35"/>
  <c r="M29" i="35"/>
  <c r="N29" i="35"/>
  <c r="O29" i="35"/>
  <c r="P29" i="35"/>
  <c r="L29" i="37"/>
  <c r="M29" i="37"/>
  <c r="N29" i="37"/>
  <c r="O29" i="37"/>
  <c r="P29" i="37"/>
  <c r="H27" i="35"/>
  <c r="I27" i="35"/>
  <c r="J27" i="35"/>
  <c r="H18" i="37"/>
  <c r="H23" i="37" s="1"/>
  <c r="H77" i="37" s="1"/>
  <c r="I18" i="37"/>
  <c r="L15" i="37"/>
  <c r="M15" i="37" s="1"/>
  <c r="N15" i="37" s="1"/>
  <c r="O15" i="37" s="1"/>
  <c r="P15" i="37" s="1"/>
  <c r="L14" i="37"/>
  <c r="L13" i="37"/>
  <c r="M13" i="37" s="1"/>
  <c r="N13" i="37" s="1"/>
  <c r="O13" i="37" s="1"/>
  <c r="P13" i="37" s="1"/>
  <c r="L12" i="37"/>
  <c r="M12" i="37" s="1"/>
  <c r="N12" i="37" s="1"/>
  <c r="O12" i="37" s="1"/>
  <c r="P12" i="37" s="1"/>
  <c r="L11" i="37"/>
  <c r="M11" i="37" s="1"/>
  <c r="N11" i="37" s="1"/>
  <c r="L10" i="37"/>
  <c r="J18" i="39"/>
  <c r="K18" i="39"/>
  <c r="K23" i="39" s="1"/>
  <c r="H72" i="39"/>
  <c r="H43" i="39"/>
  <c r="I72" i="39"/>
  <c r="I43" i="39"/>
  <c r="J72" i="39"/>
  <c r="J43" i="39"/>
  <c r="L72" i="39"/>
  <c r="L43" i="39"/>
  <c r="M72" i="39"/>
  <c r="M43" i="39"/>
  <c r="N72" i="39"/>
  <c r="N43" i="39"/>
  <c r="O72" i="39"/>
  <c r="O43" i="39"/>
  <c r="H43" i="37"/>
  <c r="H72" i="37"/>
  <c r="I43" i="37"/>
  <c r="I72" i="37"/>
  <c r="J43" i="37"/>
  <c r="J72" i="37"/>
  <c r="L43" i="37"/>
  <c r="L72" i="37"/>
  <c r="M43" i="37"/>
  <c r="M72" i="37"/>
  <c r="N43" i="37"/>
  <c r="N72" i="37"/>
  <c r="O43" i="37"/>
  <c r="O72" i="37"/>
  <c r="P43" i="37"/>
  <c r="P72" i="37"/>
  <c r="H82" i="39"/>
  <c r="I82" i="39"/>
  <c r="J82" i="39"/>
  <c r="H76" i="39"/>
  <c r="I76" i="39"/>
  <c r="J76" i="39"/>
  <c r="L13" i="39"/>
  <c r="M13" i="39" s="1"/>
  <c r="N13" i="39" s="1"/>
  <c r="O13" i="39" s="1"/>
  <c r="P13" i="39" s="1"/>
  <c r="L12" i="39"/>
  <c r="M12" i="39" s="1"/>
  <c r="N12" i="39" s="1"/>
  <c r="O12" i="39" s="1"/>
  <c r="P12" i="39" s="1"/>
  <c r="L11" i="39"/>
  <c r="M11" i="39" s="1"/>
  <c r="N11" i="39" s="1"/>
  <c r="O11" i="39" s="1"/>
  <c r="P11" i="39" s="1"/>
  <c r="L10" i="39"/>
  <c r="C24" i="40"/>
  <c r="D24" i="40"/>
  <c r="E24" i="40"/>
  <c r="E28" i="40"/>
  <c r="C28" i="40"/>
  <c r="D28" i="40"/>
  <c r="H29" i="40"/>
  <c r="E30" i="40"/>
  <c r="C30" i="40"/>
  <c r="D30" i="40"/>
  <c r="D49" i="40"/>
  <c r="D21" i="7"/>
  <c r="G68" i="22"/>
  <c r="D66" i="22"/>
  <c r="E13" i="41" s="1"/>
  <c r="D13" i="41"/>
  <c r="F66" i="22"/>
  <c r="G13" i="41" s="1"/>
  <c r="G66" i="22"/>
  <c r="H13" i="41" s="1"/>
  <c r="E66" i="22"/>
  <c r="F13" i="41" s="1"/>
  <c r="D14" i="41"/>
  <c r="D67" i="22"/>
  <c r="E14" i="41" s="1"/>
  <c r="E67" i="22"/>
  <c r="F14" i="41" s="1"/>
  <c r="F67" i="22"/>
  <c r="G14" i="41" s="1"/>
  <c r="G67" i="22"/>
  <c r="H14" i="41" s="1"/>
  <c r="H13" i="40"/>
  <c r="K64" i="39"/>
  <c r="K70" i="39" s="1"/>
  <c r="K64" i="37"/>
  <c r="K70" i="37" s="1"/>
  <c r="K64" i="35"/>
  <c r="K70" i="35" s="1"/>
  <c r="K71" i="39"/>
  <c r="K71" i="37"/>
  <c r="K71" i="35"/>
  <c r="K75" i="24"/>
  <c r="K75" i="37"/>
  <c r="K75" i="39"/>
  <c r="K75" i="35"/>
  <c r="K74" i="35"/>
  <c r="K76" i="35" s="1"/>
  <c r="K74" i="39"/>
  <c r="K74" i="37"/>
  <c r="C8" i="41"/>
  <c r="C10" i="41"/>
  <c r="C63" i="22"/>
  <c r="K32" i="24"/>
  <c r="K45" i="24" s="1"/>
  <c r="D73" i="26" s="1"/>
  <c r="K32" i="37"/>
  <c r="K45" i="37" s="1"/>
  <c r="K32" i="35"/>
  <c r="K45" i="35" s="1"/>
  <c r="K32" i="39"/>
  <c r="K45" i="39" s="1"/>
  <c r="K29" i="24"/>
  <c r="K27" i="24" s="1"/>
  <c r="K29" i="35"/>
  <c r="K27" i="35" s="1"/>
  <c r="K29" i="39"/>
  <c r="K27" i="39" s="1"/>
  <c r="K29" i="37"/>
  <c r="K27" i="37" s="1"/>
  <c r="E10" i="26"/>
  <c r="C62" i="22"/>
  <c r="C65" i="22"/>
  <c r="C64" i="22"/>
  <c r="J24" i="35"/>
  <c r="J24" i="39"/>
  <c r="J24" i="37"/>
  <c r="I24" i="24"/>
  <c r="I24" i="35"/>
  <c r="I24" i="39"/>
  <c r="I24" i="37"/>
  <c r="H24" i="35"/>
  <c r="H24" i="39"/>
  <c r="H24" i="37"/>
  <c r="D38" i="41"/>
  <c r="L14" i="39"/>
  <c r="L15" i="39"/>
  <c r="M15" i="39" s="1"/>
  <c r="N15" i="39" s="1"/>
  <c r="O15" i="39" s="1"/>
  <c r="P15" i="39" s="1"/>
  <c r="C29" i="38"/>
  <c r="E95" i="22" s="1"/>
  <c r="E99" i="22" s="1"/>
  <c r="L53" i="39"/>
  <c r="C29" i="36"/>
  <c r="D95" i="22" s="1"/>
  <c r="D99" i="22" s="1"/>
  <c r="L53" i="37"/>
  <c r="L12" i="35"/>
  <c r="C29" i="34"/>
  <c r="C95" i="22" s="1"/>
  <c r="C99" i="22" s="1"/>
  <c r="L53" i="35"/>
  <c r="F59" i="41"/>
  <c r="G59" i="41"/>
  <c r="E59" i="41"/>
  <c r="H59" i="41"/>
  <c r="P43" i="39"/>
  <c r="P72" i="39"/>
  <c r="H43" i="35"/>
  <c r="H72" i="35"/>
  <c r="I43" i="35"/>
  <c r="I72" i="35"/>
  <c r="J43" i="35"/>
  <c r="J72" i="35"/>
  <c r="L43" i="35"/>
  <c r="L72" i="35"/>
  <c r="M43" i="35"/>
  <c r="M72" i="35"/>
  <c r="N43" i="35"/>
  <c r="N72" i="35"/>
  <c r="O43" i="35"/>
  <c r="O72" i="35"/>
  <c r="P43" i="35"/>
  <c r="P72" i="35"/>
  <c r="H82" i="24"/>
  <c r="I82" i="24"/>
  <c r="J82" i="24"/>
  <c r="E47" i="10"/>
  <c r="E49" i="10"/>
  <c r="D49" i="10"/>
  <c r="D47" i="10"/>
  <c r="C47" i="10"/>
  <c r="C49" i="10"/>
  <c r="E31" i="16"/>
  <c r="F31" i="16" s="1"/>
  <c r="C15" i="33"/>
  <c r="D15" i="25"/>
  <c r="D6" i="32"/>
  <c r="E15" i="25"/>
  <c r="D7" i="32"/>
  <c r="F15" i="25"/>
  <c r="D8" i="32"/>
  <c r="B3" i="25"/>
  <c r="B3" i="33"/>
  <c r="B3" i="32"/>
  <c r="B3" i="31"/>
  <c r="B3" i="30"/>
  <c r="G11" i="7"/>
  <c r="L15" i="24"/>
  <c r="M15" i="24" s="1"/>
  <c r="N15" i="24" s="1"/>
  <c r="O15" i="24" s="1"/>
  <c r="P15" i="24" s="1"/>
  <c r="H11" i="31" s="1"/>
  <c r="O12" i="31" s="1"/>
  <c r="L12" i="24"/>
  <c r="M12" i="24" s="1"/>
  <c r="N12" i="24" s="1"/>
  <c r="O12" i="24" s="1"/>
  <c r="P12" i="24" s="1"/>
  <c r="H8" i="31" s="1"/>
  <c r="O9" i="31" s="1"/>
  <c r="L10" i="24"/>
  <c r="L14" i="24"/>
  <c r="L13" i="24"/>
  <c r="M13" i="24" s="1"/>
  <c r="N13" i="24" s="1"/>
  <c r="O13" i="24" s="1"/>
  <c r="P13" i="24" s="1"/>
  <c r="H9" i="31" s="1"/>
  <c r="O10" i="31" s="1"/>
  <c r="L11" i="24"/>
  <c r="M11" i="24" s="1"/>
  <c r="N11" i="24" s="1"/>
  <c r="O11" i="24" s="1"/>
  <c r="P11" i="24" s="1"/>
  <c r="H7" i="31" s="1"/>
  <c r="O8" i="31" s="1"/>
  <c r="E40" i="26"/>
  <c r="C11" i="10"/>
  <c r="C36" i="10"/>
  <c r="G22" i="6"/>
  <c r="E22" i="6"/>
  <c r="C37" i="10"/>
  <c r="O29" i="24"/>
  <c r="N29" i="24"/>
  <c r="L29" i="24"/>
  <c r="M29" i="24"/>
  <c r="D17" i="16"/>
  <c r="E16" i="16"/>
  <c r="F16" i="16" s="1"/>
  <c r="E29" i="26"/>
  <c r="D14" i="25"/>
  <c r="H70" i="24"/>
  <c r="E14" i="25"/>
  <c r="I70" i="24"/>
  <c r="F14" i="25"/>
  <c r="J70" i="24"/>
  <c r="H27" i="24"/>
  <c r="I27" i="24"/>
  <c r="J27" i="24"/>
  <c r="H18" i="24"/>
  <c r="I18" i="24"/>
  <c r="J18" i="24"/>
  <c r="D16" i="25"/>
  <c r="H76" i="24"/>
  <c r="E16" i="25"/>
  <c r="I76" i="24"/>
  <c r="F16" i="25"/>
  <c r="J76" i="24"/>
  <c r="E17" i="26"/>
  <c r="K64" i="24"/>
  <c r="E18" i="26"/>
  <c r="K71" i="24"/>
  <c r="D18" i="26" s="1"/>
  <c r="F18" i="26" s="1"/>
  <c r="E19" i="26"/>
  <c r="K74" i="24"/>
  <c r="C9" i="32" s="1"/>
  <c r="H72" i="24"/>
  <c r="H43" i="24"/>
  <c r="I72" i="24"/>
  <c r="I43" i="24"/>
  <c r="J43" i="24"/>
  <c r="J72" i="24"/>
  <c r="P72" i="24"/>
  <c r="P43" i="24"/>
  <c r="O43" i="24"/>
  <c r="O72" i="24"/>
  <c r="N43" i="24"/>
  <c r="N72" i="24"/>
  <c r="M72" i="24"/>
  <c r="M43" i="24"/>
  <c r="L72" i="24"/>
  <c r="L43" i="24"/>
  <c r="E24" i="16"/>
  <c r="F24" i="16" s="1"/>
  <c r="E51" i="26"/>
  <c r="F51" i="26" s="1"/>
  <c r="C25" i="10"/>
  <c r="K6" i="11" s="1"/>
  <c r="C6" i="33" s="1"/>
  <c r="E20" i="26"/>
  <c r="E12" i="7"/>
  <c r="E22" i="26"/>
  <c r="C12" i="7"/>
  <c r="E21" i="26"/>
  <c r="E12" i="26"/>
  <c r="J24" i="24"/>
  <c r="D8" i="31" s="1"/>
  <c r="H24" i="24"/>
  <c r="D6" i="31" s="1"/>
  <c r="E11" i="26"/>
  <c r="E47" i="26"/>
  <c r="C29" i="23"/>
  <c r="O1" i="24"/>
  <c r="E27" i="16"/>
  <c r="F27" i="16" s="1"/>
  <c r="E12" i="8"/>
  <c r="F10" i="8"/>
  <c r="C24" i="10"/>
  <c r="D19" i="16"/>
  <c r="J8" i="4"/>
  <c r="C26" i="8"/>
  <c r="C25" i="8"/>
  <c r="C26" i="10"/>
  <c r="C16" i="10"/>
  <c r="I16" i="5"/>
  <c r="F34" i="5" s="1"/>
  <c r="F32" i="5"/>
  <c r="G38" i="5"/>
  <c r="G16" i="5"/>
  <c r="F38" i="5"/>
  <c r="E32" i="5"/>
  <c r="E38" i="5"/>
  <c r="E16" i="5"/>
  <c r="D32" i="5"/>
  <c r="D14" i="16"/>
  <c r="D16" i="5"/>
  <c r="E8" i="26" s="1"/>
  <c r="C32" i="5"/>
  <c r="D38" i="5"/>
  <c r="C16" i="5"/>
  <c r="E7" i="26" s="1"/>
  <c r="C38" i="5"/>
  <c r="E29" i="16"/>
  <c r="F29" i="16" s="1"/>
  <c r="E28" i="3"/>
  <c r="B27" i="11" s="1"/>
  <c r="D33" i="3"/>
  <c r="D29" i="3"/>
  <c r="C33" i="3"/>
  <c r="C29" i="3"/>
  <c r="D14" i="3"/>
  <c r="D16" i="3" s="1"/>
  <c r="D11" i="3"/>
  <c r="C14" i="3"/>
  <c r="C16" i="3" s="1"/>
  <c r="C11" i="3"/>
  <c r="F15" i="2"/>
  <c r="F13" i="2"/>
  <c r="E13" i="2"/>
  <c r="E15" i="2"/>
  <c r="E6" i="16"/>
  <c r="F6" i="16" s="1"/>
  <c r="D15" i="2"/>
  <c r="D13" i="2"/>
  <c r="C13" i="2"/>
  <c r="C15" i="2"/>
  <c r="C29" i="12"/>
  <c r="D6" i="11"/>
  <c r="E6" i="33" s="1"/>
  <c r="E22" i="16"/>
  <c r="F22" i="16" s="1"/>
  <c r="D21" i="16"/>
  <c r="G12" i="2"/>
  <c r="E7" i="16"/>
  <c r="F7" i="16" s="1"/>
  <c r="S12" i="31" l="1"/>
  <c r="R12" i="31"/>
  <c r="S9" i="31"/>
  <c r="R9" i="31"/>
  <c r="S10" i="31"/>
  <c r="R10" i="31"/>
  <c r="S8" i="31"/>
  <c r="R8" i="31"/>
  <c r="D78" i="10"/>
  <c r="D79" i="10"/>
  <c r="C32" i="11"/>
  <c r="C80" i="10"/>
  <c r="D80" i="10" s="1"/>
  <c r="C8" i="10"/>
  <c r="C17" i="10" s="1"/>
  <c r="G6" i="11" s="1"/>
  <c r="H85" i="35"/>
  <c r="C25" i="40"/>
  <c r="E102" i="40"/>
  <c r="D25" i="40"/>
  <c r="E25" i="40"/>
  <c r="F10" i="42"/>
  <c r="J77" i="37"/>
  <c r="J85" i="37"/>
  <c r="I85" i="37"/>
  <c r="J19" i="37"/>
  <c r="D27" i="41"/>
  <c r="C40" i="41"/>
  <c r="H77" i="35"/>
  <c r="P120" i="24"/>
  <c r="P120" i="39"/>
  <c r="M120" i="39"/>
  <c r="K120" i="39"/>
  <c r="K120" i="24"/>
  <c r="N120" i="37"/>
  <c r="L120" i="24"/>
  <c r="M120" i="35"/>
  <c r="L120" i="35"/>
  <c r="N120" i="24"/>
  <c r="M120" i="24"/>
  <c r="K120" i="35"/>
  <c r="N120" i="39"/>
  <c r="K120" i="37"/>
  <c r="L120" i="39"/>
  <c r="O120" i="37"/>
  <c r="N120" i="35"/>
  <c r="L120" i="37"/>
  <c r="M120" i="37"/>
  <c r="P120" i="35"/>
  <c r="O120" i="39"/>
  <c r="O120" i="35"/>
  <c r="O120" i="24"/>
  <c r="P120" i="37"/>
  <c r="M10" i="35"/>
  <c r="M10" i="39"/>
  <c r="E34" i="5"/>
  <c r="K119" i="39"/>
  <c r="K119" i="37"/>
  <c r="K119" i="35"/>
  <c r="K119" i="24"/>
  <c r="C125" i="22"/>
  <c r="L114" i="35"/>
  <c r="L115" i="35" s="1"/>
  <c r="L108" i="35"/>
  <c r="L114" i="37"/>
  <c r="L115" i="37" s="1"/>
  <c r="L108" i="37"/>
  <c r="L114" i="39"/>
  <c r="L115" i="39" s="1"/>
  <c r="L108" i="39"/>
  <c r="L114" i="24"/>
  <c r="L115" i="24" s="1"/>
  <c r="L108" i="24"/>
  <c r="K76" i="37"/>
  <c r="F9" i="32"/>
  <c r="B44" i="5"/>
  <c r="I36" i="4"/>
  <c r="I9" i="4" s="1"/>
  <c r="I38" i="4"/>
  <c r="I10" i="4"/>
  <c r="H38" i="4"/>
  <c r="H10" i="4"/>
  <c r="H12" i="4" s="1"/>
  <c r="C38" i="3" s="1"/>
  <c r="H36" i="4"/>
  <c r="H9" i="4" s="1"/>
  <c r="G36" i="4"/>
  <c r="G9" i="4" s="1"/>
  <c r="G10" i="4"/>
  <c r="G12" i="4" s="1"/>
  <c r="D18" i="3" s="1"/>
  <c r="G38" i="4"/>
  <c r="J35" i="4"/>
  <c r="D72" i="26" s="1" a="1"/>
  <c r="F72" i="26" s="1"/>
  <c r="J37" i="4"/>
  <c r="F36" i="4"/>
  <c r="F9" i="4" s="1"/>
  <c r="F38" i="4"/>
  <c r="F10" i="4"/>
  <c r="F12" i="4" s="1"/>
  <c r="C18" i="3" s="1"/>
  <c r="E10" i="4"/>
  <c r="E73" i="26"/>
  <c r="F73" i="26" s="1"/>
  <c r="E36" i="4"/>
  <c r="E9" i="4" s="1"/>
  <c r="E38" i="4"/>
  <c r="D36" i="4"/>
  <c r="D38" i="4"/>
  <c r="D10" i="4"/>
  <c r="D12" i="4" s="1"/>
  <c r="D46" i="10" s="1"/>
  <c r="C36" i="4"/>
  <c r="C10" i="4"/>
  <c r="C12" i="4" s="1"/>
  <c r="C38" i="4"/>
  <c r="I23" i="35"/>
  <c r="I19" i="35"/>
  <c r="J23" i="35"/>
  <c r="J19" i="35"/>
  <c r="B28" i="6"/>
  <c r="F6" i="33"/>
  <c r="C28" i="8"/>
  <c r="E36" i="22"/>
  <c r="B35" i="8"/>
  <c r="C11" i="12"/>
  <c r="C14" i="1" s="1"/>
  <c r="C9" i="1"/>
  <c r="I19" i="39"/>
  <c r="I23" i="39"/>
  <c r="K23" i="24"/>
  <c r="C126" i="22" s="1"/>
  <c r="E78" i="26" s="1"/>
  <c r="D25" i="26"/>
  <c r="G6" i="25"/>
  <c r="D10" i="26"/>
  <c r="F10" i="26" s="1"/>
  <c r="K85" i="35"/>
  <c r="D16" i="26"/>
  <c r="F16" i="26" s="1"/>
  <c r="K82" i="24"/>
  <c r="K77" i="35"/>
  <c r="H77" i="39"/>
  <c r="H85" i="39"/>
  <c r="M10" i="37"/>
  <c r="L18" i="37"/>
  <c r="I23" i="37"/>
  <c r="I19" i="37"/>
  <c r="J23" i="39"/>
  <c r="J19" i="39"/>
  <c r="D9" i="32"/>
  <c r="D20" i="26"/>
  <c r="F20" i="26" s="1"/>
  <c r="G15" i="25"/>
  <c r="I85" i="39"/>
  <c r="J85" i="39"/>
  <c r="D7" i="31"/>
  <c r="I31" i="24"/>
  <c r="E8" i="25"/>
  <c r="E49" i="40"/>
  <c r="F49" i="40" s="1"/>
  <c r="K76" i="39"/>
  <c r="D63" i="22"/>
  <c r="E63" i="22"/>
  <c r="F63" i="22"/>
  <c r="G63" i="22"/>
  <c r="D62" i="22"/>
  <c r="E62" i="22"/>
  <c r="F62" i="22"/>
  <c r="G62" i="22"/>
  <c r="D65" i="22"/>
  <c r="E65" i="22"/>
  <c r="F65" i="22"/>
  <c r="G65" i="22"/>
  <c r="D64" i="22"/>
  <c r="E64" i="22"/>
  <c r="F64" i="22"/>
  <c r="G64" i="22"/>
  <c r="J31" i="35"/>
  <c r="J31" i="39"/>
  <c r="J31" i="37"/>
  <c r="J25" i="37"/>
  <c r="I31" i="35"/>
  <c r="I31" i="39"/>
  <c r="I31" i="37"/>
  <c r="H31" i="35"/>
  <c r="H25" i="35"/>
  <c r="H31" i="39"/>
  <c r="H25" i="39"/>
  <c r="H31" i="37"/>
  <c r="H25" i="37"/>
  <c r="E35" i="41"/>
  <c r="E38" i="41" s="1"/>
  <c r="E39" i="41" s="1"/>
  <c r="D19" i="41"/>
  <c r="D58" i="41"/>
  <c r="D54" i="41"/>
  <c r="D39" i="41"/>
  <c r="L18" i="39"/>
  <c r="M12" i="35"/>
  <c r="L18" i="35"/>
  <c r="K24" i="39"/>
  <c r="K24" i="35"/>
  <c r="K24" i="37"/>
  <c r="L52" i="39"/>
  <c r="C31" i="38"/>
  <c r="L52" i="37"/>
  <c r="C31" i="36"/>
  <c r="L52" i="35"/>
  <c r="C31" i="34"/>
  <c r="I59" i="41" a="1"/>
  <c r="O11" i="37"/>
  <c r="E6" i="32"/>
  <c r="H85" i="24"/>
  <c r="E17" i="25"/>
  <c r="E7" i="32"/>
  <c r="I85" i="24"/>
  <c r="E8" i="32"/>
  <c r="J85" i="24"/>
  <c r="E19" i="16"/>
  <c r="F19" i="16" s="1"/>
  <c r="C23" i="10"/>
  <c r="D18" i="10" s="1"/>
  <c r="E23" i="26"/>
  <c r="G12" i="7"/>
  <c r="B27" i="7" s="1"/>
  <c r="E41" i="26"/>
  <c r="E6" i="11"/>
  <c r="E25" i="16"/>
  <c r="F25" i="16" s="1"/>
  <c r="L18" i="24"/>
  <c r="M10" i="24"/>
  <c r="K76" i="24"/>
  <c r="G16" i="25"/>
  <c r="D19" i="26"/>
  <c r="F19" i="26" s="1"/>
  <c r="E35" i="26"/>
  <c r="F12" i="8"/>
  <c r="E21" i="16"/>
  <c r="F21" i="16" s="1"/>
  <c r="H23" i="24"/>
  <c r="C6" i="31" s="1"/>
  <c r="D6" i="25"/>
  <c r="D7" i="26"/>
  <c r="F7" i="26" s="1"/>
  <c r="I19" i="24"/>
  <c r="E7" i="25" s="1"/>
  <c r="I23" i="24"/>
  <c r="C7" i="31" s="1"/>
  <c r="E6" i="25"/>
  <c r="D8" i="26"/>
  <c r="F8" i="26" s="1"/>
  <c r="J19" i="24"/>
  <c r="F7" i="25" s="1"/>
  <c r="J23" i="24"/>
  <c r="C8" i="31" s="1"/>
  <c r="O6" i="31" s="1"/>
  <c r="F6" i="25"/>
  <c r="D9" i="26"/>
  <c r="D29" i="26"/>
  <c r="F29" i="26" s="1"/>
  <c r="D17" i="25"/>
  <c r="D21" i="26"/>
  <c r="F21" i="26" s="1"/>
  <c r="D22" i="26"/>
  <c r="F22" i="26" s="1"/>
  <c r="F17" i="25"/>
  <c r="K70" i="24"/>
  <c r="D17" i="26"/>
  <c r="F17" i="26" s="1"/>
  <c r="G14" i="25"/>
  <c r="J31" i="24"/>
  <c r="F8" i="25"/>
  <c r="D12" i="26"/>
  <c r="F12" i="26" s="1"/>
  <c r="H31" i="24"/>
  <c r="D8" i="25"/>
  <c r="D11" i="26"/>
  <c r="F11" i="26" s="1"/>
  <c r="E25" i="26"/>
  <c r="E9" i="26"/>
  <c r="E13" i="26"/>
  <c r="K24" i="24"/>
  <c r="D9" i="31" s="1"/>
  <c r="C31" i="23"/>
  <c r="D48" i="26" s="1"/>
  <c r="L52" i="24"/>
  <c r="D47" i="26"/>
  <c r="F47" i="26" s="1"/>
  <c r="E48" i="26"/>
  <c r="C25" i="9"/>
  <c r="B34" i="9" s="1"/>
  <c r="E17" i="16"/>
  <c r="F17" i="16" s="1"/>
  <c r="E14" i="16"/>
  <c r="F14" i="16" s="1"/>
  <c r="D34" i="5"/>
  <c r="C34" i="5"/>
  <c r="D35" i="3"/>
  <c r="D36" i="3"/>
  <c r="D12" i="16" s="1"/>
  <c r="F12" i="16" s="1"/>
  <c r="C35" i="3"/>
  <c r="C36" i="3"/>
  <c r="F17" i="2"/>
  <c r="F18" i="2"/>
  <c r="F6" i="7" s="1"/>
  <c r="E17" i="2"/>
  <c r="E18" i="2"/>
  <c r="E14" i="26" s="1"/>
  <c r="D17" i="2"/>
  <c r="D18" i="2"/>
  <c r="D6" i="7" s="1"/>
  <c r="C17" i="2"/>
  <c r="C18" i="2"/>
  <c r="C6" i="7" s="1"/>
  <c r="G13" i="2"/>
  <c r="G15" i="2"/>
  <c r="D32" i="11" s="1"/>
  <c r="T6" i="31" l="1"/>
  <c r="S6" i="31"/>
  <c r="R6" i="31"/>
  <c r="P6" i="31"/>
  <c r="E32" i="11"/>
  <c r="D9" i="4"/>
  <c r="D102" i="40"/>
  <c r="F102" i="40" s="1"/>
  <c r="N10" i="35"/>
  <c r="O10" i="35" s="1"/>
  <c r="P10" i="35" s="1"/>
  <c r="N10" i="39"/>
  <c r="O10" i="39" s="1"/>
  <c r="P10" i="39" s="1"/>
  <c r="N122" i="39"/>
  <c r="K122" i="37"/>
  <c r="K123" i="37" s="1"/>
  <c r="O122" i="35"/>
  <c r="P122" i="35"/>
  <c r="N122" i="24"/>
  <c r="M122" i="39"/>
  <c r="P122" i="39"/>
  <c r="N122" i="35"/>
  <c r="N122" i="37"/>
  <c r="L122" i="39"/>
  <c r="M122" i="24"/>
  <c r="P122" i="37"/>
  <c r="O122" i="37"/>
  <c r="M122" i="35"/>
  <c r="O122" i="39"/>
  <c r="L122" i="35"/>
  <c r="P122" i="24"/>
  <c r="K122" i="39"/>
  <c r="K123" i="39" s="1"/>
  <c r="K122" i="35"/>
  <c r="K123" i="35" s="1"/>
  <c r="M122" i="37"/>
  <c r="L122" i="37"/>
  <c r="K122" i="24"/>
  <c r="K123" i="24" s="1"/>
  <c r="D78" i="26" s="1"/>
  <c r="F78" i="26" s="1"/>
  <c r="O122" i="24"/>
  <c r="L122" i="24"/>
  <c r="L119" i="37"/>
  <c r="L118" i="37"/>
  <c r="L118" i="39"/>
  <c r="L119" i="39"/>
  <c r="L118" i="35"/>
  <c r="L119" i="35"/>
  <c r="L118" i="24"/>
  <c r="L119" i="24"/>
  <c r="K85" i="37"/>
  <c r="K77" i="37"/>
  <c r="B10" i="23"/>
  <c r="B36" i="8"/>
  <c r="C9" i="31"/>
  <c r="E94" i="22"/>
  <c r="D94" i="22"/>
  <c r="C94" i="22"/>
  <c r="I77" i="35"/>
  <c r="I25" i="35"/>
  <c r="J77" i="35"/>
  <c r="J25" i="35"/>
  <c r="D11" i="16"/>
  <c r="I12" i="4"/>
  <c r="B32" i="13" s="1"/>
  <c r="J36" i="4"/>
  <c r="J38" i="4"/>
  <c r="J10" i="4"/>
  <c r="J12" i="4" s="1"/>
  <c r="B26" i="4" s="1"/>
  <c r="E12" i="4"/>
  <c r="C13" i="12"/>
  <c r="E44" i="26"/>
  <c r="D50" i="10"/>
  <c r="D48" i="10"/>
  <c r="C9" i="4"/>
  <c r="C46" i="10"/>
  <c r="E43" i="26"/>
  <c r="I77" i="39"/>
  <c r="I25" i="39"/>
  <c r="F25" i="26"/>
  <c r="F9" i="26"/>
  <c r="F48" i="26"/>
  <c r="J25" i="39"/>
  <c r="J77" i="39"/>
  <c r="N10" i="37"/>
  <c r="L23" i="37"/>
  <c r="L73" i="37" s="1"/>
  <c r="L19" i="37"/>
  <c r="L75" i="37"/>
  <c r="L56" i="37" s="1"/>
  <c r="L57" i="37" s="1"/>
  <c r="L60" i="37" s="1"/>
  <c r="I42" i="24"/>
  <c r="I44" i="24" s="1"/>
  <c r="I46" i="24" s="1"/>
  <c r="I33" i="24"/>
  <c r="L75" i="39"/>
  <c r="L56" i="39" s="1"/>
  <c r="L57" i="39" s="1"/>
  <c r="L60" i="39" s="1"/>
  <c r="L19" i="39"/>
  <c r="L23" i="39"/>
  <c r="L73" i="39" s="1"/>
  <c r="N12" i="35"/>
  <c r="L75" i="35"/>
  <c r="L56" i="35" s="1"/>
  <c r="L57" i="35" s="1"/>
  <c r="L60" i="35" s="1"/>
  <c r="L19" i="35"/>
  <c r="L23" i="35"/>
  <c r="L73" i="35" s="1"/>
  <c r="I77" i="37"/>
  <c r="I25" i="37"/>
  <c r="L75" i="24"/>
  <c r="E36" i="26"/>
  <c r="K77" i="39"/>
  <c r="K85" i="39"/>
  <c r="J33" i="35"/>
  <c r="J42" i="35"/>
  <c r="J44" i="35" s="1"/>
  <c r="J46" i="35" s="1"/>
  <c r="J47" i="35" s="1"/>
  <c r="J48" i="35" s="1"/>
  <c r="J84" i="35" s="1"/>
  <c r="J42" i="39"/>
  <c r="J44" i="39" s="1"/>
  <c r="J46" i="39" s="1"/>
  <c r="J47" i="39" s="1"/>
  <c r="J48" i="39" s="1"/>
  <c r="J84" i="39" s="1"/>
  <c r="J33" i="39"/>
  <c r="J33" i="37"/>
  <c r="J42" i="37"/>
  <c r="J44" i="37" s="1"/>
  <c r="J46" i="37" s="1"/>
  <c r="J47" i="37" s="1"/>
  <c r="J48" i="37" s="1"/>
  <c r="J84" i="37" s="1"/>
  <c r="I33" i="35"/>
  <c r="I42" i="35"/>
  <c r="I44" i="35" s="1"/>
  <c r="I46" i="35" s="1"/>
  <c r="I47" i="35" s="1"/>
  <c r="I48" i="35" s="1"/>
  <c r="I84" i="35" s="1"/>
  <c r="I42" i="39"/>
  <c r="I44" i="39" s="1"/>
  <c r="I46" i="39" s="1"/>
  <c r="I47" i="39" s="1"/>
  <c r="I48" i="39" s="1"/>
  <c r="I84" i="39" s="1"/>
  <c r="I33" i="39"/>
  <c r="I33" i="37"/>
  <c r="I42" i="37"/>
  <c r="I44" i="37" s="1"/>
  <c r="I46" i="37" s="1"/>
  <c r="I47" i="37" s="1"/>
  <c r="I48" i="37" s="1"/>
  <c r="I84" i="37" s="1"/>
  <c r="H33" i="35"/>
  <c r="H42" i="35"/>
  <c r="H44" i="35" s="1"/>
  <c r="H46" i="35" s="1"/>
  <c r="H47" i="35" s="1"/>
  <c r="H48" i="35" s="1"/>
  <c r="H84" i="35" s="1"/>
  <c r="H42" i="39"/>
  <c r="H44" i="39" s="1"/>
  <c r="H46" i="39" s="1"/>
  <c r="H47" i="39" s="1"/>
  <c r="H48" i="39" s="1"/>
  <c r="H84" i="39" s="1"/>
  <c r="H33" i="39"/>
  <c r="H33" i="37"/>
  <c r="H42" i="37"/>
  <c r="H44" i="37" s="1"/>
  <c r="H46" i="37" s="1"/>
  <c r="H47" i="37" s="1"/>
  <c r="H48" i="37" s="1"/>
  <c r="H84" i="37" s="1"/>
  <c r="F35" i="41"/>
  <c r="F38" i="41" s="1"/>
  <c r="F39" i="41" s="1"/>
  <c r="E19" i="41"/>
  <c r="E54" i="41"/>
  <c r="E58" i="41"/>
  <c r="K31" i="39"/>
  <c r="K25" i="39"/>
  <c r="K25" i="35"/>
  <c r="K31" i="35"/>
  <c r="K31" i="37"/>
  <c r="K25" i="37"/>
  <c r="H21" i="40"/>
  <c r="C62" i="10"/>
  <c r="P11" i="37"/>
  <c r="K77" i="24"/>
  <c r="E9" i="32"/>
  <c r="C18" i="10"/>
  <c r="I6" i="11" s="1"/>
  <c r="J6" i="11"/>
  <c r="B25" i="11" s="1"/>
  <c r="D35" i="26"/>
  <c r="F35" i="26" s="1"/>
  <c r="G17" i="25"/>
  <c r="E36" i="3"/>
  <c r="E27" i="26"/>
  <c r="G18" i="2"/>
  <c r="K85" i="24"/>
  <c r="D23" i="26"/>
  <c r="F23" i="26" s="1"/>
  <c r="H6" i="25"/>
  <c r="L23" i="24"/>
  <c r="L73" i="24" s="1"/>
  <c r="L19" i="24"/>
  <c r="H7" i="25" s="1"/>
  <c r="N10" i="24"/>
  <c r="H77" i="24"/>
  <c r="H25" i="24"/>
  <c r="I77" i="24"/>
  <c r="I25" i="24"/>
  <c r="J77" i="24"/>
  <c r="J25" i="24"/>
  <c r="J42" i="24"/>
  <c r="J44" i="24" s="1"/>
  <c r="J33" i="24"/>
  <c r="H42" i="24"/>
  <c r="H44" i="24" s="1"/>
  <c r="H33" i="24"/>
  <c r="K25" i="24"/>
  <c r="F11" i="42" s="1"/>
  <c r="K31" i="24"/>
  <c r="G8" i="25"/>
  <c r="D13" i="26"/>
  <c r="F13" i="26" s="1"/>
  <c r="D8" i="16"/>
  <c r="E6" i="7"/>
  <c r="C12" i="12"/>
  <c r="G17" i="2"/>
  <c r="F32" i="11" s="1"/>
  <c r="G32" i="11" s="1"/>
  <c r="H32" i="11" s="1"/>
  <c r="B24" i="11" l="1"/>
  <c r="E86" i="22"/>
  <c r="C86" i="22"/>
  <c r="C10" i="22" s="1"/>
  <c r="C61" i="10" s="1"/>
  <c r="L123" i="37"/>
  <c r="L125" i="37" s="1"/>
  <c r="L123" i="39"/>
  <c r="L125" i="39" s="1"/>
  <c r="L123" i="35"/>
  <c r="L125" i="35" s="1"/>
  <c r="L123" i="24"/>
  <c r="L125" i="24" s="1"/>
  <c r="J9" i="4"/>
  <c r="D38" i="3"/>
  <c r="E38" i="3" s="1"/>
  <c r="B44" i="3" s="1"/>
  <c r="B20" i="14"/>
  <c r="E11" i="16"/>
  <c r="F11" i="16" s="1"/>
  <c r="B25" i="4"/>
  <c r="D13" i="16"/>
  <c r="D17" i="4"/>
  <c r="E46" i="10"/>
  <c r="E42" i="26"/>
  <c r="C50" i="10"/>
  <c r="C48" i="10"/>
  <c r="D6" i="33"/>
  <c r="H6" i="33" s="1"/>
  <c r="C21" i="10"/>
  <c r="B49" i="1"/>
  <c r="M14" i="24"/>
  <c r="L56" i="24"/>
  <c r="L57" i="24" s="1"/>
  <c r="L60" i="24" s="1"/>
  <c r="M14" i="37"/>
  <c r="M14" i="39"/>
  <c r="M14" i="35"/>
  <c r="O10" i="37"/>
  <c r="L71" i="37"/>
  <c r="L37" i="37" s="1"/>
  <c r="E12" i="25"/>
  <c r="I47" i="24"/>
  <c r="I48" i="24" s="1"/>
  <c r="I36" i="24"/>
  <c r="I38" i="24" s="1"/>
  <c r="I69" i="24"/>
  <c r="I73" i="24" s="1"/>
  <c r="E10" i="25"/>
  <c r="L71" i="39"/>
  <c r="L37" i="39" s="1"/>
  <c r="O12" i="35"/>
  <c r="P12" i="35" s="1"/>
  <c r="L71" i="35"/>
  <c r="L37" i="35" s="1"/>
  <c r="D10" i="32"/>
  <c r="H15" i="25"/>
  <c r="D36" i="26"/>
  <c r="F36" i="26" s="1"/>
  <c r="J69" i="35"/>
  <c r="J73" i="35" s="1"/>
  <c r="J36" i="35"/>
  <c r="J38" i="35" s="1"/>
  <c r="J83" i="35" s="1"/>
  <c r="J36" i="39"/>
  <c r="J38" i="39" s="1"/>
  <c r="J83" i="39" s="1"/>
  <c r="J69" i="39"/>
  <c r="J73" i="39" s="1"/>
  <c r="J36" i="37"/>
  <c r="J38" i="37" s="1"/>
  <c r="J83" i="37" s="1"/>
  <c r="J69" i="37"/>
  <c r="J73" i="37" s="1"/>
  <c r="I69" i="35"/>
  <c r="I73" i="35" s="1"/>
  <c r="I36" i="35"/>
  <c r="I38" i="35" s="1"/>
  <c r="I83" i="35" s="1"/>
  <c r="I36" i="39"/>
  <c r="I38" i="39" s="1"/>
  <c r="I83" i="39" s="1"/>
  <c r="I69" i="39"/>
  <c r="I73" i="39" s="1"/>
  <c r="I36" i="37"/>
  <c r="I38" i="37" s="1"/>
  <c r="I83" i="37" s="1"/>
  <c r="I69" i="37"/>
  <c r="I73" i="37" s="1"/>
  <c r="H36" i="35"/>
  <c r="H38" i="35" s="1"/>
  <c r="H83" i="35" s="1"/>
  <c r="H69" i="35"/>
  <c r="H73" i="35" s="1"/>
  <c r="H36" i="39"/>
  <c r="H38" i="39" s="1"/>
  <c r="H83" i="39" s="1"/>
  <c r="H69" i="39"/>
  <c r="H73" i="39" s="1"/>
  <c r="H36" i="37"/>
  <c r="H38" i="37" s="1"/>
  <c r="H83" i="37" s="1"/>
  <c r="H69" i="37"/>
  <c r="H73" i="37" s="1"/>
  <c r="G35" i="41"/>
  <c r="G38" i="41" s="1"/>
  <c r="G39" i="41" s="1"/>
  <c r="F19" i="41"/>
  <c r="F54" i="41"/>
  <c r="F58" i="41"/>
  <c r="K42" i="39"/>
  <c r="K44" i="39" s="1"/>
  <c r="K46" i="39" s="1"/>
  <c r="K47" i="39" s="1"/>
  <c r="K48" i="39" s="1"/>
  <c r="K84" i="39" s="1"/>
  <c r="K33" i="39"/>
  <c r="K33" i="35"/>
  <c r="K42" i="35"/>
  <c r="K44" i="35" s="1"/>
  <c r="K46" i="35" s="1"/>
  <c r="K47" i="35" s="1"/>
  <c r="K48" i="35" s="1"/>
  <c r="K84" i="35" s="1"/>
  <c r="K33" i="37"/>
  <c r="K42" i="37"/>
  <c r="K44" i="37" s="1"/>
  <c r="K46" i="37" s="1"/>
  <c r="K47" i="37" s="1"/>
  <c r="K48" i="37" s="1"/>
  <c r="K84" i="37" s="1"/>
  <c r="C23" i="40"/>
  <c r="B27" i="40" s="1"/>
  <c r="D23" i="40"/>
  <c r="E23" i="40"/>
  <c r="D20" i="41"/>
  <c r="D18" i="41"/>
  <c r="D10" i="41"/>
  <c r="D9" i="41"/>
  <c r="C10" i="31"/>
  <c r="H9" i="32"/>
  <c r="G18" i="25"/>
  <c r="D18" i="25"/>
  <c r="H6" i="32"/>
  <c r="D9" i="25"/>
  <c r="G6" i="32"/>
  <c r="E18" i="25"/>
  <c r="H7" i="32"/>
  <c r="E9" i="25"/>
  <c r="G7" i="32"/>
  <c r="F18" i="25"/>
  <c r="H8" i="32"/>
  <c r="F9" i="25"/>
  <c r="G8" i="32"/>
  <c r="G9" i="25"/>
  <c r="G9" i="32"/>
  <c r="E15" i="26"/>
  <c r="C35" i="10"/>
  <c r="C38" i="10" s="1"/>
  <c r="L71" i="24"/>
  <c r="L37" i="24" s="1"/>
  <c r="O10" i="24"/>
  <c r="J69" i="24"/>
  <c r="J73" i="24" s="1"/>
  <c r="J36" i="24"/>
  <c r="J38" i="24" s="1"/>
  <c r="F10" i="25"/>
  <c r="D14" i="26"/>
  <c r="F14" i="26" s="1"/>
  <c r="H46" i="24"/>
  <c r="D10" i="25"/>
  <c r="H36" i="24"/>
  <c r="H38" i="24" s="1"/>
  <c r="H69" i="24"/>
  <c r="H73" i="24" s="1"/>
  <c r="K42" i="24"/>
  <c r="K44" i="24" s="1"/>
  <c r="K33" i="24"/>
  <c r="E8" i="16"/>
  <c r="F8" i="16" s="1"/>
  <c r="G6" i="7"/>
  <c r="F9" i="42" l="1"/>
  <c r="C98" i="10"/>
  <c r="D22" i="23"/>
  <c r="M18" i="24"/>
  <c r="E10" i="22"/>
  <c r="D74" i="26"/>
  <c r="F74" i="26" s="1"/>
  <c r="C135" i="22"/>
  <c r="M114" i="24"/>
  <c r="M115" i="24" s="1"/>
  <c r="M108" i="24"/>
  <c r="M114" i="37"/>
  <c r="M115" i="37" s="1"/>
  <c r="M108" i="37"/>
  <c r="M114" i="39"/>
  <c r="M115" i="39" s="1"/>
  <c r="M108" i="39"/>
  <c r="M114" i="35"/>
  <c r="M115" i="35" s="1"/>
  <c r="M108" i="35"/>
  <c r="E100" i="22"/>
  <c r="E102" i="22" s="1"/>
  <c r="D100" i="22"/>
  <c r="D102" i="22" s="1"/>
  <c r="C100" i="22"/>
  <c r="C102" i="22" s="1"/>
  <c r="D19" i="4"/>
  <c r="B43" i="1" s="1"/>
  <c r="C12" i="10"/>
  <c r="D26" i="16"/>
  <c r="E13" i="16"/>
  <c r="F13" i="16" s="1"/>
  <c r="D12" i="10"/>
  <c r="B27" i="4"/>
  <c r="C44" i="26"/>
  <c r="E50" i="10"/>
  <c r="E48" i="10"/>
  <c r="H14" i="40"/>
  <c r="D21" i="41"/>
  <c r="L82" i="37"/>
  <c r="L82" i="39"/>
  <c r="L82" i="35"/>
  <c r="D29" i="41"/>
  <c r="D46" i="41" s="1"/>
  <c r="L82" i="24"/>
  <c r="L61" i="37"/>
  <c r="L62" i="37"/>
  <c r="L64" i="37" s="1"/>
  <c r="L62" i="39"/>
  <c r="L64" i="39" s="1"/>
  <c r="L61" i="39"/>
  <c r="L61" i="35"/>
  <c r="L62" i="35"/>
  <c r="L64" i="35" s="1"/>
  <c r="M18" i="37"/>
  <c r="D22" i="36"/>
  <c r="M18" i="39"/>
  <c r="D22" i="38"/>
  <c r="M18" i="35"/>
  <c r="D22" i="34"/>
  <c r="P10" i="37"/>
  <c r="E13" i="25"/>
  <c r="I84" i="24"/>
  <c r="D7" i="30"/>
  <c r="E11" i="25"/>
  <c r="C7" i="30"/>
  <c r="I83" i="24"/>
  <c r="L62" i="24"/>
  <c r="L64" i="24" s="1"/>
  <c r="L61" i="24"/>
  <c r="H35" i="41"/>
  <c r="H38" i="41" s="1"/>
  <c r="H39" i="41" s="1"/>
  <c r="G19" i="41"/>
  <c r="G54" i="41"/>
  <c r="G58" i="41"/>
  <c r="K36" i="39"/>
  <c r="K38" i="39" s="1"/>
  <c r="K83" i="39" s="1"/>
  <c r="K69" i="39"/>
  <c r="K73" i="39" s="1"/>
  <c r="K36" i="35"/>
  <c r="K38" i="35" s="1"/>
  <c r="K83" i="35" s="1"/>
  <c r="K69" i="35"/>
  <c r="K73" i="35" s="1"/>
  <c r="K36" i="37"/>
  <c r="K38" i="37" s="1"/>
  <c r="K83" i="37" s="1"/>
  <c r="K69" i="37"/>
  <c r="K73" i="37" s="1"/>
  <c r="F11" i="25"/>
  <c r="C8" i="30"/>
  <c r="J83" i="24"/>
  <c r="D11" i="25"/>
  <c r="C6" i="30"/>
  <c r="H83" i="24"/>
  <c r="P10" i="24"/>
  <c r="D12" i="25"/>
  <c r="H47" i="24"/>
  <c r="H48" i="24" s="1"/>
  <c r="D27" i="26"/>
  <c r="F27" i="26" s="1"/>
  <c r="K46" i="24"/>
  <c r="K69" i="24"/>
  <c r="K73" i="24" s="1"/>
  <c r="E57" i="22" s="1"/>
  <c r="G10" i="25"/>
  <c r="D15" i="26"/>
  <c r="F15" i="26" s="1"/>
  <c r="K36" i="24"/>
  <c r="K38" i="24" s="1"/>
  <c r="C9" i="30" s="1"/>
  <c r="J46" i="24"/>
  <c r="E37" i="26"/>
  <c r="H7" i="30" l="1"/>
  <c r="O6" i="30"/>
  <c r="F7" i="42"/>
  <c r="E81" i="26"/>
  <c r="C137" i="22"/>
  <c r="M118" i="24"/>
  <c r="I6" i="25"/>
  <c r="M19" i="24"/>
  <c r="I7" i="25" s="1"/>
  <c r="M75" i="24"/>
  <c r="M23" i="24"/>
  <c r="E10" i="41" s="1"/>
  <c r="M119" i="24"/>
  <c r="M118" i="37"/>
  <c r="M119" i="37"/>
  <c r="M118" i="39"/>
  <c r="M119" i="39"/>
  <c r="M118" i="35"/>
  <c r="M119" i="35"/>
  <c r="H6" i="31"/>
  <c r="O7" i="31" s="1"/>
  <c r="E91" i="40"/>
  <c r="E103" i="22"/>
  <c r="E104" i="22" s="1"/>
  <c r="D91" i="40"/>
  <c r="D103" i="22"/>
  <c r="D104" i="22" s="1"/>
  <c r="C91" i="40"/>
  <c r="C103" i="22"/>
  <c r="C104" i="22" s="1"/>
  <c r="B11" i="23"/>
  <c r="E26" i="16"/>
  <c r="F26" i="16" s="1"/>
  <c r="C20" i="1"/>
  <c r="B51" i="22"/>
  <c r="B30" i="10"/>
  <c r="H20" i="40"/>
  <c r="E69" i="40"/>
  <c r="D69" i="40"/>
  <c r="C69" i="40"/>
  <c r="G7" i="30"/>
  <c r="L70" i="37"/>
  <c r="L26" i="37"/>
  <c r="L24" i="37" s="1"/>
  <c r="L65" i="37"/>
  <c r="L26" i="39"/>
  <c r="L24" i="39" s="1"/>
  <c r="L65" i="39"/>
  <c r="L70" i="39"/>
  <c r="L70" i="35"/>
  <c r="L26" i="35"/>
  <c r="L24" i="35" s="1"/>
  <c r="L65" i="35"/>
  <c r="M75" i="37"/>
  <c r="M56" i="37" s="1"/>
  <c r="M57" i="37" s="1"/>
  <c r="M60" i="37" s="1"/>
  <c r="M23" i="37"/>
  <c r="M73" i="37" s="1"/>
  <c r="M19" i="37"/>
  <c r="M23" i="39"/>
  <c r="M73" i="39" s="1"/>
  <c r="M19" i="39"/>
  <c r="M75" i="39"/>
  <c r="M56" i="39" s="1"/>
  <c r="M57" i="39" s="1"/>
  <c r="M60" i="39" s="1"/>
  <c r="M19" i="35"/>
  <c r="H14" i="22" s="1"/>
  <c r="M23" i="35"/>
  <c r="M73" i="35" s="1"/>
  <c r="M75" i="35"/>
  <c r="M56" i="35" s="1"/>
  <c r="M57" i="35" s="1"/>
  <c r="M60" i="35" s="1"/>
  <c r="F7" i="30"/>
  <c r="E20" i="25"/>
  <c r="E7" i="30"/>
  <c r="E19" i="25"/>
  <c r="D12" i="41"/>
  <c r="D55" i="41" s="1"/>
  <c r="F10" i="32"/>
  <c r="L65" i="24"/>
  <c r="H14" i="25"/>
  <c r="L70" i="24"/>
  <c r="L26" i="24"/>
  <c r="L24" i="24" s="1"/>
  <c r="H54" i="41"/>
  <c r="I54" i="41" s="1" a="1"/>
  <c r="H58" i="41"/>
  <c r="I58" i="41" s="1" a="1"/>
  <c r="H19" i="41"/>
  <c r="E8" i="30"/>
  <c r="F19" i="25"/>
  <c r="E6" i="30"/>
  <c r="D19" i="25"/>
  <c r="D6" i="30"/>
  <c r="H84" i="24"/>
  <c r="D13" i="25"/>
  <c r="D43" i="26"/>
  <c r="F43" i="26" s="1"/>
  <c r="K47" i="24"/>
  <c r="K48" i="24" s="1"/>
  <c r="D9" i="30" s="1"/>
  <c r="H9" i="30" s="1"/>
  <c r="G12" i="25"/>
  <c r="K83" i="24"/>
  <c r="E9" i="30" s="1"/>
  <c r="G11" i="25"/>
  <c r="D40" i="26"/>
  <c r="F40" i="26" s="1"/>
  <c r="D37" i="26"/>
  <c r="F37" i="26" s="1"/>
  <c r="F12" i="25"/>
  <c r="J47" i="24"/>
  <c r="J48" i="24" s="1"/>
  <c r="T6" i="30" l="1"/>
  <c r="S6" i="30"/>
  <c r="R6" i="30"/>
  <c r="P6" i="30"/>
  <c r="P7" i="31"/>
  <c r="S7" i="31"/>
  <c r="R7" i="31"/>
  <c r="G6" i="30"/>
  <c r="H6" i="30"/>
  <c r="G9" i="30"/>
  <c r="O7" i="30"/>
  <c r="O8" i="30"/>
  <c r="C60" i="10"/>
  <c r="H10" i="40"/>
  <c r="D48" i="40" s="1"/>
  <c r="E82" i="26"/>
  <c r="D81" i="26"/>
  <c r="F81" i="26" s="1"/>
  <c r="M123" i="24"/>
  <c r="M125" i="24" s="1"/>
  <c r="E68" i="26"/>
  <c r="M56" i="24"/>
  <c r="M57" i="24" s="1"/>
  <c r="M60" i="24" s="1"/>
  <c r="E63" i="26"/>
  <c r="N14" i="24"/>
  <c r="I15" i="25"/>
  <c r="D11" i="32"/>
  <c r="M73" i="24"/>
  <c r="E20" i="41"/>
  <c r="E18" i="41"/>
  <c r="E9" i="41"/>
  <c r="C11" i="31"/>
  <c r="M71" i="24"/>
  <c r="M37" i="24" s="1"/>
  <c r="M123" i="37"/>
  <c r="M125" i="37" s="1"/>
  <c r="M123" i="39"/>
  <c r="M125" i="39" s="1"/>
  <c r="M123" i="35"/>
  <c r="M125" i="35" s="1"/>
  <c r="E106" i="22"/>
  <c r="E90" i="40"/>
  <c r="D106" i="22"/>
  <c r="D90" i="40"/>
  <c r="C106" i="22"/>
  <c r="C90" i="40"/>
  <c r="D9" i="40"/>
  <c r="C9" i="40"/>
  <c r="E9" i="40"/>
  <c r="L31" i="39"/>
  <c r="L25" i="39"/>
  <c r="L25" i="37"/>
  <c r="L31" i="37"/>
  <c r="L25" i="35"/>
  <c r="L31" i="35"/>
  <c r="N14" i="37"/>
  <c r="M71" i="37"/>
  <c r="M37" i="37" s="1"/>
  <c r="M71" i="39"/>
  <c r="M37" i="39" s="1"/>
  <c r="N14" i="39"/>
  <c r="M71" i="35"/>
  <c r="M37" i="35" s="1"/>
  <c r="N14" i="35"/>
  <c r="D10" i="31"/>
  <c r="D41" i="41"/>
  <c r="L25" i="24"/>
  <c r="H8" i="25"/>
  <c r="L31" i="24"/>
  <c r="E31" i="26"/>
  <c r="F6" i="30"/>
  <c r="D20" i="25"/>
  <c r="D8" i="30"/>
  <c r="J84" i="24"/>
  <c r="K84" i="24"/>
  <c r="E57" i="26"/>
  <c r="D44" i="26"/>
  <c r="F44" i="26" s="1"/>
  <c r="G13" i="25"/>
  <c r="D41" i="26"/>
  <c r="F41" i="26" s="1"/>
  <c r="G19" i="25"/>
  <c r="D42" i="26"/>
  <c r="F42" i="26" s="1"/>
  <c r="F13" i="25"/>
  <c r="P7" i="30" l="1"/>
  <c r="Q7" i="30" s="1"/>
  <c r="Q7" i="31"/>
  <c r="P8" i="31"/>
  <c r="S7" i="30"/>
  <c r="R7" i="30"/>
  <c r="T8" i="30"/>
  <c r="S8" i="30"/>
  <c r="R8" i="30"/>
  <c r="P8" i="30"/>
  <c r="G8" i="30"/>
  <c r="H8" i="30"/>
  <c r="C68" i="10"/>
  <c r="D82" i="26"/>
  <c r="F82" i="26" s="1"/>
  <c r="H11" i="40"/>
  <c r="H18" i="40" s="1"/>
  <c r="E21" i="41"/>
  <c r="D68" i="26"/>
  <c r="F68" i="26" s="1"/>
  <c r="M62" i="24"/>
  <c r="M64" i="24" s="1"/>
  <c r="M61" i="24"/>
  <c r="N18" i="24"/>
  <c r="N114" i="24"/>
  <c r="N115" i="24" s="1"/>
  <c r="N108" i="24"/>
  <c r="O108" i="24" s="1"/>
  <c r="O110" i="24" s="1"/>
  <c r="O111" i="24" s="1"/>
  <c r="E22" i="23"/>
  <c r="D63" i="26"/>
  <c r="F63" i="26" s="1"/>
  <c r="E29" i="41"/>
  <c r="E46" i="41" s="1"/>
  <c r="M82" i="24"/>
  <c r="N114" i="37"/>
  <c r="N115" i="37" s="1"/>
  <c r="N108" i="37"/>
  <c r="O108" i="37" s="1"/>
  <c r="O110" i="37" s="1"/>
  <c r="O111" i="37" s="1"/>
  <c r="O112" i="37" s="1"/>
  <c r="N114" i="39"/>
  <c r="N115" i="39" s="1"/>
  <c r="N108" i="39"/>
  <c r="O108" i="39" s="1"/>
  <c r="O110" i="39" s="1"/>
  <c r="O111" i="39" s="1"/>
  <c r="O112" i="39" s="1"/>
  <c r="N114" i="35"/>
  <c r="N115" i="35" s="1"/>
  <c r="N108" i="35"/>
  <c r="O108" i="35" s="1"/>
  <c r="E107" i="22"/>
  <c r="C33" i="38"/>
  <c r="D107" i="22"/>
  <c r="C33" i="36"/>
  <c r="C107" i="22"/>
  <c r="C33" i="23"/>
  <c r="C33" i="34"/>
  <c r="L42" i="39"/>
  <c r="L44" i="39" s="1"/>
  <c r="M82" i="37"/>
  <c r="M82" i="39"/>
  <c r="M82" i="35"/>
  <c r="L42" i="37"/>
  <c r="L44" i="37" s="1"/>
  <c r="L42" i="35"/>
  <c r="L44" i="35" s="1"/>
  <c r="M62" i="37"/>
  <c r="M64" i="37" s="1"/>
  <c r="M61" i="37"/>
  <c r="E22" i="36"/>
  <c r="N18" i="37"/>
  <c r="E22" i="38"/>
  <c r="N18" i="39"/>
  <c r="M61" i="39"/>
  <c r="M62" i="39"/>
  <c r="M64" i="39" s="1"/>
  <c r="E22" i="34"/>
  <c r="N18" i="35"/>
  <c r="M61" i="35"/>
  <c r="M62" i="35"/>
  <c r="M64" i="35" s="1"/>
  <c r="G10" i="32"/>
  <c r="H9" i="25"/>
  <c r="D32" i="26"/>
  <c r="F32" i="26" s="1"/>
  <c r="D31" i="26"/>
  <c r="F31" i="26" s="1"/>
  <c r="L42" i="24"/>
  <c r="L44" i="24" s="1"/>
  <c r="F8" i="30"/>
  <c r="F20" i="25"/>
  <c r="G20" i="25"/>
  <c r="B24" i="25" s="1"/>
  <c r="F9" i="30"/>
  <c r="D57" i="26"/>
  <c r="F57" i="26" s="1"/>
  <c r="C132" i="10" l="1"/>
  <c r="C131" i="10"/>
  <c r="Q8" i="31"/>
  <c r="P9" i="31"/>
  <c r="D50" i="40"/>
  <c r="E48" i="40"/>
  <c r="F48" i="40" s="1"/>
  <c r="O110" i="35"/>
  <c r="O111" i="35" s="1"/>
  <c r="O112" i="35" s="1"/>
  <c r="H74" i="22"/>
  <c r="F11" i="32"/>
  <c r="M26" i="24"/>
  <c r="M24" i="24" s="1"/>
  <c r="M65" i="24"/>
  <c r="E12" i="41"/>
  <c r="E55" i="41" s="1"/>
  <c r="I14" i="25"/>
  <c r="M70" i="24"/>
  <c r="J6" i="25"/>
  <c r="N19" i="24"/>
  <c r="J7" i="25" s="1"/>
  <c r="N23" i="24"/>
  <c r="N75" i="24"/>
  <c r="N118" i="24"/>
  <c r="N119" i="24"/>
  <c r="D87" i="26"/>
  <c r="O112" i="24"/>
  <c r="F87" i="26" s="1"/>
  <c r="N118" i="37"/>
  <c r="N119" i="37"/>
  <c r="N118" i="39"/>
  <c r="N119" i="39"/>
  <c r="N118" i="35"/>
  <c r="N119" i="35"/>
  <c r="L45" i="39"/>
  <c r="L46" i="39" s="1"/>
  <c r="L47" i="39" s="1"/>
  <c r="L48" i="39" s="1"/>
  <c r="L84" i="39" s="1"/>
  <c r="L32" i="39"/>
  <c r="L33" i="39" s="1"/>
  <c r="L45" i="37"/>
  <c r="L46" i="37" s="1"/>
  <c r="L47" i="37" s="1"/>
  <c r="L48" i="37" s="1"/>
  <c r="L84" i="37" s="1"/>
  <c r="L32" i="37"/>
  <c r="L33" i="37" s="1"/>
  <c r="L45" i="35"/>
  <c r="L46" i="35" s="1"/>
  <c r="L47" i="35" s="1"/>
  <c r="L48" i="35" s="1"/>
  <c r="L32" i="35"/>
  <c r="L33" i="35" s="1"/>
  <c r="L45" i="24"/>
  <c r="L46" i="24" s="1"/>
  <c r="L32" i="24"/>
  <c r="L33" i="24" s="1"/>
  <c r="M26" i="37"/>
  <c r="M24" i="37" s="1"/>
  <c r="D10" i="40" s="1"/>
  <c r="M65" i="37"/>
  <c r="M70" i="37"/>
  <c r="N75" i="37"/>
  <c r="N56" i="37" s="1"/>
  <c r="N57" i="37" s="1"/>
  <c r="N60" i="37" s="1"/>
  <c r="N23" i="37"/>
  <c r="N73" i="37" s="1"/>
  <c r="N19" i="37"/>
  <c r="N23" i="39"/>
  <c r="N73" i="39" s="1"/>
  <c r="N75" i="39"/>
  <c r="N56" i="39" s="1"/>
  <c r="N57" i="39" s="1"/>
  <c r="N60" i="39" s="1"/>
  <c r="N19" i="39"/>
  <c r="M65" i="39"/>
  <c r="M70" i="39"/>
  <c r="M26" i="39"/>
  <c r="M24" i="39" s="1"/>
  <c r="E10" i="40" s="1"/>
  <c r="N19" i="35"/>
  <c r="N23" i="35"/>
  <c r="N73" i="35" s="1"/>
  <c r="N75" i="35"/>
  <c r="N56" i="35" s="1"/>
  <c r="N57" i="35" s="1"/>
  <c r="N60" i="35" s="1"/>
  <c r="M65" i="35"/>
  <c r="M70" i="35"/>
  <c r="M26" i="35"/>
  <c r="M24" i="35" s="1"/>
  <c r="C10" i="40" s="1"/>
  <c r="P10" i="31" l="1"/>
  <c r="Q9" i="31"/>
  <c r="C82" i="10"/>
  <c r="D82" i="10"/>
  <c r="L84" i="35"/>
  <c r="C72" i="12"/>
  <c r="E16" i="40"/>
  <c r="D16" i="40"/>
  <c r="C16" i="40"/>
  <c r="E41" i="42"/>
  <c r="C7" i="42"/>
  <c r="D41" i="42"/>
  <c r="D51" i="40"/>
  <c r="F51" i="40" s="1"/>
  <c r="E50" i="40"/>
  <c r="F50" i="40" s="1"/>
  <c r="B39" i="40"/>
  <c r="C41" i="42"/>
  <c r="D12" i="32"/>
  <c r="J15" i="25"/>
  <c r="N123" i="24"/>
  <c r="N125" i="24" s="1"/>
  <c r="M25" i="24"/>
  <c r="I8" i="25"/>
  <c r="E41" i="41"/>
  <c r="M31" i="24"/>
  <c r="M42" i="24" s="1"/>
  <c r="M44" i="24" s="1"/>
  <c r="D11" i="31"/>
  <c r="N73" i="24"/>
  <c r="C12" i="31"/>
  <c r="F18" i="41"/>
  <c r="F9" i="41"/>
  <c r="F20" i="41"/>
  <c r="N71" i="24"/>
  <c r="N37" i="24" s="1"/>
  <c r="F10" i="41"/>
  <c r="N56" i="24"/>
  <c r="N57" i="24" s="1"/>
  <c r="N60" i="24" s="1"/>
  <c r="O14" i="24"/>
  <c r="O18" i="24" s="1"/>
  <c r="N123" i="37"/>
  <c r="N125" i="37" s="1"/>
  <c r="N123" i="39"/>
  <c r="N125" i="39" s="1"/>
  <c r="N123" i="35"/>
  <c r="N125" i="35" s="1"/>
  <c r="E38" i="26"/>
  <c r="L47" i="24"/>
  <c r="L48" i="24" s="1"/>
  <c r="H12" i="25"/>
  <c r="L36" i="39"/>
  <c r="L38" i="39" s="1"/>
  <c r="L83" i="39" s="1"/>
  <c r="L69" i="39"/>
  <c r="L74" i="39" s="1"/>
  <c r="L76" i="39" s="1"/>
  <c r="L69" i="37"/>
  <c r="L74" i="37" s="1"/>
  <c r="L76" i="37" s="1"/>
  <c r="L36" i="37"/>
  <c r="L38" i="37" s="1"/>
  <c r="L83" i="37" s="1"/>
  <c r="L36" i="35"/>
  <c r="L38" i="35" s="1"/>
  <c r="L83" i="35" s="1"/>
  <c r="L69" i="35"/>
  <c r="L74" i="35" s="1"/>
  <c r="L76" i="35" s="1"/>
  <c r="D38" i="26"/>
  <c r="L36" i="24"/>
  <c r="L38" i="24" s="1"/>
  <c r="H10" i="25"/>
  <c r="L69" i="24"/>
  <c r="L74" i="24" s="1"/>
  <c r="D45" i="41"/>
  <c r="M31" i="37"/>
  <c r="M25" i="37"/>
  <c r="D17" i="40"/>
  <c r="O14" i="37"/>
  <c r="N71" i="37"/>
  <c r="N37" i="37" s="1"/>
  <c r="N71" i="39"/>
  <c r="N37" i="39" s="1"/>
  <c r="O14" i="39"/>
  <c r="E17" i="40"/>
  <c r="M31" i="39"/>
  <c r="M25" i="39"/>
  <c r="N71" i="35"/>
  <c r="N37" i="35" s="1"/>
  <c r="O14" i="35"/>
  <c r="M31" i="35"/>
  <c r="M25" i="35"/>
  <c r="B26" i="14" s="1"/>
  <c r="Q10" i="31" l="1"/>
  <c r="N61" i="24"/>
  <c r="N62" i="24"/>
  <c r="N64" i="24" s="1"/>
  <c r="F21" i="41"/>
  <c r="N82" i="24"/>
  <c r="F29" i="41"/>
  <c r="F46" i="41" s="1"/>
  <c r="O114" i="24"/>
  <c r="O115" i="24" s="1"/>
  <c r="F22" i="23"/>
  <c r="G11" i="32"/>
  <c r="I9" i="25"/>
  <c r="O23" i="24"/>
  <c r="K6" i="25"/>
  <c r="O19" i="24"/>
  <c r="K7" i="25" s="1"/>
  <c r="O75" i="24"/>
  <c r="O119" i="24"/>
  <c r="O118" i="24"/>
  <c r="O114" i="37"/>
  <c r="O115" i="37" s="1"/>
  <c r="O114" i="39"/>
  <c r="O115" i="39" s="1"/>
  <c r="O114" i="35"/>
  <c r="O115" i="35" s="1"/>
  <c r="F38" i="26"/>
  <c r="E33" i="26"/>
  <c r="C10" i="32"/>
  <c r="H16" i="25"/>
  <c r="E34" i="26"/>
  <c r="L76" i="24"/>
  <c r="L84" i="24"/>
  <c r="D18" i="4"/>
  <c r="D10" i="30"/>
  <c r="H13" i="25"/>
  <c r="L77" i="39"/>
  <c r="L85" i="39"/>
  <c r="L77" i="37"/>
  <c r="L85" i="37"/>
  <c r="L85" i="35"/>
  <c r="L77" i="35"/>
  <c r="M45" i="24"/>
  <c r="M46" i="24" s="1"/>
  <c r="M32" i="24"/>
  <c r="M33" i="24" s="1"/>
  <c r="I10" i="25" s="1"/>
  <c r="N82" i="37"/>
  <c r="N82" i="39"/>
  <c r="N82" i="35"/>
  <c r="M42" i="37"/>
  <c r="M44" i="37" s="1"/>
  <c r="F22" i="36"/>
  <c r="O18" i="37"/>
  <c r="N62" i="37"/>
  <c r="N64" i="37" s="1"/>
  <c r="N61" i="37"/>
  <c r="F22" i="38"/>
  <c r="O18" i="39"/>
  <c r="N61" i="39"/>
  <c r="N62" i="39"/>
  <c r="N64" i="39" s="1"/>
  <c r="M42" i="39"/>
  <c r="M44" i="39" s="1"/>
  <c r="F22" i="34"/>
  <c r="O18" i="35"/>
  <c r="N62" i="35"/>
  <c r="N64" i="35" s="1"/>
  <c r="N61" i="35"/>
  <c r="C17" i="40"/>
  <c r="M42" i="35"/>
  <c r="M44" i="35" s="1"/>
  <c r="B19" i="14" l="1"/>
  <c r="B49" i="12"/>
  <c r="B42" i="12"/>
  <c r="B48" i="12"/>
  <c r="O123" i="24"/>
  <c r="O125" i="24" s="1"/>
  <c r="N26" i="24"/>
  <c r="N24" i="24" s="1"/>
  <c r="F12" i="41"/>
  <c r="F55" i="41" s="1"/>
  <c r="F12" i="32"/>
  <c r="N65" i="24"/>
  <c r="N70" i="24"/>
  <c r="J14" i="25"/>
  <c r="I12" i="25"/>
  <c r="M47" i="24"/>
  <c r="M48" i="24" s="1"/>
  <c r="M36" i="24"/>
  <c r="M38" i="24" s="1"/>
  <c r="C11" i="30" s="1"/>
  <c r="M69" i="24"/>
  <c r="M74" i="24" s="1"/>
  <c r="E45" i="41"/>
  <c r="O71" i="24"/>
  <c r="O37" i="24" s="1"/>
  <c r="C13" i="31"/>
  <c r="G9" i="41"/>
  <c r="D28" i="41"/>
  <c r="D33" i="41" s="1"/>
  <c r="E10" i="32"/>
  <c r="O73" i="24"/>
  <c r="G10" i="41"/>
  <c r="G18" i="41"/>
  <c r="G20" i="41"/>
  <c r="O56" i="24"/>
  <c r="O57" i="24" s="1"/>
  <c r="O60" i="24" s="1"/>
  <c r="P14" i="24"/>
  <c r="P114" i="24" s="1"/>
  <c r="P115" i="24" s="1"/>
  <c r="K15" i="25"/>
  <c r="D13" i="32"/>
  <c r="O119" i="37"/>
  <c r="O118" i="37"/>
  <c r="O119" i="39"/>
  <c r="O118" i="39"/>
  <c r="O119" i="35"/>
  <c r="O118" i="35"/>
  <c r="H11" i="25"/>
  <c r="D33" i="26"/>
  <c r="F33" i="26" s="1"/>
  <c r="L83" i="24"/>
  <c r="C10" i="30"/>
  <c r="H10" i="30" s="1"/>
  <c r="E56" i="26"/>
  <c r="H17" i="25"/>
  <c r="D56" i="26" s="1"/>
  <c r="D34" i="26"/>
  <c r="F34" i="26" s="1"/>
  <c r="L85" i="24"/>
  <c r="L77" i="24"/>
  <c r="G10" i="30"/>
  <c r="H20" i="25"/>
  <c r="F10" i="30"/>
  <c r="D20" i="4"/>
  <c r="C14" i="10"/>
  <c r="E28" i="16" s="1"/>
  <c r="D14" i="10"/>
  <c r="B28" i="4"/>
  <c r="D28" i="16"/>
  <c r="M45" i="37"/>
  <c r="M46" i="37" s="1"/>
  <c r="M47" i="37" s="1"/>
  <c r="M48" i="37" s="1"/>
  <c r="M84" i="37" s="1"/>
  <c r="M32" i="37"/>
  <c r="M33" i="37" s="1"/>
  <c r="M45" i="39"/>
  <c r="M46" i="39" s="1"/>
  <c r="M47" i="39" s="1"/>
  <c r="M48" i="39" s="1"/>
  <c r="M84" i="39" s="1"/>
  <c r="M32" i="39"/>
  <c r="M33" i="39" s="1"/>
  <c r="M45" i="35"/>
  <c r="M46" i="35" s="1"/>
  <c r="M47" i="35" s="1"/>
  <c r="M48" i="35" s="1"/>
  <c r="M32" i="35"/>
  <c r="M33" i="35" s="1"/>
  <c r="O75" i="37"/>
  <c r="O56" i="37" s="1"/>
  <c r="O57" i="37" s="1"/>
  <c r="O60" i="37" s="1"/>
  <c r="O19" i="37"/>
  <c r="O23" i="37"/>
  <c r="O73" i="37" s="1"/>
  <c r="N26" i="37"/>
  <c r="N24" i="37" s="1"/>
  <c r="D11" i="40" s="1"/>
  <c r="N70" i="37"/>
  <c r="N65" i="37"/>
  <c r="O75" i="39"/>
  <c r="O56" i="39" s="1"/>
  <c r="O57" i="39" s="1"/>
  <c r="O60" i="39" s="1"/>
  <c r="O19" i="39"/>
  <c r="O23" i="39"/>
  <c r="O73" i="39" s="1"/>
  <c r="N65" i="39"/>
  <c r="N26" i="39"/>
  <c r="N24" i="39" s="1"/>
  <c r="E11" i="40" s="1"/>
  <c r="N70" i="39"/>
  <c r="O23" i="35"/>
  <c r="O73" i="35" s="1"/>
  <c r="O19" i="35"/>
  <c r="O75" i="35"/>
  <c r="O56" i="35" s="1"/>
  <c r="O57" i="35" s="1"/>
  <c r="O60" i="35" s="1"/>
  <c r="N26" i="35"/>
  <c r="N24" i="35" s="1"/>
  <c r="C11" i="40" s="1"/>
  <c r="N65" i="35"/>
  <c r="N70" i="35"/>
  <c r="M84" i="35" l="1"/>
  <c r="C73" i="10"/>
  <c r="F56" i="26"/>
  <c r="O123" i="37"/>
  <c r="O125" i="37" s="1"/>
  <c r="O123" i="39"/>
  <c r="O125" i="39" s="1"/>
  <c r="J8" i="25"/>
  <c r="N31" i="24"/>
  <c r="N42" i="24" s="1"/>
  <c r="N44" i="24" s="1"/>
  <c r="D12" i="31"/>
  <c r="F41" i="41"/>
  <c r="N25" i="24"/>
  <c r="O123" i="35"/>
  <c r="O125" i="35" s="1"/>
  <c r="M84" i="24"/>
  <c r="I13" i="25"/>
  <c r="D11" i="30"/>
  <c r="I16" i="25"/>
  <c r="M76" i="24"/>
  <c r="C11" i="32"/>
  <c r="I11" i="25"/>
  <c r="M83" i="24"/>
  <c r="O82" i="24"/>
  <c r="G29" i="41"/>
  <c r="G46" i="41" s="1"/>
  <c r="E27" i="41"/>
  <c r="D53" i="41"/>
  <c r="D8" i="41"/>
  <c r="D11" i="41" s="1"/>
  <c r="D15" i="41" s="1"/>
  <c r="D22" i="41" s="1"/>
  <c r="D57" i="41"/>
  <c r="D40" i="41"/>
  <c r="G21" i="41"/>
  <c r="O61" i="24"/>
  <c r="O62" i="24"/>
  <c r="O64" i="24" s="1"/>
  <c r="G22" i="23"/>
  <c r="H10" i="31"/>
  <c r="O11" i="31" s="1"/>
  <c r="P18" i="24"/>
  <c r="E30" i="26"/>
  <c r="E10" i="30"/>
  <c r="H19" i="25"/>
  <c r="H18" i="25"/>
  <c r="H10" i="32"/>
  <c r="M69" i="35"/>
  <c r="M74" i="35" s="1"/>
  <c r="M76" i="35" s="1"/>
  <c r="M36" i="35"/>
  <c r="M38" i="35" s="1"/>
  <c r="M83" i="35" s="1"/>
  <c r="F28" i="16"/>
  <c r="M36" i="37"/>
  <c r="M38" i="37" s="1"/>
  <c r="M83" i="37" s="1"/>
  <c r="M69" i="37"/>
  <c r="M74" i="37" s="1"/>
  <c r="M76" i="37" s="1"/>
  <c r="M36" i="39"/>
  <c r="M38" i="39" s="1"/>
  <c r="M83" i="39" s="1"/>
  <c r="M69" i="39"/>
  <c r="M74" i="39" s="1"/>
  <c r="M76" i="39" s="1"/>
  <c r="P14" i="37"/>
  <c r="O71" i="37"/>
  <c r="O37" i="37" s="1"/>
  <c r="D18" i="40"/>
  <c r="N25" i="37"/>
  <c r="N31" i="37"/>
  <c r="P14" i="39"/>
  <c r="O71" i="39"/>
  <c r="O37" i="39" s="1"/>
  <c r="E18" i="40"/>
  <c r="N25" i="39"/>
  <c r="N31" i="39"/>
  <c r="O71" i="35"/>
  <c r="O37" i="35" s="1"/>
  <c r="P14" i="35"/>
  <c r="N31" i="35"/>
  <c r="N25" i="35"/>
  <c r="G11" i="30" l="1"/>
  <c r="H11" i="30"/>
  <c r="P11" i="31"/>
  <c r="S11" i="31"/>
  <c r="R11" i="31"/>
  <c r="C38" i="1"/>
  <c r="C78" i="10"/>
  <c r="C79" i="10"/>
  <c r="D48" i="41"/>
  <c r="D49" i="41" s="1"/>
  <c r="D23" i="41"/>
  <c r="D24" i="41" s="1"/>
  <c r="D52" i="41" s="1"/>
  <c r="G12" i="32"/>
  <c r="J9" i="25"/>
  <c r="N45" i="24"/>
  <c r="N46" i="24" s="1"/>
  <c r="N32" i="24"/>
  <c r="N33" i="24" s="1"/>
  <c r="I20" i="25"/>
  <c r="F11" i="30"/>
  <c r="M85" i="24"/>
  <c r="M77" i="24"/>
  <c r="I17" i="25"/>
  <c r="E28" i="41"/>
  <c r="E33" i="41" s="1"/>
  <c r="E11" i="32"/>
  <c r="E11" i="30"/>
  <c r="I19" i="25"/>
  <c r="E55" i="26"/>
  <c r="D30" i="26"/>
  <c r="F30" i="26" s="1"/>
  <c r="G12" i="41"/>
  <c r="G55" i="41" s="1"/>
  <c r="O26" i="24"/>
  <c r="O24" i="24" s="1"/>
  <c r="K14" i="25"/>
  <c r="O65" i="24"/>
  <c r="O70" i="24"/>
  <c r="F13" i="32"/>
  <c r="L6" i="25"/>
  <c r="D55" i="26" s="1"/>
  <c r="P23" i="24"/>
  <c r="P19" i="24"/>
  <c r="E59" i="26"/>
  <c r="P75" i="24"/>
  <c r="P119" i="24"/>
  <c r="P118" i="24"/>
  <c r="P114" i="37"/>
  <c r="P115" i="37" s="1"/>
  <c r="P114" i="39"/>
  <c r="P115" i="39" s="1"/>
  <c r="M77" i="35"/>
  <c r="M85" i="35"/>
  <c r="D64" i="26"/>
  <c r="P114" i="35"/>
  <c r="P115" i="35" s="1"/>
  <c r="M85" i="37"/>
  <c r="M77" i="37"/>
  <c r="M85" i="39"/>
  <c r="M77" i="39"/>
  <c r="O82" i="37"/>
  <c r="O82" i="39"/>
  <c r="O82" i="35"/>
  <c r="G22" i="36"/>
  <c r="P18" i="37"/>
  <c r="O61" i="37"/>
  <c r="O62" i="37"/>
  <c r="O64" i="37" s="1"/>
  <c r="N42" i="37"/>
  <c r="N44" i="37" s="1"/>
  <c r="G22" i="38"/>
  <c r="P18" i="39"/>
  <c r="O62" i="39"/>
  <c r="O64" i="39" s="1"/>
  <c r="O61" i="39"/>
  <c r="N42" i="39"/>
  <c r="N44" i="39" s="1"/>
  <c r="G22" i="34"/>
  <c r="E64" i="26"/>
  <c r="P18" i="35"/>
  <c r="O62" i="35"/>
  <c r="O64" i="35" s="1"/>
  <c r="O61" i="35"/>
  <c r="C18" i="40"/>
  <c r="N42" i="35"/>
  <c r="N44" i="35" s="1"/>
  <c r="Q11" i="31" l="1"/>
  <c r="P12" i="31"/>
  <c r="Q12" i="31" s="1"/>
  <c r="C108" i="10"/>
  <c r="D108" i="10" s="1"/>
  <c r="C109" i="10"/>
  <c r="D109" i="10" s="1"/>
  <c r="D56" i="41"/>
  <c r="E44" i="41"/>
  <c r="J12" i="25"/>
  <c r="N47" i="24"/>
  <c r="N48" i="24" s="1"/>
  <c r="F45" i="41"/>
  <c r="N69" i="24"/>
  <c r="N74" i="24" s="1"/>
  <c r="J10" i="25"/>
  <c r="N36" i="24"/>
  <c r="N38" i="24" s="1"/>
  <c r="I18" i="25"/>
  <c r="H11" i="32"/>
  <c r="E57" i="41"/>
  <c r="E53" i="41"/>
  <c r="E40" i="41"/>
  <c r="E8" i="41"/>
  <c r="E11" i="41" s="1"/>
  <c r="E15" i="41" s="1"/>
  <c r="E22" i="41" s="1"/>
  <c r="F27" i="41"/>
  <c r="P123" i="24"/>
  <c r="F55" i="26"/>
  <c r="O25" i="24"/>
  <c r="D13" i="31"/>
  <c r="O31" i="24"/>
  <c r="O42" i="24" s="1"/>
  <c r="O44" i="24" s="1"/>
  <c r="G41" i="41"/>
  <c r="K8" i="25"/>
  <c r="P56" i="24"/>
  <c r="P57" i="24" s="1"/>
  <c r="P60" i="24" s="1"/>
  <c r="L15" i="25"/>
  <c r="D14" i="32"/>
  <c r="D59" i="26"/>
  <c r="F59" i="26" s="1"/>
  <c r="P73" i="24"/>
  <c r="H9" i="41"/>
  <c r="H10" i="41"/>
  <c r="H18" i="41"/>
  <c r="H20" i="41"/>
  <c r="P71" i="24"/>
  <c r="P37" i="24" s="1"/>
  <c r="C14" i="31"/>
  <c r="L90" i="24"/>
  <c r="L91" i="24" s="1"/>
  <c r="R90" i="24"/>
  <c r="T90" i="24"/>
  <c r="M90" i="24"/>
  <c r="N90" i="24"/>
  <c r="P90" i="24"/>
  <c r="Q90" i="24"/>
  <c r="O90" i="24"/>
  <c r="U90" i="24"/>
  <c r="S90" i="24"/>
  <c r="L7" i="25"/>
  <c r="F64" i="26"/>
  <c r="P119" i="37"/>
  <c r="P118" i="37"/>
  <c r="P119" i="39"/>
  <c r="P118" i="39"/>
  <c r="P118" i="35"/>
  <c r="P119" i="35"/>
  <c r="N45" i="37"/>
  <c r="N46" i="37" s="1"/>
  <c r="N47" i="37" s="1"/>
  <c r="N48" i="37" s="1"/>
  <c r="N84" i="37" s="1"/>
  <c r="N32" i="37"/>
  <c r="N33" i="37" s="1"/>
  <c r="N45" i="39"/>
  <c r="N46" i="39" s="1"/>
  <c r="N47" i="39" s="1"/>
  <c r="N48" i="39" s="1"/>
  <c r="N84" i="39" s="1"/>
  <c r="N32" i="39"/>
  <c r="N33" i="39" s="1"/>
  <c r="N45" i="35"/>
  <c r="N46" i="35" s="1"/>
  <c r="N47" i="35" s="1"/>
  <c r="N48" i="35" s="1"/>
  <c r="N84" i="35" s="1"/>
  <c r="N32" i="35"/>
  <c r="N33" i="35" s="1"/>
  <c r="P75" i="37"/>
  <c r="P23" i="37"/>
  <c r="P73" i="37" s="1"/>
  <c r="P19" i="37"/>
  <c r="O70" i="37"/>
  <c r="O65" i="37"/>
  <c r="O26" i="37"/>
  <c r="O24" i="37" s="1"/>
  <c r="D12" i="40" s="1"/>
  <c r="P75" i="39"/>
  <c r="P19" i="39"/>
  <c r="P23" i="39"/>
  <c r="P73" i="39" s="1"/>
  <c r="O26" i="39"/>
  <c r="O24" i="39" s="1"/>
  <c r="E12" i="40" s="1"/>
  <c r="O65" i="39"/>
  <c r="O70" i="39"/>
  <c r="P19" i="35"/>
  <c r="P23" i="35"/>
  <c r="P73" i="35" s="1"/>
  <c r="P75" i="35"/>
  <c r="O26" i="35"/>
  <c r="O24" i="35" s="1"/>
  <c r="C12" i="40" s="1"/>
  <c r="O70" i="35"/>
  <c r="O65" i="35"/>
  <c r="O13" i="31" l="1"/>
  <c r="O14" i="31"/>
  <c r="D12" i="30"/>
  <c r="N84" i="24"/>
  <c r="J13" i="25"/>
  <c r="J16" i="25"/>
  <c r="N76" i="24"/>
  <c r="C12" i="32"/>
  <c r="J11" i="25"/>
  <c r="C12" i="30"/>
  <c r="H12" i="30" s="1"/>
  <c r="N83" i="24"/>
  <c r="E23" i="41"/>
  <c r="E24" i="41" s="1"/>
  <c r="E52" i="41" s="1"/>
  <c r="E48" i="41"/>
  <c r="E49" i="41" s="1"/>
  <c r="P123" i="39"/>
  <c r="P125" i="39" s="1"/>
  <c r="P125" i="24"/>
  <c r="P123" i="37"/>
  <c r="P125" i="37" s="1"/>
  <c r="K9" i="25"/>
  <c r="G13" i="32"/>
  <c r="P123" i="35"/>
  <c r="D80" i="26" s="1"/>
  <c r="P61" i="24"/>
  <c r="P62" i="24"/>
  <c r="P64" i="24" s="1"/>
  <c r="F14" i="32" s="1"/>
  <c r="P82" i="24"/>
  <c r="H29" i="41"/>
  <c r="H46" i="41" s="1"/>
  <c r="H21" i="41"/>
  <c r="M91" i="24"/>
  <c r="L93" i="24"/>
  <c r="N69" i="37"/>
  <c r="N74" i="37" s="1"/>
  <c r="N76" i="37" s="1"/>
  <c r="N36" i="37"/>
  <c r="N38" i="37" s="1"/>
  <c r="N83" i="37" s="1"/>
  <c r="N69" i="39"/>
  <c r="N74" i="39" s="1"/>
  <c r="N76" i="39" s="1"/>
  <c r="N36" i="39"/>
  <c r="N38" i="39" s="1"/>
  <c r="N83" i="39" s="1"/>
  <c r="N36" i="35"/>
  <c r="N38" i="35" s="1"/>
  <c r="N83" i="35" s="1"/>
  <c r="N69" i="35"/>
  <c r="N74" i="35" s="1"/>
  <c r="N76" i="35" s="1"/>
  <c r="P56" i="37"/>
  <c r="P57" i="37" s="1"/>
  <c r="P60" i="37" s="1"/>
  <c r="P56" i="39"/>
  <c r="P57" i="39" s="1"/>
  <c r="P60" i="39" s="1"/>
  <c r="O45" i="24"/>
  <c r="O46" i="24" s="1"/>
  <c r="O32" i="24"/>
  <c r="O33" i="24" s="1"/>
  <c r="D60" i="26"/>
  <c r="P56" i="35"/>
  <c r="P57" i="35" s="1"/>
  <c r="P60" i="35" s="1"/>
  <c r="D65" i="40"/>
  <c r="P71" i="37"/>
  <c r="P37" i="37" s="1"/>
  <c r="P82" i="37" s="1"/>
  <c r="O90" i="37"/>
  <c r="Q90" i="37"/>
  <c r="S90" i="37"/>
  <c r="L90" i="37"/>
  <c r="M90" i="37"/>
  <c r="N90" i="37"/>
  <c r="P90" i="37"/>
  <c r="R90" i="37"/>
  <c r="T90" i="37"/>
  <c r="U90" i="37"/>
  <c r="O31" i="37"/>
  <c r="D19" i="40"/>
  <c r="O25" i="37"/>
  <c r="E65" i="40"/>
  <c r="L90" i="39"/>
  <c r="M90" i="39"/>
  <c r="N90" i="39"/>
  <c r="O90" i="39"/>
  <c r="P90" i="39"/>
  <c r="Q90" i="39"/>
  <c r="R90" i="39"/>
  <c r="S90" i="39"/>
  <c r="T90" i="39"/>
  <c r="U90" i="39"/>
  <c r="P71" i="39"/>
  <c r="P37" i="39" s="1"/>
  <c r="P82" i="39" s="1"/>
  <c r="O31" i="39"/>
  <c r="O25" i="39"/>
  <c r="E19" i="40"/>
  <c r="L90" i="35"/>
  <c r="M90" i="35"/>
  <c r="N90" i="35"/>
  <c r="O90" i="35"/>
  <c r="R90" i="35"/>
  <c r="S90" i="35"/>
  <c r="P90" i="35"/>
  <c r="Q90" i="35"/>
  <c r="T90" i="35"/>
  <c r="U90" i="35"/>
  <c r="P71" i="35"/>
  <c r="P37" i="35" s="1"/>
  <c r="P82" i="35" s="1"/>
  <c r="C65" i="40"/>
  <c r="E60" i="26"/>
  <c r="O25" i="35"/>
  <c r="O31" i="35"/>
  <c r="P13" i="31" l="1"/>
  <c r="Q13" i="31" s="1"/>
  <c r="S13" i="31"/>
  <c r="R13" i="31"/>
  <c r="T14" i="31"/>
  <c r="S14" i="31"/>
  <c r="R14" i="31"/>
  <c r="P14" i="31"/>
  <c r="G12" i="30"/>
  <c r="J20" i="25"/>
  <c r="F12" i="30"/>
  <c r="N85" i="24"/>
  <c r="E12" i="32"/>
  <c r="N77" i="24"/>
  <c r="J19" i="25"/>
  <c r="E12" i="30"/>
  <c r="F28" i="41"/>
  <c r="F33" i="41" s="1"/>
  <c r="J17" i="25"/>
  <c r="F44" i="41"/>
  <c r="E56" i="41"/>
  <c r="P125" i="35"/>
  <c r="E80" i="26"/>
  <c r="F80" i="26" s="1"/>
  <c r="H12" i="41"/>
  <c r="H55" i="41" s="1"/>
  <c r="I55" i="41" s="1" a="1"/>
  <c r="L14" i="25"/>
  <c r="P26" i="24"/>
  <c r="P24" i="24" s="1"/>
  <c r="P65" i="24"/>
  <c r="P70" i="24"/>
  <c r="N85" i="35"/>
  <c r="N77" i="35"/>
  <c r="G45" i="41"/>
  <c r="K10" i="25"/>
  <c r="O36" i="24"/>
  <c r="O38" i="24" s="1"/>
  <c r="O69" i="24"/>
  <c r="O74" i="24" s="1"/>
  <c r="N91" i="24"/>
  <c r="M93" i="24"/>
  <c r="N85" i="37"/>
  <c r="N77" i="37"/>
  <c r="N77" i="39"/>
  <c r="N85" i="39"/>
  <c r="O47" i="24"/>
  <c r="O48" i="24" s="1"/>
  <c r="K12" i="25"/>
  <c r="L91" i="37"/>
  <c r="L91" i="39"/>
  <c r="L91" i="35"/>
  <c r="F60" i="26"/>
  <c r="P62" i="37"/>
  <c r="P64" i="37" s="1"/>
  <c r="P61" i="37"/>
  <c r="O42" i="37"/>
  <c r="O44" i="37" s="1"/>
  <c r="P61" i="39"/>
  <c r="P62" i="39"/>
  <c r="P64" i="39" s="1"/>
  <c r="O42" i="39"/>
  <c r="O44" i="39" s="1"/>
  <c r="D66" i="26"/>
  <c r="F66" i="26" s="1"/>
  <c r="P62" i="35"/>
  <c r="P64" i="35" s="1"/>
  <c r="P61" i="35"/>
  <c r="C19" i="40"/>
  <c r="O42" i="35"/>
  <c r="O44" i="35" s="1"/>
  <c r="J18" i="25" l="1"/>
  <c r="H12" i="32"/>
  <c r="F40" i="41"/>
  <c r="G27" i="41"/>
  <c r="F57" i="41"/>
  <c r="F53" i="41"/>
  <c r="F8" i="41"/>
  <c r="F11" i="41" s="1"/>
  <c r="F15" i="41" s="1"/>
  <c r="F22" i="41" s="1"/>
  <c r="L97" i="24"/>
  <c r="D14" i="31"/>
  <c r="H41" i="41"/>
  <c r="P25" i="24"/>
  <c r="L92" i="24" s="1"/>
  <c r="P31" i="24"/>
  <c r="P42" i="24" s="1"/>
  <c r="P44" i="24" s="1"/>
  <c r="L8" i="25"/>
  <c r="N93" i="24"/>
  <c r="O91" i="24"/>
  <c r="C13" i="30"/>
  <c r="O83" i="24"/>
  <c r="K11" i="25"/>
  <c r="C13" i="32"/>
  <c r="K16" i="25"/>
  <c r="O76" i="24"/>
  <c r="L93" i="37"/>
  <c r="M91" i="37"/>
  <c r="L93" i="39"/>
  <c r="M91" i="39"/>
  <c r="M91" i="35"/>
  <c r="L93" i="35"/>
  <c r="D13" i="30"/>
  <c r="K13" i="25"/>
  <c r="O84" i="24"/>
  <c r="O45" i="37"/>
  <c r="O46" i="37" s="1"/>
  <c r="O47" i="37" s="1"/>
  <c r="O48" i="37" s="1"/>
  <c r="O84" i="37" s="1"/>
  <c r="O32" i="37"/>
  <c r="O33" i="37" s="1"/>
  <c r="O45" i="39"/>
  <c r="O46" i="39" s="1"/>
  <c r="O47" i="39" s="1"/>
  <c r="O48" i="39" s="1"/>
  <c r="O84" i="39" s="1"/>
  <c r="O32" i="39"/>
  <c r="O33" i="39" s="1"/>
  <c r="O45" i="35"/>
  <c r="O46" i="35" s="1"/>
  <c r="O47" i="35" s="1"/>
  <c r="O48" i="35" s="1"/>
  <c r="O84" i="35" s="1"/>
  <c r="O32" i="35"/>
  <c r="O33" i="35" s="1"/>
  <c r="E69" i="26"/>
  <c r="D69" i="26"/>
  <c r="D73" i="40"/>
  <c r="D66" i="40"/>
  <c r="D67" i="40" s="1"/>
  <c r="P26" i="37"/>
  <c r="P24" i="37" s="1"/>
  <c r="P70" i="37"/>
  <c r="P65" i="37"/>
  <c r="E73" i="40"/>
  <c r="P26" i="39"/>
  <c r="P24" i="39" s="1"/>
  <c r="P65" i="39"/>
  <c r="P70" i="39"/>
  <c r="E66" i="40"/>
  <c r="E67" i="40" s="1"/>
  <c r="C73" i="40"/>
  <c r="P70" i="35"/>
  <c r="P26" i="35"/>
  <c r="P24" i="35" s="1"/>
  <c r="P65" i="35"/>
  <c r="C66" i="40"/>
  <c r="C67" i="40" s="1"/>
  <c r="H13" i="30" l="1"/>
  <c r="F69" i="26"/>
  <c r="F23" i="41"/>
  <c r="F24" i="41" s="1"/>
  <c r="F52" i="41" s="1"/>
  <c r="F48" i="41"/>
  <c r="F49" i="41" s="1"/>
  <c r="M92" i="24"/>
  <c r="N92" i="24" s="1"/>
  <c r="O92" i="24" s="1"/>
  <c r="E75" i="26"/>
  <c r="G13" i="30"/>
  <c r="L96" i="24"/>
  <c r="L94" i="24" s="1"/>
  <c r="N96" i="24"/>
  <c r="Q96" i="24"/>
  <c r="S96" i="24"/>
  <c r="M96" i="24"/>
  <c r="O96" i="24"/>
  <c r="P96" i="24"/>
  <c r="R96" i="24"/>
  <c r="T96" i="24"/>
  <c r="B25" i="25"/>
  <c r="D71" i="26" s="1"/>
  <c r="F71" i="26" s="1"/>
  <c r="G14" i="32"/>
  <c r="L9" i="25"/>
  <c r="P91" i="24"/>
  <c r="O93" i="24"/>
  <c r="E13" i="30"/>
  <c r="K19" i="25"/>
  <c r="G28" i="41"/>
  <c r="G33" i="41" s="1"/>
  <c r="K17" i="25"/>
  <c r="O77" i="24"/>
  <c r="E13" i="32"/>
  <c r="O85" i="24"/>
  <c r="N91" i="37"/>
  <c r="M93" i="37"/>
  <c r="M93" i="39"/>
  <c r="N91" i="39"/>
  <c r="M93" i="35"/>
  <c r="N91" i="35"/>
  <c r="F13" i="30"/>
  <c r="K20" i="25"/>
  <c r="O36" i="37"/>
  <c r="O38" i="37" s="1"/>
  <c r="O83" i="37" s="1"/>
  <c r="O69" i="37"/>
  <c r="O74" i="37" s="1"/>
  <c r="O76" i="37" s="1"/>
  <c r="O69" i="39"/>
  <c r="O74" i="39" s="1"/>
  <c r="O76" i="39" s="1"/>
  <c r="O36" i="39"/>
  <c r="O38" i="39" s="1"/>
  <c r="O83" i="39" s="1"/>
  <c r="O69" i="35"/>
  <c r="O74" i="35" s="1"/>
  <c r="O76" i="35" s="1"/>
  <c r="O36" i="35"/>
  <c r="O38" i="35" s="1"/>
  <c r="O83" i="35" s="1"/>
  <c r="D13" i="40"/>
  <c r="L97" i="37"/>
  <c r="E13" i="40"/>
  <c r="L97" i="39"/>
  <c r="C13" i="40"/>
  <c r="L97" i="35"/>
  <c r="P45" i="24"/>
  <c r="P46" i="24" s="1"/>
  <c r="P32" i="24"/>
  <c r="P33" i="24" s="1"/>
  <c r="P36" i="24" s="1"/>
  <c r="P38" i="24" s="1"/>
  <c r="D68" i="40"/>
  <c r="P25" i="37"/>
  <c r="L92" i="37" s="1"/>
  <c r="M92" i="37" s="1"/>
  <c r="P31" i="37"/>
  <c r="E68" i="40"/>
  <c r="P31" i="39"/>
  <c r="P25" i="39"/>
  <c r="L92" i="39" s="1"/>
  <c r="M92" i="39" s="1"/>
  <c r="C68" i="40"/>
  <c r="P31" i="35"/>
  <c r="P25" i="35"/>
  <c r="F8" i="42" s="1"/>
  <c r="N92" i="37" l="1"/>
  <c r="N92" i="39"/>
  <c r="L92" i="35"/>
  <c r="M92" i="35" s="1"/>
  <c r="N92" i="35" s="1"/>
  <c r="N94" i="24"/>
  <c r="N95" i="24" s="1"/>
  <c r="F56" i="41"/>
  <c r="G44" i="41"/>
  <c r="M94" i="24"/>
  <c r="M95" i="24" s="1"/>
  <c r="D75" i="26"/>
  <c r="F75" i="26" s="1"/>
  <c r="L95" i="24"/>
  <c r="P93" i="24"/>
  <c r="Q91" i="24"/>
  <c r="N93" i="39"/>
  <c r="O91" i="39"/>
  <c r="O92" i="39" s="1"/>
  <c r="N93" i="35"/>
  <c r="O91" i="35"/>
  <c r="O92" i="35" s="1"/>
  <c r="G53" i="41"/>
  <c r="G57" i="41"/>
  <c r="G8" i="41"/>
  <c r="G11" i="41" s="1"/>
  <c r="G15" i="41" s="1"/>
  <c r="G22" i="41" s="1"/>
  <c r="H27" i="41"/>
  <c r="G40" i="41"/>
  <c r="K18" i="25"/>
  <c r="H13" i="32"/>
  <c r="N93" i="37"/>
  <c r="O91" i="37"/>
  <c r="O92" i="37" s="1"/>
  <c r="O94" i="24"/>
  <c r="P92" i="24"/>
  <c r="D20" i="40"/>
  <c r="E20" i="40"/>
  <c r="O85" i="39"/>
  <c r="O77" i="39"/>
  <c r="L12" i="25"/>
  <c r="P47" i="24"/>
  <c r="P48" i="24" s="1"/>
  <c r="L96" i="37"/>
  <c r="M96" i="37"/>
  <c r="M94" i="37" s="1"/>
  <c r="N96" i="37"/>
  <c r="O96" i="37"/>
  <c r="P96" i="37"/>
  <c r="Q96" i="37"/>
  <c r="R96" i="37"/>
  <c r="S96" i="37"/>
  <c r="T96" i="37"/>
  <c r="D82" i="40"/>
  <c r="L96" i="39"/>
  <c r="M96" i="39"/>
  <c r="M94" i="39" s="1"/>
  <c r="N96" i="39"/>
  <c r="O96" i="39"/>
  <c r="P96" i="39"/>
  <c r="Q96" i="39"/>
  <c r="R96" i="39"/>
  <c r="S96" i="39"/>
  <c r="T96" i="39"/>
  <c r="E82" i="40"/>
  <c r="L96" i="35"/>
  <c r="M96" i="35"/>
  <c r="N96" i="35"/>
  <c r="O96" i="35"/>
  <c r="P96" i="35"/>
  <c r="Q96" i="35"/>
  <c r="R96" i="35"/>
  <c r="S96" i="35"/>
  <c r="T96" i="35"/>
  <c r="C82" i="40"/>
  <c r="O77" i="37"/>
  <c r="O85" i="37"/>
  <c r="O77" i="35"/>
  <c r="O85" i="35"/>
  <c r="D88" i="40"/>
  <c r="D109" i="22"/>
  <c r="E88" i="40"/>
  <c r="E109" i="22"/>
  <c r="C88" i="40"/>
  <c r="C109" i="22"/>
  <c r="H45" i="41"/>
  <c r="P69" i="24"/>
  <c r="P74" i="24" s="1"/>
  <c r="L10" i="25"/>
  <c r="D74" i="40"/>
  <c r="D75" i="40" s="1"/>
  <c r="D76" i="40" s="1"/>
  <c r="D70" i="40"/>
  <c r="D71" i="40" s="1"/>
  <c r="D72" i="40" s="1"/>
  <c r="P42" i="37"/>
  <c r="P44" i="37" s="1"/>
  <c r="E74" i="40"/>
  <c r="E75" i="40" s="1"/>
  <c r="E76" i="40" s="1"/>
  <c r="E70" i="40"/>
  <c r="E71" i="40" s="1"/>
  <c r="E72" i="40" s="1"/>
  <c r="P42" i="39"/>
  <c r="P44" i="39" s="1"/>
  <c r="C74" i="40"/>
  <c r="C75" i="40" s="1"/>
  <c r="C76" i="40" s="1"/>
  <c r="C70" i="40"/>
  <c r="C71" i="40" s="1"/>
  <c r="E80" i="22" s="1"/>
  <c r="P42" i="35"/>
  <c r="P44" i="35" s="1"/>
  <c r="C20" i="40"/>
  <c r="L11" i="25"/>
  <c r="C14" i="30"/>
  <c r="P83" i="24"/>
  <c r="D33" i="40" l="1"/>
  <c r="E33" i="40"/>
  <c r="C33" i="40"/>
  <c r="N94" i="37"/>
  <c r="N94" i="39"/>
  <c r="M94" i="35"/>
  <c r="M95" i="35" s="1"/>
  <c r="N94" i="35"/>
  <c r="O93" i="39"/>
  <c r="P91" i="39"/>
  <c r="P92" i="39" s="1"/>
  <c r="O93" i="35"/>
  <c r="P91" i="35"/>
  <c r="P92" i="35" s="1"/>
  <c r="O93" i="37"/>
  <c r="P91" i="37"/>
  <c r="P92" i="37" s="1"/>
  <c r="P94" i="24"/>
  <c r="Q92" i="24"/>
  <c r="Q93" i="24"/>
  <c r="R91" i="24"/>
  <c r="G23" i="41"/>
  <c r="G24" i="41" s="1"/>
  <c r="G52" i="41" s="1"/>
  <c r="G48" i="41"/>
  <c r="G49" i="41" s="1"/>
  <c r="C14" i="32"/>
  <c r="P76" i="24"/>
  <c r="L16" i="25"/>
  <c r="P84" i="24"/>
  <c r="D14" i="30"/>
  <c r="L13" i="25"/>
  <c r="L94" i="37"/>
  <c r="L95" i="37" s="1"/>
  <c r="D83" i="40"/>
  <c r="L94" i="39"/>
  <c r="L95" i="39" s="1"/>
  <c r="E83" i="40"/>
  <c r="L94" i="35"/>
  <c r="L95" i="35" s="1"/>
  <c r="C83" i="40"/>
  <c r="O94" i="37"/>
  <c r="O94" i="39"/>
  <c r="O94" i="35"/>
  <c r="P45" i="37"/>
  <c r="P46" i="37" s="1"/>
  <c r="P47" i="37" s="1"/>
  <c r="P48" i="37" s="1"/>
  <c r="P84" i="37" s="1"/>
  <c r="P32" i="37"/>
  <c r="P33" i="37" s="1"/>
  <c r="P45" i="39"/>
  <c r="P46" i="39" s="1"/>
  <c r="P47" i="39" s="1"/>
  <c r="P48" i="39" s="1"/>
  <c r="P84" i="39" s="1"/>
  <c r="P32" i="39"/>
  <c r="P33" i="39" s="1"/>
  <c r="P45" i="35"/>
  <c r="P46" i="35" s="1"/>
  <c r="P47" i="35" s="1"/>
  <c r="P48" i="35" s="1"/>
  <c r="P84" i="35" s="1"/>
  <c r="P32" i="35"/>
  <c r="P33" i="35" s="1"/>
  <c r="C72" i="40"/>
  <c r="M95" i="37"/>
  <c r="M95" i="39"/>
  <c r="E14" i="30"/>
  <c r="L19" i="25"/>
  <c r="O95" i="24"/>
  <c r="G14" i="30" l="1"/>
  <c r="O9" i="30"/>
  <c r="O10" i="30"/>
  <c r="H14" i="30"/>
  <c r="P93" i="39"/>
  <c r="Q91" i="39"/>
  <c r="Q92" i="39" s="1"/>
  <c r="Q91" i="37"/>
  <c r="Q92" i="37" s="1"/>
  <c r="P93" i="37"/>
  <c r="P93" i="35"/>
  <c r="Q91" i="35"/>
  <c r="Q92" i="35" s="1"/>
  <c r="Q94" i="24"/>
  <c r="R92" i="24"/>
  <c r="S91" i="24"/>
  <c r="R93" i="24"/>
  <c r="G56" i="41"/>
  <c r="H44" i="41"/>
  <c r="P36" i="37"/>
  <c r="P38" i="37" s="1"/>
  <c r="P83" i="37" s="1"/>
  <c r="P69" i="37"/>
  <c r="P74" i="37" s="1"/>
  <c r="P76" i="37" s="1"/>
  <c r="D85" i="40"/>
  <c r="E85" i="40"/>
  <c r="C85" i="40"/>
  <c r="H28" i="41"/>
  <c r="H33" i="41" s="1"/>
  <c r="H8" i="41" s="1"/>
  <c r="H11" i="41" s="1"/>
  <c r="H15" i="41" s="1"/>
  <c r="H22" i="41" s="1"/>
  <c r="E14" i="32"/>
  <c r="L17" i="25"/>
  <c r="P85" i="24"/>
  <c r="P77" i="24"/>
  <c r="L20" i="25"/>
  <c r="F14" i="30"/>
  <c r="P36" i="39"/>
  <c r="P38" i="39" s="1"/>
  <c r="P83" i="39" s="1"/>
  <c r="P69" i="39"/>
  <c r="P74" i="39" s="1"/>
  <c r="P76" i="39" s="1"/>
  <c r="P36" i="35"/>
  <c r="P38" i="35" s="1"/>
  <c r="P83" i="35" s="1"/>
  <c r="P69" i="35"/>
  <c r="P74" i="35" s="1"/>
  <c r="P76" i="35" s="1"/>
  <c r="P94" i="37"/>
  <c r="P94" i="39"/>
  <c r="P94" i="35"/>
  <c r="N95" i="37"/>
  <c r="N95" i="39"/>
  <c r="N95" i="35"/>
  <c r="P95" i="24"/>
  <c r="P9" i="30" l="1"/>
  <c r="Q9" i="30" s="1"/>
  <c r="S9" i="30"/>
  <c r="R9" i="30"/>
  <c r="T10" i="30"/>
  <c r="S10" i="30"/>
  <c r="R10" i="30"/>
  <c r="P10" i="30"/>
  <c r="B26" i="25" a="1"/>
  <c r="B27" i="25" a="1"/>
  <c r="Q93" i="39"/>
  <c r="R91" i="39"/>
  <c r="R92" i="39" s="1"/>
  <c r="Q93" i="37"/>
  <c r="R91" i="37"/>
  <c r="R92" i="37" s="1"/>
  <c r="Q93" i="35"/>
  <c r="R91" i="35"/>
  <c r="R92" i="35" s="1"/>
  <c r="R94" i="24"/>
  <c r="S92" i="24"/>
  <c r="S93" i="24"/>
  <c r="T91" i="24"/>
  <c r="P85" i="37"/>
  <c r="P77" i="37"/>
  <c r="D86" i="40"/>
  <c r="D96" i="40"/>
  <c r="F96" i="40" s="1"/>
  <c r="E86" i="40"/>
  <c r="D97" i="40"/>
  <c r="F97" i="40" s="1"/>
  <c r="C86" i="40"/>
  <c r="D95" i="40"/>
  <c r="F95" i="40" s="1"/>
  <c r="H57" i="41"/>
  <c r="I57" i="41" s="1" a="1"/>
  <c r="H53" i="41"/>
  <c r="I53" i="41" s="1" a="1"/>
  <c r="H40" i="41"/>
  <c r="L18" i="25"/>
  <c r="H14" i="32"/>
  <c r="P77" i="39"/>
  <c r="P85" i="39"/>
  <c r="P85" i="35"/>
  <c r="P77" i="35"/>
  <c r="Q94" i="37"/>
  <c r="Q94" i="39"/>
  <c r="Q94" i="35"/>
  <c r="O95" i="37"/>
  <c r="O95" i="39"/>
  <c r="O95" i="35"/>
  <c r="H48" i="41"/>
  <c r="H49" i="41" s="1"/>
  <c r="H56" i="41" s="1"/>
  <c r="I56" i="41" s="1" a="1"/>
  <c r="H23" i="41"/>
  <c r="H24" i="41" s="1"/>
  <c r="H52" i="41" s="1"/>
  <c r="I52" i="41" s="1" a="1"/>
  <c r="Q95" i="24"/>
  <c r="R93" i="39" l="1"/>
  <c r="S91" i="39"/>
  <c r="S92" i="39" s="1"/>
  <c r="R93" i="37"/>
  <c r="S91" i="37"/>
  <c r="S92" i="37" s="1"/>
  <c r="S91" i="35"/>
  <c r="S92" i="35" s="1"/>
  <c r="R93" i="35"/>
  <c r="S94" i="24"/>
  <c r="T92" i="24"/>
  <c r="T93" i="24"/>
  <c r="U91" i="24"/>
  <c r="R94" i="37"/>
  <c r="R94" i="39"/>
  <c r="R94" i="35"/>
  <c r="P95" i="37"/>
  <c r="P95" i="39"/>
  <c r="P95" i="35"/>
  <c r="R95" i="24"/>
  <c r="U93" i="24" l="1"/>
  <c r="E76" i="26" a="1"/>
  <c r="S93" i="39"/>
  <c r="T91" i="39"/>
  <c r="T92" i="39" s="1"/>
  <c r="T91" i="37"/>
  <c r="T92" i="37" s="1"/>
  <c r="S93" i="37"/>
  <c r="S93" i="35"/>
  <c r="T91" i="35"/>
  <c r="T92" i="35" s="1"/>
  <c r="T94" i="24"/>
  <c r="U92" i="24"/>
  <c r="S94" i="37"/>
  <c r="S94" i="39"/>
  <c r="S94" i="35"/>
  <c r="Q95" i="37"/>
  <c r="Q95" i="39"/>
  <c r="Q95" i="35"/>
  <c r="S95" i="24"/>
  <c r="T93" i="39" l="1"/>
  <c r="U91" i="39"/>
  <c r="T93" i="37"/>
  <c r="U91" i="37"/>
  <c r="T93" i="35"/>
  <c r="U91" i="35"/>
  <c r="U94" i="24"/>
  <c r="D76" i="26"/>
  <c r="F76" i="26" s="1"/>
  <c r="T94" i="37"/>
  <c r="T94" i="39"/>
  <c r="T94" i="35"/>
  <c r="R95" i="37"/>
  <c r="R95" i="39"/>
  <c r="R95" i="35"/>
  <c r="T95" i="24"/>
  <c r="U93" i="39" l="1"/>
  <c r="U92" i="39"/>
  <c r="U93" i="37"/>
  <c r="U92" i="37"/>
  <c r="U93" i="35"/>
  <c r="U92" i="35"/>
  <c r="S95" i="37"/>
  <c r="S95" i="39"/>
  <c r="S95" i="35"/>
  <c r="U95" i="24"/>
  <c r="U94" i="37" l="1"/>
  <c r="D89" i="40"/>
  <c r="U94" i="39"/>
  <c r="E89" i="40"/>
  <c r="U94" i="35"/>
  <c r="C89" i="40"/>
  <c r="C8" i="42" s="1"/>
  <c r="T95" i="37"/>
  <c r="T95" i="39"/>
  <c r="T95" i="35"/>
  <c r="E8" i="42" l="1"/>
  <c r="E67" i="26"/>
  <c r="U95" i="37"/>
  <c r="U95" i="39"/>
  <c r="F133" i="40" s="1" a="1"/>
  <c r="U95" i="35"/>
  <c r="D77" i="26" s="1"/>
  <c r="E134" i="40" l="1" a="1"/>
  <c r="G133" i="40" a="1"/>
  <c r="F121" i="40" a="1"/>
  <c r="D178" i="40" a="1"/>
  <c r="D176" i="40" a="1"/>
  <c r="E123" i="40" a="1"/>
  <c r="E125" i="40" a="1"/>
  <c r="D169" i="40" a="1"/>
  <c r="D122" i="40" a="1"/>
  <c r="C124" i="40" a="1"/>
  <c r="F120" i="40" a="1"/>
  <c r="C117" i="40" a="1"/>
  <c r="D146" i="40" a="1"/>
  <c r="D150" i="40" a="1"/>
  <c r="D162" i="40" a="1"/>
  <c r="D148" i="40" a="1"/>
  <c r="D121" i="40" a="1"/>
  <c r="D120" i="40" a="1"/>
  <c r="D119" i="40" a="1"/>
  <c r="D159" i="40" a="1"/>
  <c r="F134" i="40" a="1"/>
  <c r="G128" i="40" a="1"/>
  <c r="E165" i="40" a="1"/>
  <c r="C133" i="40" a="1"/>
  <c r="D132" i="40" a="1"/>
  <c r="G131" i="40" a="1"/>
  <c r="D131" i="40" a="1"/>
  <c r="D128" i="40" a="1"/>
  <c r="E177" i="40" a="1"/>
  <c r="E129" i="40" a="1"/>
  <c r="F41" i="40" a="1"/>
  <c r="F38" i="40" a="1"/>
  <c r="G40" i="40" a="1"/>
  <c r="F40" i="40" a="1"/>
  <c r="G41" i="40" a="1"/>
  <c r="G37" i="40" a="1"/>
  <c r="C39" i="40" a="1"/>
  <c r="C41" i="40" a="1"/>
  <c r="C38" i="40" a="1"/>
  <c r="D40" i="40" a="1"/>
  <c r="G39" i="40" a="1"/>
  <c r="E37" i="40" a="1"/>
  <c r="D39" i="40" a="1"/>
  <c r="F37" i="40" a="1"/>
  <c r="G38" i="40" a="1"/>
  <c r="E40" i="40" a="1"/>
  <c r="D37" i="40" a="1"/>
  <c r="C37" i="40" a="1"/>
  <c r="E38" i="40" a="1"/>
  <c r="E39" i="40" a="1"/>
  <c r="F39" i="40" a="1"/>
  <c r="D38" i="40" a="1"/>
  <c r="D41" i="40" a="1"/>
  <c r="G113" i="40" a="1"/>
  <c r="C150" i="40" a="1"/>
  <c r="F111" i="40" a="1"/>
  <c r="C160" i="40" a="1"/>
  <c r="C144" i="40" a="1"/>
  <c r="E107" i="40" a="1"/>
  <c r="C164" i="40" a="1"/>
  <c r="C166" i="40" a="1"/>
  <c r="G114" i="40" a="1"/>
  <c r="E113" i="40" a="1"/>
  <c r="E106" i="40" a="1"/>
  <c r="C163" i="40" a="1"/>
  <c r="C114" i="40" a="1"/>
  <c r="D111" i="40" a="1"/>
  <c r="D106" i="40" a="1"/>
  <c r="G110" i="40" a="1"/>
  <c r="C106" i="40" a="1"/>
  <c r="G108" i="40" a="1"/>
  <c r="E41" i="40" a="1"/>
  <c r="C40" i="40" a="1"/>
  <c r="C123" i="40" a="1"/>
  <c r="F118" i="40" a="1"/>
  <c r="D165" i="40" a="1"/>
  <c r="G125" i="40" a="1"/>
  <c r="F123" i="40" a="1"/>
  <c r="D161" i="40" a="1"/>
  <c r="D140" i="40" a="1"/>
  <c r="D143" i="40" a="1"/>
  <c r="G121" i="40" a="1"/>
  <c r="D123" i="40" a="1"/>
  <c r="D172" i="40" a="1"/>
  <c r="D177" i="40" a="1"/>
  <c r="D170" i="40" a="1"/>
  <c r="G119" i="40" a="1"/>
  <c r="F122" i="40" a="1"/>
  <c r="E117" i="40" a="1"/>
  <c r="D117" i="40" a="1"/>
  <c r="G122" i="40" a="1"/>
  <c r="D179" i="40" a="1"/>
  <c r="C121" i="40" a="1"/>
  <c r="D175" i="40" a="1"/>
  <c r="G124" i="40" a="1"/>
  <c r="D144" i="40" a="1"/>
  <c r="C119" i="40" a="1"/>
  <c r="C125" i="40" a="1"/>
  <c r="E118" i="40" a="1"/>
  <c r="E122" i="40" a="1"/>
  <c r="D125" i="40" a="1"/>
  <c r="D149" i="40" a="1"/>
  <c r="D158" i="40" a="1"/>
  <c r="D151" i="40" a="1"/>
  <c r="G117" i="40" a="1"/>
  <c r="F119" i="40" a="1"/>
  <c r="D166" i="40" a="1"/>
  <c r="F117" i="40" a="1"/>
  <c r="D168" i="40" a="1"/>
  <c r="E120" i="40" a="1"/>
  <c r="G123" i="40" a="1"/>
  <c r="D154" i="40" a="1"/>
  <c r="D156" i="40" a="1"/>
  <c r="D160" i="40" a="1"/>
  <c r="D118" i="40" a="1"/>
  <c r="D147" i="40" a="1"/>
  <c r="E119" i="40" a="1"/>
  <c r="D141" i="40" a="1"/>
  <c r="D155" i="40" a="1"/>
  <c r="G120" i="40" a="1"/>
  <c r="D180" i="40" a="1"/>
  <c r="F125" i="40" a="1"/>
  <c r="E121" i="40" a="1"/>
  <c r="E124" i="40" a="1"/>
  <c r="F124" i="40" a="1"/>
  <c r="D167" i="40" a="1"/>
  <c r="D145" i="40" a="1"/>
  <c r="D164" i="40" a="1"/>
  <c r="D142" i="40" a="1"/>
  <c r="D163" i="40" a="1"/>
  <c r="D157" i="40" a="1"/>
  <c r="C118" i="40" a="1"/>
  <c r="D174" i="40" a="1"/>
  <c r="D171" i="40" a="1"/>
  <c r="C122" i="40" a="1"/>
  <c r="D153" i="40" a="1"/>
  <c r="D124" i="40" a="1"/>
  <c r="D152" i="40" a="1"/>
  <c r="C120" i="40" a="1"/>
  <c r="G118" i="40" a="1"/>
  <c r="D173" i="40" a="1"/>
  <c r="E153" i="40" a="1"/>
  <c r="C128" i="40" a="1"/>
  <c r="F132" i="40" a="1"/>
  <c r="E160" i="40" a="1"/>
  <c r="E173" i="40" a="1"/>
  <c r="E169" i="40" a="1"/>
  <c r="E167" i="40" a="1"/>
  <c r="E143" i="40" a="1"/>
  <c r="E178" i="40" a="1"/>
  <c r="E179" i="40" a="1"/>
  <c r="G134" i="40" a="1"/>
  <c r="E146" i="40" a="1"/>
  <c r="E170" i="40" a="1"/>
  <c r="F129" i="40" a="1"/>
  <c r="D129" i="40" a="1"/>
  <c r="E155" i="40" a="1"/>
  <c r="C136" i="40" a="1"/>
  <c r="E157" i="40" a="1"/>
  <c r="E151" i="40" a="1"/>
  <c r="E150" i="40" a="1"/>
  <c r="D134" i="40" a="1"/>
  <c r="E145" i="40" a="1"/>
  <c r="E149" i="40" a="1"/>
  <c r="E180" i="40" a="1"/>
  <c r="C132" i="40" a="1"/>
  <c r="E171" i="40" a="1"/>
  <c r="F128" i="40" a="1"/>
  <c r="E128" i="40" a="1"/>
  <c r="E163" i="40" a="1"/>
  <c r="E172" i="40" a="1"/>
  <c r="E162" i="40" a="1"/>
  <c r="D135" i="40" a="1"/>
  <c r="E136" i="40" a="1"/>
  <c r="E156" i="40" a="1"/>
  <c r="G129" i="40" a="1"/>
  <c r="E147" i="40" a="1"/>
  <c r="E142" i="40" a="1"/>
  <c r="E133" i="40" a="1"/>
  <c r="C134" i="40" a="1"/>
  <c r="E132" i="40" a="1"/>
  <c r="E140" i="40" a="1"/>
  <c r="D130" i="40" a="1"/>
  <c r="D136" i="40" a="1"/>
  <c r="C130" i="40" a="1"/>
  <c r="E148" i="40" a="1"/>
  <c r="E164" i="40" a="1"/>
  <c r="E141" i="40" a="1"/>
  <c r="E159" i="40" a="1"/>
  <c r="E152" i="40" a="1"/>
  <c r="F135" i="40" a="1"/>
  <c r="F131" i="40" a="1"/>
  <c r="G135" i="40" a="1"/>
  <c r="E131" i="40" a="1"/>
  <c r="E166" i="40" a="1"/>
  <c r="E168" i="40" a="1"/>
  <c r="G132" i="40" a="1"/>
  <c r="C129" i="40" a="1"/>
  <c r="E174" i="40" a="1"/>
  <c r="F136" i="40" a="1"/>
  <c r="D133" i="40" a="1"/>
  <c r="G130" i="40" a="1"/>
  <c r="E135" i="40" a="1"/>
  <c r="C135" i="40" a="1"/>
  <c r="E130" i="40" a="1"/>
  <c r="E176" i="40" a="1"/>
  <c r="E144" i="40" a="1"/>
  <c r="G136" i="40" a="1"/>
  <c r="E158" i="40" a="1"/>
  <c r="E175" i="40" a="1"/>
  <c r="E161" i="40" a="1"/>
  <c r="C131" i="40" a="1"/>
  <c r="E154" i="40" a="1"/>
  <c r="F130" i="40" a="1"/>
  <c r="E77" i="26"/>
  <c r="F77" i="26" s="1"/>
  <c r="C141" i="40" a="1"/>
  <c r="C162" i="40" a="1"/>
  <c r="C152" i="40" a="1"/>
  <c r="C148" i="40" a="1"/>
  <c r="C169" i="40" a="1"/>
  <c r="C168" i="40" a="1"/>
  <c r="C174" i="40" a="1"/>
  <c r="C177" i="40" a="1"/>
  <c r="C176" i="40" a="1"/>
  <c r="C108" i="40" a="1"/>
  <c r="D114" i="40" a="1"/>
  <c r="F113" i="40" a="1"/>
  <c r="F110" i="40" a="1"/>
  <c r="D109" i="40" a="1"/>
  <c r="D110" i="40" a="1"/>
  <c r="C161" i="40" a="1"/>
  <c r="C154" i="40" a="1"/>
  <c r="C153" i="40" a="1"/>
  <c r="C143" i="40" a="1"/>
  <c r="C146" i="40" a="1"/>
  <c r="C107" i="40" a="1"/>
  <c r="D112" i="40" a="1"/>
  <c r="C149" i="40" a="1"/>
  <c r="D108" i="40" a="1"/>
  <c r="D107" i="40" a="1"/>
  <c r="C173" i="40" a="1"/>
  <c r="C171" i="40" a="1"/>
  <c r="C170" i="40" a="1"/>
  <c r="C159" i="40" a="1"/>
  <c r="C158" i="40" a="1"/>
  <c r="C145" i="40" a="1"/>
  <c r="G111" i="40" a="1"/>
  <c r="D101" i="40" a="1"/>
  <c r="C111" i="40" a="1"/>
  <c r="E110" i="40" a="1"/>
  <c r="E109" i="40" a="1"/>
  <c r="F114" i="40" a="1"/>
  <c r="E108" i="40" a="1"/>
  <c r="C110" i="40" a="1"/>
  <c r="C179" i="40" a="1"/>
  <c r="C167" i="40" a="1"/>
  <c r="C142" i="40" a="1"/>
  <c r="E112" i="40" a="1"/>
  <c r="C151" i="40" a="1"/>
  <c r="C172" i="40" a="1"/>
  <c r="F108" i="40" a="1"/>
  <c r="C175" i="40" a="1"/>
  <c r="C140" i="40" a="1"/>
  <c r="C109" i="40" a="1"/>
  <c r="D113" i="40" a="1"/>
  <c r="C165" i="40" a="1"/>
  <c r="C112" i="40" a="1"/>
  <c r="C178" i="40" a="1"/>
  <c r="F106" i="40" a="1"/>
  <c r="E114" i="40" a="1"/>
  <c r="C155" i="40" a="1"/>
  <c r="C147" i="40" a="1"/>
  <c r="F112" i="40" a="1"/>
  <c r="G106" i="40" a="1"/>
  <c r="C113" i="40" a="1"/>
  <c r="F109" i="40" a="1"/>
  <c r="E111" i="40" a="1"/>
  <c r="C180" i="40" a="1"/>
  <c r="F107" i="40" a="1"/>
  <c r="G112" i="40" a="1"/>
  <c r="G107" i="40" a="1"/>
  <c r="G109" i="40" a="1"/>
  <c r="C156" i="40" a="1"/>
  <c r="C157" i="40" a="1"/>
  <c r="D15" i="40"/>
  <c r="D14" i="40"/>
  <c r="D21" i="40" s="1"/>
  <c r="E15" i="40"/>
  <c r="E14" i="40"/>
  <c r="E21" i="40" s="1"/>
  <c r="C15" i="40"/>
  <c r="C14" i="40"/>
  <c r="C21" i="40" s="1"/>
  <c r="D67" i="26"/>
  <c r="F67" i="26" s="1"/>
  <c r="D89" i="10" l="1"/>
  <c r="D90" i="10" s="1"/>
  <c r="E89" i="10"/>
  <c r="E90" i="10" s="1"/>
  <c r="C89" i="10"/>
  <c r="C90" i="10" s="1"/>
  <c r="D186" i="40" a="1"/>
  <c r="E186" i="40" a="1"/>
  <c r="C186" i="40" a="1"/>
  <c r="C187" i="40" s="1" a="1"/>
  <c r="C188" i="40" s="1" a="1"/>
  <c r="C182" i="40" s="1"/>
  <c r="E22" i="40"/>
  <c r="C22" i="40"/>
  <c r="D22" i="40"/>
  <c r="C91" i="10" l="1"/>
  <c r="C103" i="10"/>
  <c r="D103" i="10" s="1"/>
  <c r="C93" i="10"/>
  <c r="D91" i="10"/>
  <c r="D93" i="10"/>
  <c r="D94" i="10" s="1"/>
  <c r="D95" i="10" s="1"/>
  <c r="E91" i="10"/>
  <c r="E93" i="10"/>
  <c r="E94" i="10" s="1"/>
  <c r="E95" i="10" s="1"/>
  <c r="C183" i="40" a="1"/>
  <c r="D98" i="40" s="1"/>
  <c r="F98" i="40" s="1"/>
  <c r="C40" i="42"/>
  <c r="D7" i="42"/>
  <c r="E26" i="40"/>
  <c r="D54" i="40" s="1"/>
  <c r="C26" i="40"/>
  <c r="D52" i="40" s="1"/>
  <c r="D26" i="40"/>
  <c r="D53" i="40" s="1"/>
  <c r="D187" i="40" a="1"/>
  <c r="D188" i="40" s="1" a="1"/>
  <c r="D182" i="40" s="1"/>
  <c r="E187" i="40" a="1"/>
  <c r="E188" i="40" s="1" a="1"/>
  <c r="E182" i="40" s="1"/>
  <c r="E32" i="40"/>
  <c r="C32" i="40"/>
  <c r="D32" i="40"/>
  <c r="C94" i="10" l="1"/>
  <c r="C95" i="10" s="1"/>
  <c r="C130" i="10"/>
  <c r="C129" i="10"/>
  <c r="B36" i="42"/>
  <c r="E7" i="42"/>
  <c r="D183" i="40" a="1"/>
  <c r="D99" i="40" s="1"/>
  <c r="F99" i="40" s="1"/>
  <c r="D40" i="42"/>
  <c r="E183" i="40" a="1"/>
  <c r="D100" i="40" s="1"/>
  <c r="F100" i="40" s="1"/>
  <c r="E40" i="42"/>
  <c r="E29" i="40"/>
  <c r="E88" i="10" s="1"/>
  <c r="F54" i="40"/>
  <c r="C29" i="40"/>
  <c r="C88" i="10" s="1"/>
  <c r="F52" i="40"/>
  <c r="D29" i="40"/>
  <c r="D88" i="10" s="1"/>
  <c r="F53" i="40"/>
  <c r="C102" i="10" l="1"/>
  <c r="D102" i="10" s="1"/>
  <c r="D111" i="10"/>
  <c r="B60" i="40"/>
  <c r="E101" i="40"/>
  <c r="F101" i="40" s="1"/>
  <c r="E85" i="26"/>
  <c r="F85" i="26" s="1"/>
  <c r="E31" i="40"/>
  <c r="H32" i="40"/>
  <c r="C31" i="40"/>
  <c r="H30" i="40"/>
  <c r="B59" i="40"/>
  <c r="D31" i="40"/>
  <c r="H31" i="40"/>
  <c r="B53" i="1" l="1"/>
  <c r="B43" i="40"/>
  <c r="C39" i="1"/>
  <c r="B90"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<sst xmlns="http://schemas.openxmlformats.org/spreadsheetml/2006/main" count="4815" uniqueCount="2788">
  <si>
    <t>Sheet</t>
  </si>
  <si>
    <t>01 Income Statement</t>
  </si>
  <si>
    <t>02 Quarterly</t>
  </si>
  <si>
    <t>13 EPIC Ranking</t>
  </si>
  <si>
    <t>How to use this pack</t>
  </si>
  <si>
    <t>$ millions except per-share. TTM Jun'26 is DERIVED as FY2025 + H1'26 - H1'25.</t>
  </si>
  <si>
    <t>Line item</t>
  </si>
  <si>
    <t>FY2023</t>
  </si>
  <si>
    <t>FY2024</t>
  </si>
  <si>
    <t>FY2025</t>
  </si>
  <si>
    <t>TTM Mar'26</t>
  </si>
  <si>
    <t>TTM Jun'26</t>
  </si>
  <si>
    <t>Basis</t>
  </si>
  <si>
    <t>Total revenues</t>
  </si>
  <si>
    <t>filed / derived TTM</t>
  </si>
  <si>
    <t>Cost of revenues</t>
  </si>
  <si>
    <t>Research and development</t>
  </si>
  <si>
    <t>Sales and marketing</t>
  </si>
  <si>
    <t>General and administrative</t>
  </si>
  <si>
    <t>Total costs and expenses</t>
  </si>
  <si>
    <t>Income from operations</t>
  </si>
  <si>
    <t>Operating margin %</t>
  </si>
  <si>
    <t>calc</t>
  </si>
  <si>
    <t>Other income (expense), net</t>
  </si>
  <si>
    <t>Income before taxes</t>
  </si>
  <si>
    <t>Provision for income taxes</t>
  </si>
  <si>
    <t>Effective tax rate %</t>
  </si>
  <si>
    <t>Net income</t>
  </si>
  <si>
    <t>Diluted EPS ($)</t>
  </si>
  <si>
    <t>Diluted weighted-avg shares</t>
  </si>
  <si>
    <t>Notes and caveats</t>
  </si>
  <si>
    <t>•  TTM (Jun'26) columns are DERIVED as FY2025 + H1 2026 - H1 2025 from filed statements. They are not a reported figure.</t>
  </si>
  <si>
    <t>•  S&amp;M / G&amp;A not separately pulled for TTM Mar'26; combined SG&amp;A for that period was 52,361.</t>
  </si>
  <si>
    <t>$ millions except per-share.</t>
  </si>
  <si>
    <t>Q1 2026 vs Q1 2025</t>
  </si>
  <si>
    <t>Q1'25</t>
  </si>
  <si>
    <t>Q1'26</t>
  </si>
  <si>
    <t>Revenue</t>
  </si>
  <si>
    <t>Cost of revenue</t>
  </si>
  <si>
    <t>Operating expenses</t>
  </si>
  <si>
    <t>Pretax income</t>
  </si>
  <si>
    <t>Income tax</t>
  </si>
  <si>
    <t>Diluted EPS reported ($)</t>
  </si>
  <si>
    <t>Diluted EPS CORE ($)</t>
  </si>
  <si>
    <t>Diluted shares</t>
  </si>
  <si>
    <t>Q2 2026 vs Q2 2025</t>
  </si>
  <si>
    <t>Q2'25</t>
  </si>
  <si>
    <t>Q2'26</t>
  </si>
  <si>
    <t>YoY %</t>
  </si>
  <si>
    <t xml:space="preserve">  of which: gain on equity securities</t>
  </si>
  <si>
    <t xml:space="preserve">  other income EX-GAIN</t>
  </si>
  <si>
    <t>H1'26</t>
  </si>
  <si>
    <t>Reported pretax income</t>
  </si>
  <si>
    <t>filed</t>
  </si>
  <si>
    <t>less: gain on equity securities</t>
  </si>
  <si>
    <t>Normalized pretax income</t>
  </si>
  <si>
    <t>DERIVED</t>
  </si>
  <si>
    <t>Normalized net income</t>
  </si>
  <si>
    <t>CORE diluted EPS ($)</t>
  </si>
  <si>
    <t>Reported diluted EPS ($)</t>
  </si>
  <si>
    <t>Derived summary figures</t>
  </si>
  <si>
    <t>Metric</t>
  </si>
  <si>
    <t>Reported</t>
  </si>
  <si>
    <t>CORE</t>
  </si>
  <si>
    <t>TTM (Jun'26) EPS ($)</t>
  </si>
  <si>
    <t>DERIVED core</t>
  </si>
  <si>
    <t>FY2026E EPS ($)</t>
  </si>
  <si>
    <t>DERIVED core multiple</t>
  </si>
  <si>
    <t>$ millions.</t>
  </si>
  <si>
    <t>Revenue by segment</t>
  </si>
  <si>
    <t>Google Search &amp; other</t>
  </si>
  <si>
    <t>YouTube ads</t>
  </si>
  <si>
    <t>Google Network</t>
  </si>
  <si>
    <t xml:space="preserve">  Google advertising subtotal</t>
  </si>
  <si>
    <t>Subscriptions, platforms &amp; devices</t>
  </si>
  <si>
    <t>GOOGLE SERVICES TOTAL</t>
  </si>
  <si>
    <t>Google Cloud</t>
  </si>
  <si>
    <t>Other Bets</t>
  </si>
  <si>
    <t>Hedging gains (losses)</t>
  </si>
  <si>
    <t>TOTAL REVENUES</t>
  </si>
  <si>
    <t>Operating income (loss) by segment</t>
  </si>
  <si>
    <t>Google Services</t>
  </si>
  <si>
    <t>Alphabet-level activities</t>
  </si>
  <si>
    <t>TOTAL INCOME FROM OPERATIONS</t>
  </si>
  <si>
    <t>Revenue growth, YoY %</t>
  </si>
  <si>
    <t>Search &amp; other</t>
  </si>
  <si>
    <t>Subscriptions/platforms/devices</t>
  </si>
  <si>
    <t>Total</t>
  </si>
  <si>
    <t>Segment operating margin %</t>
  </si>
  <si>
    <t>Google Services operating margin %</t>
  </si>
  <si>
    <t>Google Cloud operating margin %</t>
  </si>
  <si>
    <t>Mar'26</t>
  </si>
  <si>
    <t>Jun'26</t>
  </si>
  <si>
    <t>Cash &amp; equivalents</t>
  </si>
  <si>
    <t>Marketable securities</t>
  </si>
  <si>
    <t>Cash + marketable securities</t>
  </si>
  <si>
    <t>Receivables</t>
  </si>
  <si>
    <t>Total current assets</t>
  </si>
  <si>
    <t>Property &amp; equipment, net (as previously carried)</t>
  </si>
  <si>
    <t>Property &amp; equipment, net (AS FILED)</t>
  </si>
  <si>
    <t>Goodwill</t>
  </si>
  <si>
    <t>Total assets</t>
  </si>
  <si>
    <t>Total current liabilities</t>
  </si>
  <si>
    <t>Long-term debt</t>
  </si>
  <si>
    <t>Total debt</t>
  </si>
  <si>
    <t>Total liabilities</t>
  </si>
  <si>
    <t>Total stockholders' equity</t>
  </si>
  <si>
    <t>Common shares outstanding</t>
  </si>
  <si>
    <t>Net cash (derived)</t>
  </si>
  <si>
    <t>DERIVED = cash+securities less total debt</t>
  </si>
  <si>
    <t>Depreciation &amp; amortization</t>
  </si>
  <si>
    <t>Stock-based compensation</t>
  </si>
  <si>
    <t>Operating cash flow</t>
  </si>
  <si>
    <t>Capital expenditures</t>
  </si>
  <si>
    <t>FREE CASH FLOW</t>
  </si>
  <si>
    <t>FCF margin %</t>
  </si>
  <si>
    <t>Stock repurchases</t>
  </si>
  <si>
    <t>Dividends paid</t>
  </si>
  <si>
    <t>Acquisitions</t>
  </si>
  <si>
    <t>Quarterly detail around the inflection</t>
  </si>
  <si>
    <t>H1'25</t>
  </si>
  <si>
    <t>Depreciation</t>
  </si>
  <si>
    <t>•  Q1'26 OCF, capex and depreciation are DERIVED as H1 less Q2. All cross-check against the TTM Mar'26 column.</t>
  </si>
  <si>
    <t>•  FY2027 capex guided 'significantly' higher, no dollar figure, and NO capex peak timeline was given on the Q2 call.</t>
  </si>
  <si>
    <t>•  Buybacks suspended from Q1 2026. Dividends initiated Apr 2024, ~10,000/yr.</t>
  </si>
  <si>
    <t>$ millions. Policy from FY2025 10-K R31; asset detail from Q2 2026 10-Q R64.</t>
  </si>
  <si>
    <t>Asset class</t>
  </si>
  <si>
    <t>Dec 31, 2024</t>
  </si>
  <si>
    <t>Dec 31, 2025</t>
  </si>
  <si>
    <t>Jun 30, 2026</t>
  </si>
  <si>
    <t>Change H1'26</t>
  </si>
  <si>
    <t>Technical infrastructure</t>
  </si>
  <si>
    <t>Office space</t>
  </si>
  <si>
    <t>Corporate and other assets</t>
  </si>
  <si>
    <t>ASSETS NOT YET IN SERVICE</t>
  </si>
  <si>
    <t>TOTAL GROSS PP&amp;E</t>
  </si>
  <si>
    <t>Less: accumulated depreciation</t>
  </si>
  <si>
    <t>NET PP&amp;E</t>
  </si>
  <si>
    <t>Estimated useful lives (unchanged; no change in accounting estimate disclosed)</t>
  </si>
  <si>
    <t>Estimated useful life</t>
  </si>
  <si>
    <t>Servers and network equipment</t>
  </si>
  <si>
    <t>generally 6 years</t>
  </si>
  <si>
    <t>Data center and office buildings</t>
  </si>
  <si>
    <t>7 to 40 years</t>
  </si>
  <si>
    <t>2 to 25 years</t>
  </si>
  <si>
    <t>Leasehold improvements</t>
  </si>
  <si>
    <t>shorter of remaining lease term or useful life</t>
  </si>
  <si>
    <t>Land</t>
  </si>
  <si>
    <t>not depreciated</t>
  </si>
  <si>
    <t>Depreciation ramp - illustrative only</t>
  </si>
  <si>
    <t>Value</t>
  </si>
  <si>
    <t>Assets not yet in service, Jun'26</t>
  </si>
  <si>
    <t>As % of gross PP&amp;E</t>
  </si>
  <si>
    <t>If placed in service on a 6-yr life: annual charge</t>
  </si>
  <si>
    <t>DERIVED - UPPER BOUND, see notes</t>
  </si>
  <si>
    <t>Current depreciation run rate, annualized</t>
  </si>
  <si>
    <t>Implied increase %</t>
  </si>
  <si>
    <t>DERIVED - before any H2'26 or 2027 capex</t>
  </si>
  <si>
    <t>Implied H1 retirements / disposals</t>
  </si>
  <si>
    <t>•  POLICY, verbatim: "Property and equipment are stated at cost less accumulated depreciation. Depreciation commences once assets are ready for their intended use and is recorded using the straight-line method over the estimated useful lives of the assets, which we regularly evaluate for factors such as technological obsolescence and our planned use and utilization."</t>
  </si>
  <si>
    <t>•  NO change in accounting estimate is disclosed in either the FY2025 10-K or the Q2 2026 10-Q. The 6-year server life set in the January 2023 revision (from 4 years) still stands.</t>
  </si>
  <si>
    <t>•  TAIL RISK: the 'regularly evaluate ... technological obsolescence' language means a future shortening of the AI-vintage life would hit the P&amp;L immediately.</t>
  </si>
  <si>
    <t>•  THE SPLIT OF ASSETS-NOT-YET-IN-SERVICE BETWEEN SHORT- AND LONG-LIVED CLASSES IS THE SINGLE MOST SENSITIVE ASSUMPTION IN THE MODEL. Scenario it rather than picking a point estimate.</t>
  </si>
  <si>
    <t>•  Dec 2024 and Dec 2025 columns are from the FY2025 10-K note (R70); Jun 2026 from the Q2 10-Q (R64). The Dec 2025 gross total is 345,082 - the four classes sum to that and it ties to net PP&amp;E after accumulated depreciation. An earlier reading recorded 345,182; that was a transcription error, corrected here.</t>
  </si>
  <si>
    <t>•  Technical infrastructure is 247,177 gross, ~58% of the total. Blended against ~27,000 of current annual depreciation, the implied average life across the in-service base is well above 6 years, confirming buildings carry a meaningful share.</t>
  </si>
  <si>
    <t>•  Recently issued standards not yet adopted, none affecting depreciation: ASU 2024-03 (expense disaggregation, 2027), ASU 2025-06 (internal-use software, 2028), ASU 2026-02 (environmental credits, 2028). ASU 2025-06 is worth tracking for software capitalization.</t>
  </si>
  <si>
    <t>Component</t>
  </si>
  <si>
    <t>Amount</t>
  </si>
  <si>
    <t>Note</t>
  </si>
  <si>
    <t>Common stock offering (June 2026)</t>
  </si>
  <si>
    <t>net of costs</t>
  </si>
  <si>
    <t>6.25% mandatory convertible preferred, Series A + B</t>
  </si>
  <si>
    <t>19M shares, $1,000 liquidation preference, issued June 5, 2026</t>
  </si>
  <si>
    <t>TOTAL RAISED</t>
  </si>
  <si>
    <t>vs the $84,750 headline figure</t>
  </si>
  <si>
    <t>Share counts (millions)</t>
  </si>
  <si>
    <t>Measure</t>
  </si>
  <si>
    <t>Shares</t>
  </si>
  <si>
    <t>Q2 2026 weighted-average basic</t>
  </si>
  <si>
    <t>Q2 2026 weighted-average diluted</t>
  </si>
  <si>
    <t>H1 2026 weighted-average basic</t>
  </si>
  <si>
    <t>H1 2026 weighted-average diluted</t>
  </si>
  <si>
    <t>Shares outstanding, July 15, 2026</t>
  </si>
  <si>
    <t xml:space="preserve">  of which Class A</t>
  </si>
  <si>
    <t xml:space="preserve">  of which Class B</t>
  </si>
  <si>
    <t xml:space="preserve">  of which Class C</t>
  </si>
  <si>
    <t>Model inputs</t>
  </si>
  <si>
    <t>Item</t>
  </si>
  <si>
    <t>Preferred dividend, annual</t>
  </si>
  <si>
    <t>DERIVED = 19,000 x 6.25%</t>
  </si>
  <si>
    <t>Net cash at Jun'26</t>
  </si>
  <si>
    <t>Net cash at Mar'26</t>
  </si>
  <si>
    <t>•  THE EPS BUILD NEEDS A PREFERRED DIVIDEND LINE.</t>
  </si>
  <si>
    <t>•  Buybacks remain suspended, so the historical share-count tailwind is gone and the count now drifts up.</t>
  </si>
  <si>
    <t>Share price ($)</t>
  </si>
  <si>
    <t>Market cap</t>
  </si>
  <si>
    <t>Enterprise value</t>
  </si>
  <si>
    <t>Shares outstanding</t>
  </si>
  <si>
    <t>Trailing P/E - REPORTED</t>
  </si>
  <si>
    <t>Trailing P/E - CORE</t>
  </si>
  <si>
    <t>Forward P/E - REPORTED</t>
  </si>
  <si>
    <t>Forward P/E - CORE</t>
  </si>
  <si>
    <t>Price / sales</t>
  </si>
  <si>
    <t>EV / EBITDA</t>
  </si>
  <si>
    <t>Price / free cash flow</t>
  </si>
  <si>
    <t>TTM revenue</t>
  </si>
  <si>
    <t>TTM net income</t>
  </si>
  <si>
    <t>TTM EPS ($)</t>
  </si>
  <si>
    <t>TTM free cash flow</t>
  </si>
  <si>
    <t>TTM operating cash flow</t>
  </si>
  <si>
    <t>TTM capital expenditures</t>
  </si>
  <si>
    <t>Total cash</t>
  </si>
  <si>
    <t>Company</t>
  </si>
  <si>
    <t>Price ($)</t>
  </si>
  <si>
    <t>Mkt cap</t>
  </si>
  <si>
    <t>Trailing P/E</t>
  </si>
  <si>
    <t>Fwd P/E</t>
  </si>
  <si>
    <t>EV/EBITDA</t>
  </si>
  <si>
    <t>PEG</t>
  </si>
  <si>
    <t>P/FCF</t>
  </si>
  <si>
    <t>TTM FCF</t>
  </si>
  <si>
    <t>TTM capex</t>
  </si>
  <si>
    <t>ROIC %</t>
  </si>
  <si>
    <t>GOOGL</t>
  </si>
  <si>
    <t>MSFT</t>
  </si>
  <si>
    <t>META</t>
  </si>
  <si>
    <t>AMZN</t>
  </si>
  <si>
    <t>AAPL</t>
  </si>
  <si>
    <t>NVDA</t>
  </si>
  <si>
    <t>Sep 10, 2026</t>
  </si>
  <si>
    <t>Consensus FY2026 EPS ($)</t>
  </si>
  <si>
    <t>51 analysts</t>
  </si>
  <si>
    <t>Consensus FY2026 revenue</t>
  </si>
  <si>
    <t>Implied FY2026 net income</t>
  </si>
  <si>
    <t>IMPLIED NET MARGIN %</t>
  </si>
  <si>
    <t>Alphabet Q2 2026 operating margin %</t>
  </si>
  <si>
    <t>actual</t>
  </si>
  <si>
    <t>Alphabet FY2025 net margin %</t>
  </si>
  <si>
    <t>Alphabet FY2025 CORE net margin %</t>
  </si>
  <si>
    <t>Average price target ($)</t>
  </si>
  <si>
    <t>Median price target ($)</t>
  </si>
  <si>
    <t>High price target ($)</t>
  </si>
  <si>
    <t>Low price target ($)</t>
  </si>
  <si>
    <t>Ratings - Strong Buy</t>
  </si>
  <si>
    <t>Ratings - Buy</t>
  </si>
  <si>
    <t>Ratings - Hold</t>
  </si>
  <si>
    <t>Ratings - Sell</t>
  </si>
  <si>
    <t>Ratings - Strong Sell</t>
  </si>
  <si>
    <t>FY2026 EPS - LOW estimate ($)</t>
  </si>
  <si>
    <t>most bearish of 51 analysts</t>
  </si>
  <si>
    <t>FY2026 EPS - mean ($)</t>
  </si>
  <si>
    <t>FY2026 EPS - HIGH estimate ($)</t>
  </si>
  <si>
    <t>FY2026 EPS spread as % of mean</t>
  </si>
  <si>
    <t>FY2026 revenue - LOW</t>
  </si>
  <si>
    <t>FY2026 revenue - HIGH</t>
  </si>
  <si>
    <t>FY2026 revenue spread as % of mean</t>
  </si>
  <si>
    <t>Quotes verbatim from the Q2 2026 earnings call, July 22, 2026.</t>
  </si>
  <si>
    <t>Guidance</t>
  </si>
  <si>
    <t>FY2025 capex actual</t>
  </si>
  <si>
    <t>91,447</t>
  </si>
  <si>
    <t>FY2026 capex - initial guide (Q4'25 call)</t>
  </si>
  <si>
    <t>175,000 - 185,000</t>
  </si>
  <si>
    <t>FY2026 capex - raised (Q1'26 call, for Intersect)</t>
  </si>
  <si>
    <t>180,000 - 190,000</t>
  </si>
  <si>
    <t>FY2026 capex - raised again (Q2'26 call)</t>
  </si>
  <si>
    <t>195,000 - 205,000</t>
  </si>
  <si>
    <t>H1 2026 capex actual</t>
  </si>
  <si>
    <t>80,598</t>
  </si>
  <si>
    <t>Implied H2 2026 capex</t>
  </si>
  <si>
    <t>114,000 - 124,000</t>
  </si>
  <si>
    <t>FY2027 capex</t>
  </si>
  <si>
    <t>'increase significantly', no dollar figure</t>
  </si>
  <si>
    <t>Capex peak timeline</t>
  </si>
  <si>
    <t>NONE GIVEN</t>
  </si>
  <si>
    <t>Verbatim quotes</t>
  </si>
  <si>
    <t>Speaker / topic</t>
  </si>
  <si>
    <t>Quote</t>
  </si>
  <si>
    <t>Ashkenazi - 2027 capex</t>
  </si>
  <si>
    <t>"we continue to expect our CapEx to increase significantly in 2027 and will provide more details at a later date."</t>
  </si>
  <si>
    <t>Ashkenazi - free cash flow</t>
  </si>
  <si>
    <t>"we expect the free cash flow will remain under pressure, driven by our investments in technical infrastructure, which enables us to capitalize on the AI opportunity and continue to drive attractive returns."</t>
  </si>
  <si>
    <t>Ashkenazi - depreciation</t>
  </si>
  <si>
    <t>"The significant increase in our investments in technical infrastructure will continue to put pressure on the P&amp;L in the form of higher depreciation expense and related data center operations costs such as energy."</t>
  </si>
  <si>
    <t>Ashkenazi - Cloud margin</t>
  </si>
  <si>
    <t>Third-party capacity bridging will "create modest margin pressure in the near term." This is distinct from, and now alongside, the Wiz drag flagged in Q1.</t>
  </si>
  <si>
    <t>Ashkenazi - TPU revenue timing</t>
  </si>
  <si>
    <t>"We'll continue to ramp up throughout 2026, you'll see the vast majority of the revenue from that agreement come through in 2027."</t>
  </si>
  <si>
    <t>Ashkenazi - capex philosophy</t>
  </si>
  <si>
    <t>"we invest as long as we see an attractive return on that investment", taking a "multi-year view at what the needs are."</t>
  </si>
  <si>
    <t>Pichai - the opportunity</t>
  </si>
  <si>
    <t>"we've gotten more bullish on the opportunities ahead", characterising enterprise AI adoption as "very early."</t>
  </si>
  <si>
    <t>•  The 2026 raise to 195,000-205,000 was attributed to 'acceleration in delivery of capacity' - a SUPPLY-side reason (equipment arriving faster), not a demand re-rate. The guide went up because Alphabet CAN spend faster, not because it found more demand.</t>
  </si>
  <si>
    <t>•  The FCF quote is the first time management has guided FCF pressure FORWARD as a stated expectation rather than describing it as an outcome. The base case cannot assume a near-term FCF inflection.</t>
  </si>
  <si>
    <t>•  TPU note: the singular 'that agreement' means TPU revenue is concentrated in ONE large contract, not a diversified merchant-silicon business. Q2 cost of revenues also rose on 'inventory costs, primarily from the sales of TPU systems to customers', so TPU sales carry hardware COGS and will dilute consolidated gross margin as they scale.</t>
  </si>
  <si>
    <t>•  WHAT THE ANALYSTS DID NOT ASK: nine analysts asked questions (Nowak/Morgan Stanley, Anmuth/JPMorgan, Sheridan/Goldman, Sandler/Barclays, Nathanson/MoffettNathanson, Shmulik/Bernstein, Josey/Citi, Gawrelski/Wells Fargo, Khajuria/Wolfe). Topics: GenAI ROIC sizing, 2027 capex budgeting, Gemini competitiveness, capital structure and cost of debt vs equity, TPU scaling and margins, third-party capacity, compute allocation, AI search monetization, Waymo structure.</t>
  </si>
  <si>
    <t>•  NEAR-TERM CATALYST: the DMA decision requires Google to end the conduct within 60 DAYS or face periodic penalties of up to 5% of average daily worldwide turnover. Sixty days from July 23 falls around SEPTEMBER 21, 2026. Check the compliance outcome.</t>
  </si>
  <si>
    <t>Factor</t>
  </si>
  <si>
    <t>Exceeds materiality</t>
  </si>
  <si>
    <t>Probably occurs</t>
  </si>
  <si>
    <t>I can forecast</t>
  </si>
  <si>
    <t>TOTAL</t>
  </si>
  <si>
    <t>B. Cloud growth &amp; backlog to margin</t>
  </si>
  <si>
    <t>0</t>
  </si>
  <si>
    <t>C. Capex / AI-infra ROI &amp; FCF conversion</t>
  </si>
  <si>
    <t>-1</t>
  </si>
  <si>
    <t>+1</t>
  </si>
  <si>
    <t>•  FaVeS DIRECTION IS DELIBERATELY NOT RE-LOCKED. What is locked is the INSIGHT: consensus is anchored to an earnings base roughly half non-operating marks. That insight is directionally neutral. The DCF produces the direction. Locking the lean first and modelling toward it is the confirmation-bias failure mode the process checklist exists to catch - and this project has already been through one reversal.</t>
  </si>
  <si>
    <t>#</t>
  </si>
  <si>
    <t>Description as cited</t>
  </si>
  <si>
    <t>Domain</t>
  </si>
  <si>
    <t>Quality tier</t>
  </si>
  <si>
    <t>HTTP</t>
  </si>
  <si>
    <t>Verdict</t>
  </si>
  <si>
    <t>Cited in</t>
  </si>
  <si>
    <t>URL</t>
  </si>
  <si>
    <t>Anthropic — expanding use of Google Cloud TPUs (Oct 23, 2025)</t>
  </si>
  <si>
    <t>anthropic.com</t>
  </si>
  <si>
    <t>1 Primary</t>
  </si>
  <si>
    <t>200</t>
  </si>
  <si>
    <t>OK</t>
  </si>
  <si>
    <t>HELP-3-crossref</t>
  </si>
  <si>
    <t>https://www.anthropic.com/news/expanding-our-use-of-google-cloud-tpus-and-services</t>
  </si>
  <si>
    <t>Anthropic — Google/Broadcom multi-gigawatt expansion (Apr 6, 2026)</t>
  </si>
  <si>
    <t>https://www.anthropic.com/news/google-broadcom-partnership-compute</t>
  </si>
  <si>
    <t>Google Blog — "Alphabet investor presentation: June 2026"</t>
  </si>
  <si>
    <t>blog.google</t>
  </si>
  <si>
    <t>HELP-2-emerging, HELP-3-crossref</t>
  </si>
  <si>
    <t>https://blog.google/alphabet/investor-presentation-june-2026/</t>
  </si>
  <si>
    <t>Google Cloud Blog — Ironwood TPUs: ;</t>
  </si>
  <si>
    <t>https://blog.google/products/google-cloud/ironwood-tpu-age-of-inference/</t>
  </si>
  <si>
    <t>Alphabet Q1 2026 — Pichai remarks (Search &amp; Other +19%)</t>
  </si>
  <si>
    <t>https://blog.google/company-news/inside-google/message-ceo/alphabet-earnings-q1-2026/</t>
  </si>
  <si>
    <t>cloud.google.com</t>
  </si>
  <si>
    <t>https://cloud.google.com/blog/products/compute/ironwood-tpus-and-new-axion-based-vms-for-your-ai-workloads</t>
  </si>
  <si>
    <t>digital-markets-act.ec.europa.eu</t>
  </si>
  <si>
    <t>https://digital-markets-act.ec.europa.eu/commission-fines-google-eur890-million-breaches-digital-markets-act-2026-07-23_en</t>
  </si>
  <si>
    <t>Dwarkesh Patel — Jensen Huang on TPU competition (Apr 2026)</t>
  </si>
  <si>
    <t>dwarkesh.com</t>
  </si>
  <si>
    <t>https://www.dwarkesh.com/p/jensen-huang</t>
  </si>
  <si>
    <t>European Commission — €2.95B ad-tech fine (IP/25/1992)</t>
  </si>
  <si>
    <t>ec.europa.eu</t>
  </si>
  <si>
    <t>https://ec.europa.eu/commission/presscorner/detail/en/ip_25_1992</t>
  </si>
  <si>
    <t>GOV.UK/CMA — Google SMS in search</t>
  </si>
  <si>
    <t>gov.uk</t>
  </si>
  <si>
    <t>https://www.gov.uk/government/news/cma-confirms-google-has-strategic-market-status-in-search-services</t>
  </si>
  <si>
    <t>Search Engine Land / StatCounter coverage (desktop/mobile splits)</t>
  </si>
  <si>
    <t>gs.statcounter.com</t>
  </si>
  <si>
    <t>https://gs.statcounter.com/search-engine-market-share</t>
  </si>
  <si>
    <t>DOJ — prevails in ad-tech antitrust case</t>
  </si>
  <si>
    <t>justice.gov</t>
  </si>
  <si>
    <t>https://www.justice.gov/opa/pr/department-justice-prevails-landmark-antitrust-case-against-google</t>
  </si>
  <si>
    <t>DOJ — significant remedies against Google</t>
  </si>
  <si>
    <t>https://www.justice.gov/opa/pr/department-justice-wins-significant-remedies-against-google</t>
  </si>
  <si>
    <t>DOJ — US &amp; states v. Google LLC (search case docket)</t>
  </si>
  <si>
    <t>https://www.justice.gov/atr/case/us-and-plaintiff-states-v-google-llc</t>
  </si>
  <si>
    <t>S&amp;P Global press — Alphabet joins DJIA</t>
  </si>
  <si>
    <t>press.spglobal.com</t>
  </si>
  <si>
    <t>https://press.spglobal.com/2026-06-23-Alphabet-Set-to-Join-and-Honeywell-International-to-Remain-in-Dow-Jones-Industrial-Average</t>
  </si>
  <si>
    <t>Alphabet — Q1 2026 Earnings Release (Exhibit 99.1, q4cdn PDF; parse failed, cited for record)</t>
  </si>
  <si>
    <t>s206.q4cdn.com</t>
  </si>
  <si>
    <t>HELP-1-historical, HELP-2-emerging</t>
  </si>
  <si>
    <t>https://s206.q4cdn.com/479360582/files/doc_financials/2026/q1/2026q1-alphabet-earnings-release.pdf</t>
  </si>
  <si>
    <t>Alphabet Q4/FY2025 earnings release (Feb 4, 2026) —</t>
  </si>
  <si>
    <t>HELP-1-historical</t>
  </si>
  <si>
    <t>https://s206.q4cdn.com/479360582/files/doc_financials/2025/q4/2025q4-alphabet-earnings-release.pdf</t>
  </si>
  <si>
    <t>Sources: FY2025 10-K (SEC: ; q4cdn: ), FY2024 10-K (FY2023 segment sub-lines), Q4/FY2025 earnings release, Q1 2026 earnings release, StockAnalysis.com.</t>
  </si>
  <si>
    <t>HELP-1-historical, historicals</t>
  </si>
  <si>
    <t>https://s206.q4cdn.com/479360582/files/doc_financials/2025/q4/GOOG-10-K-2025.pdf</t>
  </si>
  <si>
    <t>REFRESH-2026-09</t>
  </si>
  <si>
    <t>https://s206.q4cdn.com/479360582/files/doc_financials/2026/q2/2026q2-alphabet-earnings-slides.pdf</t>
  </si>
  <si>
    <t>Alphabet Inc., Q3 2025 earnings release (SEC Form 8-K Ex. 99.1) —</t>
  </si>
  <si>
    <t>sec.gov</t>
  </si>
  <si>
    <t>403</t>
  </si>
  <si>
    <t>OK (verified, SEC UA)</t>
  </si>
  <si>
    <t>https://www.sec.gov/Archives/edgar/data/0001652044/000165204425000087/googexhibit991q32025.htm</t>
  </si>
  <si>
    <t>Alphabet Inc., Q4/FY2025 earnings release (SEC Form 8-K Ex. 99.1) —</t>
  </si>
  <si>
    <t>HELP-1-historical, HELP-3-crossref</t>
  </si>
  <si>
    <t>https://www.sec.gov/Archives/edgar/data/0001652044/000165204426000012/googexhibit991q42025.htm</t>
  </si>
  <si>
    <t>Alphabet Inc., Q1 2026 earnings release, Apr 29, 2026 (SEC Form 8-K Ex. 99.1) —</t>
  </si>
  <si>
    <t>https://www.sec.gov/Archives/edgar/data/0001652044/000165204426000043/googexhibit991q12026.htm</t>
  </si>
  <si>
    <t>Alphabet Inc., Forms 10-K FY2021/FY2022 (net income $76.0B in 2021 vs $40.3B in 2020; FY2022 EPS decline), SEC EDGAR filings index —</t>
  </si>
  <si>
    <t>https://www.sec.gov/cgi-bin/browse-edgar?action=getcompany&amp;CIK=0001652044&amp;type=10-K</t>
  </si>
  <si>
    <t>Alphabet Form 10-Q, Q3 2025 —</t>
  </si>
  <si>
    <t>https://www.sec.gov/Archives/edgar/data/0001652044/000165204425000091/goog-20250930.htm</t>
  </si>
  <si>
    <t>Alphabet 10-K filings, 2015–2025 (segment, capex, SBC, buyback, margin history) — and SEC EDGAR, CIK 0001652044 —</t>
  </si>
  <si>
    <t>https://www.sec.gov/cgi-bin/browse-edgar?action=getcompany&amp;CIK=0001652044</t>
  </si>
  <si>
    <t>Alphabet Form 8-K Ex. 99.1, Q2 2026 results (Jul 22, 2026)</t>
  </si>
  <si>
    <t>HELP-2-emerging, HELP-3-crossref, REFRESH-2026-09</t>
  </si>
  <si>
    <t>https://www.sec.gov/Archives/edgar/data/1652044/000165204426000066/googexhibit991q22026.htm</t>
  </si>
  <si>
    <t>Alphabet Form 10-Q, quarter ended Jun 30, 2026 (filed Jul 23, 2026)</t>
  </si>
  <si>
    <t>https://www.sec.gov/Archives/edgar/data/1652044/000165204426000071/goog-20260630.htm</t>
  </si>
  <si>
    <t>SEC EDGAR — Alphabet Form 10-Q, period ended Mar 31, 2026 (accession 000165204426000048)</t>
  </si>
  <si>
    <t>HELP-2-emerging</t>
  </si>
  <si>
    <t>https://www.sec.gov/Archives/edgar/data/0001652044/000165204426000048/goog-20260331.htm</t>
  </si>
  <si>
    <t>SEC EDGAR — Alphabet Form 8-K, equity offering pricing exhibits (accession 000119312526257724)</t>
  </si>
  <si>
    <t>https://www.sec.gov/Archives/edgar/data/0001652044/000119312526257724/d83560dex991.htm</t>
  </si>
  <si>
    <t>SEC EDGAR — Alphabet Form FWP (accession 000119312526254490)</t>
  </si>
  <si>
    <t>https://www.sec.gov/Archives/edgar/data/0001652044/000119312526254490/d110089dfwp.htm</t>
  </si>
  <si>
    <t>Amazon Form 8-K (Q4 2025), SEC</t>
  </si>
  <si>
    <t>https://www.sec.gov/Archives/edgar/data/0001018724/000101872426000002/amzn-20251231xex991.htm</t>
  </si>
  <si>
    <t>Meta Form 8-K (Q1 2026), SEC</t>
  </si>
  <si>
    <t>https://www.sec.gov/Archives/edgar/data/0001326801/000162828026028364/meta-03312026xexhibit991.htm</t>
  </si>
  <si>
    <t>https://www.sec.gov/Archives/edgar/data/1652044/000165204426000018/R31.htm</t>
  </si>
  <si>
    <t>https://www.sec.gov/Archives/edgar/data/1652044/000165204426000071/R26.htm</t>
  </si>
  <si>
    <t>https://www.sec.gov/Archives/edgar/data/1652044/000165204426000071/R64.htm</t>
  </si>
  <si>
    <t>https://www.sec.gov/Archives/edgar/data/1652044/000165204426000018/R70.htm</t>
  </si>
  <si>
    <t>historicals</t>
  </si>
  <si>
    <t>https://www.sec.gov/Archives/edgar/data/0001652044/000165204426000018/goog-20251231.htm</t>
  </si>
  <si>
    <t>Synergy Research — cloud run-rate tops $0.5T in Q1</t>
  </si>
  <si>
    <t>srgresearch.com</t>
  </si>
  <si>
    <t>https://www.srgresearch.com/articles/cloud-market-annual-revenue-run-rate-topped-half-a-trillion-dollars-in-q1-as-growth-surge-continues</t>
  </si>
  <si>
    <t>Synergy Research — cloud market-share trends, Big Three 63%</t>
  </si>
  <si>
    <t>https://www.srgresearch.com/articles/cloud-market-share-trends-big-three-together-hold-63-while-oracle-and-the-neoclouds-inch-higher</t>
  </si>
  <si>
    <t>Bloomberg, "Alphabet Shares Take $138 Billion Blow as Search Warnings Blare" (May 9, 2025) —</t>
  </si>
  <si>
    <t>bloomberg.com</t>
  </si>
  <si>
    <t>2 High-quality news</t>
  </si>
  <si>
    <t>Blocked to automation - likely live</t>
  </si>
  <si>
    <t>https://www.bloomberg.com/news/articles/2025-05-09/alphabet-shares-take-120-billion-blow-as-search-warnings-blare</t>
  </si>
  <si>
    <t>Bloomberg, "Buffett's Berkshire Builds a $4.9 Billion Stake in Alphabet" (Nov 14, 2025) —</t>
  </si>
  <si>
    <t>https://www.bloomberg.com/news/articles/2025-11-14/buffett-acquires-4-9-billion-stake-in-google-parent-alphabet</t>
  </si>
  <si>
    <t>Bloomberg — Google to lose two more AI staffers to Anthropic</t>
  </si>
  <si>
    <t>https://www.bloomberg.com/news/articles/2026-06-24/google-poised-to-lose-two-more-high-profile-ai-staffers-to-anthropic</t>
  </si>
  <si>
    <t>Bloomberg — Alphabet's Dow debut / index headache</t>
  </si>
  <si>
    <t>https://www.bloomberg.com/news/articles/2026-06-24/alphabet-s-dow-debut-shows-index-headache-in-tech-driven-economy</t>
  </si>
  <si>
    <t>CNBC, "S&amp;P 500 closes lower Wednesday, but wraps 2025 with a 16% gain" (Dec 30–31, 2025; year-end close 6,845.50) —</t>
  </si>
  <si>
    <t>cnbc.com</t>
  </si>
  <si>
    <t>https://www.cnbc.com/2025/12/30/stock-market-today-live-updates.html</t>
  </si>
  <si>
    <t>CNBC, "Google loses antitrust case over search" (Aug 5, 2024) —</t>
  </si>
  <si>
    <t>https://www.cnbc.com/2024/08/05/google-loses-antitrust-case-over-search.html</t>
  </si>
  <si>
    <t>CNBC, "Alphabet shares sink 7% after Apple's Cue says AI will replace search engines" (May 7, 2025) —</t>
  </si>
  <si>
    <t>https://www.cnbc.com/2025/05/07/alphabet-shares-sink-on-report-apple-may-add-ai-search-to-its-browser.html</t>
  </si>
  <si>
    <t>CNBC, "Alphabet shares pop after Google avoids breakup in antitrust case" (Sep 3, 2025) —</t>
  </si>
  <si>
    <t>https://www.cnbc.com/2025/09/03/alphabet-pops-after-google-avoids-breakup-in-antitrust-case.html</t>
  </si>
  <si>
    <t>CNBC, "Alphabet becomes fourth company to reach $3 trillion market cap" (Sep 15, 2025) —</t>
  </si>
  <si>
    <t>https://www.cnbc.com/2025/09/15/alphabet-3-trillion-market-cap.html</t>
  </si>
  <si>
    <t>CNBC, "Alphabet stock surges on Gemini 3 AI model optimism" (Nov 19, 2025) —</t>
  </si>
  <si>
    <t>https://www.cnbc.com/2025/11/19/alphabet-stock-gemini-3-ai.html</t>
  </si>
  <si>
    <t>CNBC, "Judge finalizes remedies in Google antitrust case" (Dec 5, 2025) —</t>
  </si>
  <si>
    <t>https://www.cnbc.com/2025/12/05/judge-finalize-remedies-in-google-antitrust-case.html</t>
  </si>
  <si>
    <t>CNBC, "Alphabet hits $4 trillion market capitalization" (Jan 12, 2026; close $331.86) —</t>
  </si>
  <si>
    <t>https://www.cnbc.com/2026/01/12/alphabet-4-trillion-market-cap.html</t>
  </si>
  <si>
    <t>CNBC, "Alphabet (GOOGL) Q4 2025 earnings" (Feb 4, 2026) —</t>
  </si>
  <si>
    <t>https://www.cnbc.com/2026/02/04/alphabet-googl-q4-2025-earnings.html</t>
  </si>
  <si>
    <t>CNBC, "Nasdaq falls 4% and suffers worst day since April 2025 as traders flee chip stocks" (Jun 4, 2026) —</t>
  </si>
  <si>
    <t>https://www.cnbc.com/2026/06/04/stock-market-today-live-updates.html</t>
  </si>
  <si>
    <t>CNBC, "Alphabet is seeking fresh capital as stock's 4-week losing streak tests investor appetite" (Jun 5, 2026) —</t>
  </si>
  <si>
    <t>https://www.cnbc.com/2026/06/05/alphabet-ai-data-center-financing.html</t>
  </si>
  <si>
    <t>CNBC — "Alphabet ups 2026 capex to as much as $190 billion, expects to 'significantly increase' in 2027" (Apr 29, 2026)</t>
  </si>
  <si>
    <t>https://www.cnbc.com/2026/04/29/alphabet-googl-q1-2026-earnings.html</t>
  </si>
  <si>
    <t>CNBC, "Nvidia stock falls 4% on report Meta will use Google AI chips" (Nov 25, 2025) —</t>
  </si>
  <si>
    <t>https://www.cnbc.com/2025/11/25/nvidia-shares-today-google-meta-ai-chip-report.html</t>
  </si>
  <si>
    <t>CNBC, "Google and Anthropic announce cloud deal worth tens of billions of dollars" (Oct 23, 2025) —</t>
  </si>
  <si>
    <t>https://www.cnbc.com/2025/10/23/anthropic-google-cloud-deal-tpu.html</t>
  </si>
  <si>
    <t>CNBC, "Google hit with $3.45 billion antitrust EU fine" (Sept 5, 2025) —</t>
  </si>
  <si>
    <t>https://www.cnbc.com/2025/09/05/google-slapped-by-eu-with-3point45-billion-antitrust-fine.html</t>
  </si>
  <si>
    <t>CNBC, "Waymo announces $16 billion funding round" (Feb 2, 2026) —</t>
  </si>
  <si>
    <t>https://www.cnbc.com/2026/02/02/waymo-announced-16-billion-fundraising-round.html</t>
  </si>
  <si>
    <t>CNBC, "Google starts September with AI momentum after longest monthly losing streak in over a decade" (Sep 2, 2026)</t>
  </si>
  <si>
    <t>https://www.cnbc.com/2026/09/02/google-starts-september-with-ai-momentum-after-long-losing-streak.html</t>
  </si>
  <si>
    <t>CNBC, "Amazon hikes 2026 capex to $220 billion due to higher memory costs" (Jul 30, 2026)</t>
  </si>
  <si>
    <t>https://www.cnbc.com/2026/07/30/amazon-amzn-q2-earnings-report-2026.html</t>
  </si>
  <si>
    <t>CNBC, "Google is expanding its AI empire - and losing the people who built it" (Aug 5, 2026)</t>
  </si>
  <si>
    <t>https://www.cnbc.com/2026/08/05/google-is-expanding-its-ai-empire-and-losing-the-people-who-built-it.html</t>
  </si>
  <si>
    <t>The Register — Microsoft lifts 2026 capex by $25B: (URL repaired 2026-09-10; the version without the article id 404s). Primary-quality alternative: CNBC, "Microsoft calls for $190 billion in 2026 capital spending on soaring memory prices," Apr 29 2026,</t>
  </si>
  <si>
    <t>https://www.cnbc.com/2026/04/29/microsoft-msft-q3-earnings-report-2026.html</t>
  </si>
  <si>
    <t>CNBC — Google TPUs "secret weapon" (Nov 7, 2025)</t>
  </si>
  <si>
    <t>https://www.cnbc.com/2025/11/07/googles-decade-long-bet-on-tpus-companys-secret-weapon-in-ai-race.html</t>
  </si>
  <si>
    <t>CNBC — Nvidia "a generation ahead" (Nov 25, 2025)</t>
  </si>
  <si>
    <t>https://www.cnbc.com/2025/11/25/nvidia-says-its-gpus-are-a-generation-ahead-of-googles-ai-chips.html</t>
  </si>
  <si>
    <t>CNBC — Alphabet replaces Verizon in Dow</t>
  </si>
  <si>
    <t>https://www.cnbc.com/2026/06/23/alphabet-verizon-dow-djia.html</t>
  </si>
  <si>
    <t>CNBC — Alphabet stock / AI departures (Jun 22)</t>
  </si>
  <si>
    <t>https://www.cnbc.com/2026/06/22/alphabet-goog-stock-ai-departures.html</t>
  </si>
  <si>
    <t>https://www.cnbc.com/2026/07/28/hyperscalers-face-higher-capex-scrutiny-after-alphabet-report-panned.html</t>
  </si>
  <si>
    <t>Courthouse News, "Google dodges antitrust breakup of ad tech business"</t>
  </si>
  <si>
    <t>courthousenews.com</t>
  </si>
  <si>
    <t>https://www.courthousenews.com/google-dodges-antitrust-breakup-of-ad-tech-business/</t>
  </si>
  <si>
    <t>Courthouse News — Google partial defeat, ad-tech</t>
  </si>
  <si>
    <t>https://www.courthousenews.com/judge-hands-google-partial-defeat-in-ad-tech-monopoly-case/</t>
  </si>
  <si>
    <t>forbes.com</t>
  </si>
  <si>
    <t>https://www.forbes.com/sites/hershshefrin/2026/07/27/market-experiences-an-ai-capex-turning-point-with-tipping-point-to-follow/</t>
  </si>
  <si>
    <t>Fortune, "The Wall Street Veteran Who's Helping Google Get Disciplined" (Ruth Porat profile) —</t>
  </si>
  <si>
    <t>fortune.com</t>
  </si>
  <si>
    <t>https://fortune.com/longform/google-cfo-ruth-porat-most-powerful-women/</t>
  </si>
  <si>
    <t>Fortune, "Stocks sell off globally on fear of AI bubble ahead of SpaceX IPO" (Jun 8, 2026) —</t>
  </si>
  <si>
    <t>https://fortune.com/2026/06/08/stocks-ai-bubble-spacex-ipo/</t>
  </si>
  <si>
    <t>Fortune, "Searches on Safari dipped for the first time in 22 years" —</t>
  </si>
  <si>
    <t>https://fortune.com/2025/05/08/apple-eddy-cue-testimony-google-alphabet-safari-ai-search-features/</t>
  </si>
  <si>
    <t>Fortune, "Google stock hits all-time high after government backs down" —</t>
  </si>
  <si>
    <t>https://fortune.com/2025/09/04/google-stock-hits-all-time-high-after-antitrust-chrome-ai-competition/</t>
  </si>
  <si>
    <t>Fortune, "Google DeepMind is losing its grip on elite AI talent" (Aug 27, 2026)</t>
  </si>
  <si>
    <t>https://fortune.com/2026/08/27/google-deepmind-losing-talent-to-rival-ai-labs-startups-new-data-show/</t>
  </si>
  <si>
    <t>Fortune — Meta bumps 2026 capex to $145B</t>
  </si>
  <si>
    <t>https://fortune.com/2026/04/29/meta-zuckerberg-145-billion-ai-spending-roi/</t>
  </si>
  <si>
    <t>Fortune — MIT 95% of gen-AI pilots failing</t>
  </si>
  <si>
    <t>https://fortune.com/2025/08/18/mit-report-95-percent-generative-ai-pilots-at-companies-failing-cfo/</t>
  </si>
  <si>
    <t>Fortune — DeepMind departures raise doubts</t>
  </si>
  <si>
    <t>https://fortune.com/2026/06/23/google-deepmind-ai-researcher-departures-raise-doubts-about-ability-to-win-the-ai-race-shazeer-jumper-eye-on-ai/</t>
  </si>
  <si>
    <t>NPR, "Google's AI chatbot, Bard, sparks a $100 billion loss in Alphabet shares" (Feb 9, 2023) —</t>
  </si>
  <si>
    <t>npr.org</t>
  </si>
  <si>
    <t>https://www.npr.org/2023/02/09/1155650909/google-chatbot--error-bard-shares</t>
  </si>
  <si>
    <t>NPR, "In a major antitrust ruling, a judge lets Google keep Chrome but levies other penalties" (Sep 2, 2025) —</t>
  </si>
  <si>
    <t>https://www.npr.org/2025/09/02/nx-s1-5478625/google-chrome-doj-antitrust-ruling</t>
  </si>
  <si>
    <t>semafor.com</t>
  </si>
  <si>
    <t>206</t>
  </si>
  <si>
    <t>https://www.semafor.com/article/07/23/2026/alphabets-free-cash-flow-turns-negative</t>
  </si>
  <si>
    <t>TechCrunch, "Google's Gemini app has surpassed 750M monthly active users" (Feb 4, 2026) —</t>
  </si>
  <si>
    <t>techcrunch.com</t>
  </si>
  <si>
    <t>https://techcrunch.com/2026/02/04/googles-gemini-app-has-surpassed-750m-monthly-active-users/</t>
  </si>
  <si>
    <t>TechCrunch, "Google wraps up $32B acquisition of Wiz" (Mar 11, 2026) —</t>
  </si>
  <si>
    <t>https://techcrunch.com/2026/03/11/google-completes-32b-acquisition-of-wiz/</t>
  </si>
  <si>
    <t>TechCrunch, "Epic's Fortnite is back in US Google Play Store" (Dec 11, 2025) —</t>
  </si>
  <si>
    <t>https://techcrunch.com/2025/12/11/epic-gamess-fortnite-is-back-in-us-google-play-store-as-court-partially-reverses-restrictions-it-won-on-ios/</t>
  </si>
  <si>
    <t>TechCrunch, "Google launches Gemini 3 Flash" (Dec 17, 2025) —</t>
  </si>
  <si>
    <t>https://techcrunch.com/2025/12/17/google-launches-gemini-3-flash-makes-it-the-default-model-in-the-gemini-app/</t>
  </si>
  <si>
    <t>TechCrunch — EU fines Google $3.5B adtech</t>
  </si>
  <si>
    <t>https://techcrunch.com/2025/09/06/eu-fines-google-3-5b-over-adtech-abuse/</t>
  </si>
  <si>
    <t>The Register, "Google shares slump as Apple exec calls AI the new search" —</t>
  </si>
  <si>
    <t>theregister.com</t>
  </si>
  <si>
    <t>https://www.theregister.com/2025/05/07/google_apple_cue/</t>
  </si>
  <si>
    <t>The Register, "Cloud giants pour nearly $600B into capex as AI demand surges" (Aug 4, 2026)</t>
  </si>
  <si>
    <t>https://www.theregister.com/off-prem/2026/08/04/cloud_giants_pour_nearly_600b_into_capex_as_ai_demand_surges/5282679</t>
  </si>
  <si>
    <t>https://www.theregister.com/off-prem/2026/04/30/microsoft-lifts-2026-capex-by-25b-to-cover-price-rises/5221545</t>
  </si>
  <si>
    <t>Variety — Amazon Q4 2025, $200B 2026 capex</t>
  </si>
  <si>
    <t>variety.com</t>
  </si>
  <si>
    <t>https://variety.com/2026/digital/news/amazon-q4-2025-earnings-capex-advertising-sales-1236653797/</t>
  </si>
  <si>
    <t>Constellation Research — Amazon $200B capex, AWS surge</t>
  </si>
  <si>
    <t>constellationr.com</t>
  </si>
  <si>
    <t>2 Institutional research</t>
  </si>
  <si>
    <t>https://www.constellationr.com/insights/news/amazon-sees-200-billion-capex-ahead-aws-sales-surge-24</t>
  </si>
  <si>
    <t>Dentsu Global Ad Spend Forecast (Dec 2025, &gt;$1T 2026)</t>
  </si>
  <si>
    <t>dentsu.com</t>
  </si>
  <si>
    <t>https://www.dentsu.com/news-releases/global-ad-spend-set-to-surpass-one-trillion-for-the-first-time-in-2026-as-the-algorithmic-era-redefines-growth</t>
  </si>
  <si>
    <t>eMarketer — US Search Advertising Forecast 2026 (Google 48.5%)</t>
  </si>
  <si>
    <t>emarketer.com</t>
  </si>
  <si>
    <t>https://www.emarketer.com/content/us-search-advertising-forecast-2026</t>
  </si>
  <si>
    <t>eMarketer — AI search ads ($2.08B 2026 → $25.93B 2029)</t>
  </si>
  <si>
    <t>https://www.emarketer.com/content/ai-search-ads-surge-forward-while-advertisers-wait-proof</t>
  </si>
  <si>
    <t>eMarketer — Seer Interactive CTR declines</t>
  </si>
  <si>
    <t>https://www.emarketer.com/content/marketers-expect-ai-chip-away-google-s-search-dominance</t>
  </si>
  <si>
    <t>Futurum — Microsoft Q3 FY2026 cloud/capacity</t>
  </si>
  <si>
    <t>futurumgroup.com</t>
  </si>
  <si>
    <t>https://futurumgroup.com/insights/microsoft-q3-fy-2026-earnings-show-cloud-growth-with-capacity-still-tight/</t>
  </si>
  <si>
    <t>Futurum — Microsoft Q2 FY2026 cloud &gt;$50B</t>
  </si>
  <si>
    <t>https://futurumgroup.com/insights/microsoft-q2-fy-2026-cloud-surpasses-50b-azure-up-38-cc/</t>
  </si>
  <si>
    <t>Futurum — Oracle Q2 FY2026 capex</t>
  </si>
  <si>
    <t>https://futurumgroup.com/insights/oracle-q2-fy-2026-cloud-grows-capex-rises-for-ai-buildout/</t>
  </si>
  <si>
    <t>Goldman Sachs — Tracking Trillions AI build-out</t>
  </si>
  <si>
    <t>goldmansachs.com</t>
  </si>
  <si>
    <t>https://www.goldmansachs.com/insights/articles/tracking-trillions-the-assumptions-shaping-scale-of-the-ai-build-out</t>
  </si>
  <si>
    <t>Morgan Stanley — AI market trends 2026</t>
  </si>
  <si>
    <t>morganstanley.com</t>
  </si>
  <si>
    <t>https://www.morganstanley.com/insights/articles/ai-market-trends-institute-2026</t>
  </si>
  <si>
    <t>Morgan Stanley — AI capex 2026 $740B</t>
  </si>
  <si>
    <t>https://www.morganstanley.com/insights/articles/ai-capex-740-billion-banking-opportunity</t>
  </si>
  <si>
    <t>SemiAnalysis — Google TPUv7 (Nov 30, 2025)</t>
  </si>
  <si>
    <t>newsletter.semianalysis.com</t>
  </si>
  <si>
    <t>https://newsletter.semianalysis.com/p/tpuv7-google-takes-a-swing-at-the</t>
  </si>
  <si>
    <t>Yahoo Finance, GOOGL historical prices (Dec 31, 2025 close $313.00; May 13, 2026 close $402.38) —</t>
  </si>
  <si>
    <t>finance.yahoo.com</t>
  </si>
  <si>
    <t>3 Data provider</t>
  </si>
  <si>
    <t>https://finance.yahoo.com/quote/GOOGL/history/</t>
  </si>
  <si>
    <t>Yahoo Finance, ^GSPC historical data (June 11, 2026 close 7,394.30) —</t>
  </si>
  <si>
    <t>https://finance.yahoo.com/quote/%5EGSPC/history/</t>
  </si>
  <si>
    <t>Yahoo Finance, "Alphabet stock sinks after Google parent announces $180 billion spending plan for 2026" —</t>
  </si>
  <si>
    <t>https://finance.yahoo.com/news/alphabet-stock-sinks-after-google-parent-announces-180-billion-spending-plan-for-2026-in-massive-ai-bet-155410864.html</t>
  </si>
  <si>
    <t>Yahoo Finance, "Alphabet's AI surge makes it the 4th-ever company to crack $4 trillion" —</t>
  </si>
  <si>
    <t>https://finance.yahoo.com/news/alphabets-ai-surge-makes-4th-001041767.html</t>
  </si>
  <si>
    <t>Yahoo Finance — GOOGL quote/history</t>
  </si>
  <si>
    <t>https://finance.yahoo.com/quote/GOOGL/</t>
  </si>
  <si>
    <t>Yahoo Finance — Alphabet Q1 2026, Cloud +63%</t>
  </si>
  <si>
    <t>https://finance.yahoo.com/markets/stocks/articles/alphabet-q1-2026-earnings-google-202101883.html</t>
  </si>
  <si>
    <t>Yahoo Finance — Oracle $35B capex plan</t>
  </si>
  <si>
    <t>https://finance.yahoo.com/news/oracles-35b-capex-plan-ensure-150300800.html</t>
  </si>
  <si>
    <t>Yahoo Finance — Anthropic 3.5 GW capacity: ; HPCwire</t>
  </si>
  <si>
    <t>https://finance.yahoo.com/sectors/technology/articles/anthropic-secures-access-3-5-124717374.html</t>
  </si>
  <si>
    <t>The Information via Yahoo — Meta/Google TPU talks (Nov 24, 2025)</t>
  </si>
  <si>
    <t>https://finance.yahoo.com/news/meta-google-discuss-tpu-deal-233823637.html</t>
  </si>
  <si>
    <t>CNBC/Yahoo — Morgan Stanley &amp; BofA TPU outlook (June 2026)</t>
  </si>
  <si>
    <t>https://finance.yahoo.com/news/wall-street-lifts-broadcom-targets-144324109.html</t>
  </si>
  <si>
    <t>Macrotrends, "Alphabet – Stock Price History (GOOGL)" (annual changes 2015–2024; page inaccessible today, figures cross-checked against training-period data — UNVERIFIED today) —</t>
  </si>
  <si>
    <t>macrotrends.net</t>
  </si>
  <si>
    <t>https://www.macrotrends.net/stocks/charts/GOOGL/alphabet/stock-price-history</t>
  </si>
  <si>
    <t>MarketBeat — GOOGL forecast &amp; recent ratings</t>
  </si>
  <si>
    <t>marketbeat.com</t>
  </si>
  <si>
    <t>https://www.marketbeat.com/stocks/NASDAQ/GOOGL/forecast/</t>
  </si>
  <si>
    <t>Public.com, GOOGL forecast (FY2026 EPS $14.54, FY2027 $14.94) —</t>
  </si>
  <si>
    <t>public.com</t>
  </si>
  <si>
    <t>https://public.com/stocks/googl/forecast-price-target</t>
  </si>
  <si>
    <t>Public.com — GOOGL P/E ratio (historical)</t>
  </si>
  <si>
    <t>https://public.com/stocks/googl/pe-ratio</t>
  </si>
  <si>
    <t>Similarweb — ChatGPT usage (1B MAU June 2026)</t>
  </si>
  <si>
    <t>similarweb.com</t>
  </si>
  <si>
    <t>202</t>
  </si>
  <si>
    <t>https://www.similarweb.com/website/chatgpt.com/</t>
  </si>
  <si>
    <t>Simply Wall St — Alphabet analysis (capex/depreciation/dilution)</t>
  </si>
  <si>
    <t>simplywall.st</t>
  </si>
  <si>
    <t>https://simplywall.st/stocks/us/media/nasdaq-googl/alphabet</t>
  </si>
  <si>
    <t>Statista, Google Cloud revenue 2025 —</t>
  </si>
  <si>
    <t>statista.com</t>
  </si>
  <si>
    <t>https://www.statista.com/statistics/478176/google-public-cloud-revenue/</t>
  </si>
  <si>
    <t>Statista/Synergy chart, cloud infrastructure market share Q1 2026 —</t>
  </si>
  <si>
    <t>https://www.statista.com/chart/18819/worldwide-market-share-of-leading-cloud-infrastructure-service-providers/</t>
  </si>
  <si>
    <t>stockanalysis.com</t>
  </si>
  <si>
    <t>https://stockanalysis.com/stocks/googl/</t>
  </si>
  <si>
    <t>StockAnalysis.com, QQQ (YTD ~+15%; 1-yr TR +34.9%) —</t>
  </si>
  <si>
    <t>https://stockanalysis.com/etf/qqq/</t>
  </si>
  <si>
    <t>StockAnalysis.com, SPY (Jun 11, 2026 close $737.76, +1.70%) —</t>
  </si>
  <si>
    <t>https://stockanalysis.com/etf/spy/</t>
  </si>
  <si>
    <t>StockAnalysis.com GOOGL statistics and forecast (retrieved Sep 10, 2026; forecast data dated Sep 8): and</t>
  </si>
  <si>
    <t>HELP-1-historical, HELP-2-emerging, REFRESH-2026-09</t>
  </si>
  <si>
    <t>https://stockanalysis.com/stocks/googl/forecast/</t>
  </si>
  <si>
    <t>HELP-2-emerging, REFRESH-2026-09</t>
  </si>
  <si>
    <t>https://stockanalysis.com/stocks/googl/statistics/</t>
  </si>
  <si>
    <t>StockAnalysis.com — GOOGL ratings</t>
  </si>
  <si>
    <t>https://stockanalysis.com/stocks/googl/ratings/</t>
  </si>
  <si>
    <t>StockAnalysis.com — MSFT statistics</t>
  </si>
  <si>
    <t>https://stockanalysis.com/stocks/msft/statistics/</t>
  </si>
  <si>
    <t>StockAnalysis.com — META statistics</t>
  </si>
  <si>
    <t>https://stockanalysis.com/stocks/meta/statistics/</t>
  </si>
  <si>
    <t>StockAnalysis.com — AMZN statistics</t>
  </si>
  <si>
    <t>https://stockanalysis.com/stocks/amzn/statistics/</t>
  </si>
  <si>
    <t>StockAnalysis.com — AAPL &amp; NVDA statistics: and</t>
  </si>
  <si>
    <t>https://stockanalysis.com/stocks/aapl/statistics/</t>
  </si>
  <si>
    <t>https://stockanalysis.com/stocks/nvda/statistics/</t>
  </si>
  <si>
    <t>https://stockanalysis.com/stocks/googl/transcripts/657320-q2-2026/</t>
  </si>
  <si>
    <t>TipRanks — Google overhauls AI coding team</t>
  </si>
  <si>
    <t>tipranks.com</t>
  </si>
  <si>
    <t>https://www.tipranks.com/news/google-overhauls-ai-coding-team-in-desperate-bid-to-catch-anthropic-and-openai</t>
  </si>
  <si>
    <t>DLA Piper, "Federal court orders remedies in Google antitrust case, rejects DOJ call for breakup" —</t>
  </si>
  <si>
    <t>dlapiper.com</t>
  </si>
  <si>
    <t>3 Law firm</t>
  </si>
  <si>
    <t>429</t>
  </si>
  <si>
    <t>OK (rate-limited)</t>
  </si>
  <si>
    <t>https://www.dlapiper.com/en/insights/publications/2025/09/federal-court-orders-remedies-in-google-antitrust-case</t>
  </si>
  <si>
    <t>Hughes Hubbard, "Court issues remedies ruling in United States v. Google search case" —</t>
  </si>
  <si>
    <t>hugheshubbard.com</t>
  </si>
  <si>
    <t>https://www.hugheshubbard.com/news/court-issues-remedies-ruling-in-united-states-v-google-search-case</t>
  </si>
  <si>
    <t>Loyens &amp; Loeff, "European Commission fines Google EUR 2.95 billion" —</t>
  </si>
  <si>
    <t>loyensloeff.com</t>
  </si>
  <si>
    <t>https://www.loyensloeff.com/insights/news--events/news/european-commission-fines-google-eur-2.95-billion-over-abusive-practices-in-online-advertising-technology/</t>
  </si>
  <si>
    <t>McDermott Will &amp; Emery — €2.95B self-preferencing analysis</t>
  </si>
  <si>
    <t>mwe.com</t>
  </si>
  <si>
    <t>https://www.mwe.com/insights/the-saga-continues-european-commission-fines-google-e2-95-billion-for-self-preferencing-conflicts-of-interests-in-the-adtech-market/</t>
  </si>
  <si>
    <t>Steptoe — CMA designations + JFTC context</t>
  </si>
  <si>
    <t>steptoe.com</t>
  </si>
  <si>
    <t>https://www.steptoe.com/en/news-publications/stepahead-antitrust-and-competition-insights/cma-completes-its-initial-designations-in-mobile-ecosystems-and-search.html</t>
  </si>
  <si>
    <t>AdExchanger, "DOJ and Google sharpen their remedy proposals" —</t>
  </si>
  <si>
    <t>adexchanger.com</t>
  </si>
  <si>
    <t>4 Trade press</t>
  </si>
  <si>
    <t>https://www.adexchanger.com/antitrust/the-doj-and-google-sharpen-their-remedy-proposals-as-the-two-sides-prepare-for-closing-arguments/</t>
  </si>
  <si>
    <t>AdExchanger, "Google Won't Have To Break Up Its Ad Tech Business, Judge Brinkema Rules"</t>
  </si>
  <si>
    <t>https://www.adexchanger.com/antitrust/google-wont-have-to-break-up-its-ad-tech-business-judge-brinkema-rules/</t>
  </si>
  <si>
    <t>AdExchanger — investor skepticism on monetization parity</t>
  </si>
  <si>
    <t>https://www.adexchanger.com/online-advertising/alphabets-revenue-skyrockets-and-ai-overviews-gobble-more-of-the-search-pie/</t>
  </si>
  <si>
    <t>AdExchanger — closing arguments done, ad-tech case</t>
  </si>
  <si>
    <t>https://www.adexchanger.com/antitrust/closing-arguments-are-done-in-the-us-v-google-ad-tech-case/</t>
  </si>
  <si>
    <t>AdExchanger — Brinkema "window dressing"</t>
  </si>
  <si>
    <t>https://www.adexchanger.com/online-advertising/doj-v-google-judge-brinkema-calls-for-less-ad-tech-window-dressing-in-the-adx-and-dfp-divestiture-debate/</t>
  </si>
  <si>
    <t>CoStar — hyperscalers' $680B AI capex</t>
  </si>
  <si>
    <t>costar.com</t>
  </si>
  <si>
    <t>https://www.costar.com/article/907046102/hyperscalers-680-billion-ai-capital-expenditure-investment-raises-the-stakes</t>
  </si>
  <si>
    <t>DataCenterDynamics — Amazon capex to hit $200bn</t>
  </si>
  <si>
    <t>datacenterdynamics.com</t>
  </si>
  <si>
    <t>https://www.datacenterdynamics.com/en/news/amazon-capex-to-hit-200bn-in-2026-will-mostly-fund-aws-data-centers/</t>
  </si>
  <si>
    <t>Data Center Dynamics — Safe Superintelligence uses TPUs</t>
  </si>
  <si>
    <t>https://www.datacenterdynamics.com/en/news/ai-startup-safe-superintelligence-to-use-googles-tpu-chips-for-research/</t>
  </si>
  <si>
    <t>Digiday, "Google's ad tech antitrust remedy phase explained" —</t>
  </si>
  <si>
    <t>digiday.com</t>
  </si>
  <si>
    <t>https://digiday.com/marketing/googles-ad-tech-antitrust-remedy-phase-explained-doj-wants-googles-offerings-and-where-the-judge-might-land/</t>
  </si>
  <si>
    <t>Digiday — AI Overviews reach 2B monthly users</t>
  </si>
  <si>
    <t>https://digiday.com/media/googles-ai-overviews-reach-over-2-billion-monthly-users/</t>
  </si>
  <si>
    <t>Digitimes — Huang: TPUs pose no threat (Apr 27, 2026)</t>
  </si>
  <si>
    <t>digitimes.com</t>
  </si>
  <si>
    <t>https://www.digitimes.com/news/a20260427PD236/nvidia-ai-chip-google-tpu-anthropic.html</t>
  </si>
  <si>
    <t>HPCwire, "Alphabet announces $80B capital raise, including $10B Berkshire Hathaway investment" —</t>
  </si>
  <si>
    <t>hpcwire.com</t>
  </si>
  <si>
    <t>https://www.hpcwire.com/off-the-wire/alphabet-announces-80b-capital-raise-including-10b-berkshire-hathaway-investment/</t>
  </si>
  <si>
    <t>https://www.hpcwire.com/off-the-wire/anthropic-signs-google-broadcom-deal-to-add-multi-gigawatt-tpu-capacity/</t>
  </si>
  <si>
    <t>Magna via Marketing Dive (2026 +6.3%)</t>
  </si>
  <si>
    <t>marketingdive.com</t>
  </si>
  <si>
    <t>https://www.marketingdive.com/news/magna-latest-to-downgrade-global-ad-spending-forecast-expects-979b/750871/</t>
  </si>
  <si>
    <t>MediaPost — DOJ/states appeal (02/04/2026)</t>
  </si>
  <si>
    <t>mediapost.com</t>
  </si>
  <si>
    <t>https://www.mediapost.com/publications/article/412527/google-search-ruling-appealed-by-doj-states.html</t>
  </si>
  <si>
    <t>PPC Land, "Judge spares Google's ad exchange and rewrites its auction rules instead"</t>
  </si>
  <si>
    <t>ppc.land</t>
  </si>
  <si>
    <t>https://ppc.land/judge-spares-googles-ad-exchange-and-rewrites-its-auction-rules-instead/</t>
  </si>
  <si>
    <t>PPC Land — Google appeals, asks to pause data-sharing</t>
  </si>
  <si>
    <t>https://ppc.land/google-appeals-doj-search-ruling-asks-to-pause-data-sharing-remedies/</t>
  </si>
  <si>
    <t>PPC Land — Google files appeal of six-year remedies</t>
  </si>
  <si>
    <t>https://ppc.land/google-files-appeal-challenging-six-year-search-remedies/</t>
  </si>
  <si>
    <t>PPC Land — EU record DMA fine before recess</t>
  </si>
  <si>
    <t>https://ppc.land/eu-set-to-hit-google-with-record-dma-fine-before-summer-recess/</t>
  </si>
  <si>
    <t>Search Engine Journal, "Google Search revenue hits 19% growth: what Pichai's AI claims really mean" —</t>
  </si>
  <si>
    <t>searchenginejournal.com</t>
  </si>
  <si>
    <t>https://www.searchenginejournal.com/google-search-revenue-grew-19-in-q1-pichai-cites-ai/573378/</t>
  </si>
  <si>
    <t>Search Engine Journal, "Google claims AI Overviews monetize at same rate as traditional search" —</t>
  </si>
  <si>
    <t>https://www.searchenginejournal.com/google-claims-ai-overviews-monetize-at-same-rate-as-traditional-search/547838/</t>
  </si>
  <si>
    <t>Search Engine Land — "DOJ and states appeal Google search antitrust remedies ruling"</t>
  </si>
  <si>
    <t>searchengineland.com</t>
  </si>
  <si>
    <t>https://searchengineland.com/doj-states-appeal-google-search-antitrust-remedies-ruling-468230</t>
  </si>
  <si>
    <t>Pew via Search Engine Land — AI Overviews cut clicks</t>
  </si>
  <si>
    <t>https://searchengineland.com/google-ai-overviews-hurting-clicks-study-459434</t>
  </si>
  <si>
    <t>TechPolicy.Press — EU search-policy investigation</t>
  </si>
  <si>
    <t>techpolicy.press</t>
  </si>
  <si>
    <t>https://www.techpolicy.press/breaking-down-the-eus-investigation-into-googles-search-policy/</t>
  </si>
  <si>
    <t>The Asian Banker — HSBC expands Google Cloud AI partnership</t>
  </si>
  <si>
    <t>theasianbanker.com</t>
  </si>
  <si>
    <t>https://www.theasianbanker.com/updates-and-articles/hsbc-expands-google-cloud-ai-partnership-with-100-million-use-case-threshold</t>
  </si>
  <si>
    <t>Tom's Hardware, "Billion-dollar AI chip deal between Google and Meta" —</t>
  </si>
  <si>
    <t>tomshardware.com</t>
  </si>
  <si>
    <t>https://www.tomshardware.com/tech-industry/billion-dollar-ai-chip-deal-between-google-and-meta-could-be-on-the-cards-would-involve-renting-google-cloud-tpus-next-year-outright-purchases-in-2027</t>
  </si>
  <si>
    <t>Tom's Hardware — custom AI ASIC state of play (May 2026)</t>
  </si>
  <si>
    <t>https://www.tomshardware.com/tech-industry/semiconductors/custom-ai-asics-examined-from-broadcom-to-mtia</t>
  </si>
  <si>
    <t>Tom's Hardware — TPUs "minor threat" to Nvidia</t>
  </si>
  <si>
    <t>https://www.tomshardware.com/tech-industry/semiconductors/nvidia-responds-as-meta-explores-switch-to-google-tpus</t>
  </si>
  <si>
    <t>Virtualization Review — MIT "GenAI Divide"</t>
  </si>
  <si>
    <t>virtualizationreview.com</t>
  </si>
  <si>
    <t>https://virtualizationreview.com/articles/2025/08/19/mit-report-finds-most-ai-business-investments-fail-reveals-genai-divide.aspx</t>
  </si>
  <si>
    <t>5 LOW - replace</t>
  </si>
  <si>
    <t>CBS News San Francisco, "Google Shareholders Receive $65.1 Billion Windfall In Friday Trading" (Jul 17, 2015) —</t>
  </si>
  <si>
    <t>cbsnews.com</t>
  </si>
  <si>
    <t>https://www.cbsnews.com/sanfrancisco/news/google-shareholders-receive-65-1-billion-windfall-in-friday-trading/</t>
  </si>
  <si>
    <t>fool.com</t>
  </si>
  <si>
    <t>The Motley Fool, "Alphabet (GOOGL) Q4 2025 Earnings Call Transcript" (Feb 4, 2026) —</t>
  </si>
  <si>
    <t>https://www.fool.com/earnings/call-transcripts/2026/02/04/alphabet-googl-q4-2025-earnings-call-transcript/</t>
  </si>
  <si>
    <t>The Motley Fool — Alphabet (GOOGL) Q1 2026 Earnings Call Transcript (Apr 29, 2026)</t>
  </si>
  <si>
    <t>https://www.fool.com/earnings/call-transcripts/2026/04/29/alphabet-googl-q1-2026-earnings-call-transcript/</t>
  </si>
  <si>
    <t>Nasdaq Global Indexes, "2025 Nasdaq-100 Reconstitution and Performance Highlights" (NDX +21% TR vs S&amp;P +18% TR, 2025) —</t>
  </si>
  <si>
    <t>nasdaq.com</t>
  </si>
  <si>
    <t>https://www.nasdaq.com/articles/global-indexes/2025-nasdaq-100-reconstitution-and-performance-highlights</t>
  </si>
  <si>
    <t>SCOTUSblog, "Justices side against Google" (Oct 2025) —</t>
  </si>
  <si>
    <t>scotusblog.com</t>
  </si>
  <si>
    <t>https://www.scotusblog.com/2025/10/justices-side-against-google/</t>
  </si>
  <si>
    <t>to5Google, "Alphabet reports Q1 2026 revenue of $109.9 billion" —</t>
  </si>
  <si>
    <t>9to5google.com</t>
  </si>
  <si>
    <t>https://9to5google.com/2026/04/29/alphabet-q1-2026-earnings/</t>
  </si>
  <si>
    <t>to5Google, "Google's Epic Play Store changes set to take effect October 29" —</t>
  </si>
  <si>
    <t>https://9to5google.com/2025/10/21/google-epic-agree-week-long-extension-play-store-changes/</t>
  </si>
  <si>
    <t>AInvest, "Google's antitrust crossroads" (Aug 2025, 18.6x vs S&amp;P 21.7x; secondary source) —</t>
  </si>
  <si>
    <t>ainvest.com</t>
  </si>
  <si>
    <t>https://www.ainvest.com/news/google-antitrust-crossroads-strategic-buy-regulatory-risks-ai-momentum-august-2025-2508/</t>
  </si>
  <si>
    <t>Barchart, "Microsoft vs. Apple stock heading into H2 2026" (fwd P/E ~25x vs ~34x) — ; Nemo, "Apple vs Meta June 2026" (META ~21.9x fwd) —</t>
  </si>
  <si>
    <t>barchart.com</t>
  </si>
  <si>
    <t>https://www.barchart.com/story/news/2095554/microsoft-vs-apple-stock-the-numbers-reveal-a-clear-winner-heading-into-h2-2026</t>
  </si>
  <si>
    <t>Capital.com, "Alphabet Stock Forecast: Q4 Results, Higher AI Capex" (Mar 19, 2026; $309.69 on Mar 18, -11.6% from Feb peak close $350.33) —</t>
  </si>
  <si>
    <t>capital.com</t>
  </si>
  <si>
    <t>https://capital.com/en-int/market-updates/alphabet-stock-forecast-19-03-2026</t>
  </si>
  <si>
    <t>CNN Business, "Google shares lose $100 billion after company's AI chatbot makes an error during demo" (Feb 8, 2023) —</t>
  </si>
  <si>
    <t>cnn.com</t>
  </si>
  <si>
    <t>https://www.cnn.com/2023/02/08/tech/google-ai-bard-demo-error</t>
  </si>
  <si>
    <t>CNN Business, "Markets whipsaw as AI sell-off resumes" (Jun 9, 2026) —</t>
  </si>
  <si>
    <t>https://www.cnn.com/2026/06/09/investing/nasdaq-sp500-dow-drop-ai</t>
  </si>
  <si>
    <t>CNN Business, "US stocks just posted a third straight year of stellar gains" (Dec 31, 2025) —</t>
  </si>
  <si>
    <t>https://www.cnn.com/2025/12/31/investing/year-gains-us-stock-market</t>
  </si>
  <si>
    <t>Digital Applied, "Google AI Mode: 75M users, ads in 25% of AI results" —</t>
  </si>
  <si>
    <t>digitalapplied.com</t>
  </si>
  <si>
    <t>https://www.digitalapplied.com/blog/google-ai-mode-75m-users-ads-in-ai-results-2026</t>
  </si>
  <si>
    <t>Electrek, "Waymo raises $16B at $126B valuation, plans expansion to 20+ cities" —</t>
  </si>
  <si>
    <t>electrek.co</t>
  </si>
  <si>
    <t>https://electrek.co/2026/02/02/waymo-raises-16-billion-round-at-126-billion-valuation-plans-expansion/</t>
  </si>
  <si>
    <t>explore.nemo.money</t>
  </si>
  <si>
    <t>https://explore.nemo.money/en/stocks/compare/apple-vs-meta</t>
  </si>
  <si>
    <t>FullRatio, GOOGL P/E ratio history —</t>
  </si>
  <si>
    <t>fullratio.com</t>
  </si>
  <si>
    <t>https://fullratio.com/stocks/nasdaq-googl/pe-ratio</t>
  </si>
  <si>
    <t>Google Cloud press release, "Anthropic to expand use of Google Cloud TPUs" —</t>
  </si>
  <si>
    <t>googlecloudpresscorner.com</t>
  </si>
  <si>
    <t>https://www.googlecloudpresscorner.com/2025-10-23-Anthropic-to-Expand-Use-of-Google-Cloud-TPUs-and-Services</t>
  </si>
  <si>
    <t>investingLive, "Alphabet beats Q4 revenue but shocks markets with massive 2026 capex outlook" —</t>
  </si>
  <si>
    <t>investinglive.com</t>
  </si>
  <si>
    <t>https://investinglive.com/stocks/alphabet-beats-q4-revenue-but-shocks-markets-with-massive-2026-capex-outlook-20260204/</t>
  </si>
  <si>
    <t>investingLive — Microsoft Q3 beats, capex below estimate</t>
  </si>
  <si>
    <t>https://investinglive.com/stocks/microsoft-q3-beats-on-revenue-eps-and-cloud-as-capex-comes-in-34bn-below-estimates-20260429/</t>
  </si>
  <si>
    <t>Kavout, "Google found guilty of antitrust violations" (Aug 2024 stock reaction; secondary source) —</t>
  </si>
  <si>
    <t>kavout.com</t>
  </si>
  <si>
    <t>https://www.kavout.com/market-lens/google-found-guilty-of-antitrust-violations-immediate-and-long-term-impacts-on-stock-and-search-market</t>
  </si>
  <si>
    <t>SiliconANGLE, "Google to make major changes to its app store to settle Epic Games lawsuit" (Nov 2025) —</t>
  </si>
  <si>
    <t>siliconangle.com</t>
  </si>
  <si>
    <t>https://siliconangle.com/2025/11/05/google-make-major-changes-app-store-settle-epic-games-lawsuit/</t>
  </si>
  <si>
    <t>Slickcharts, "S&amp;P 500 Total Returns by Year" (2015–2024 column; page inaccessible today — UNVERIFIED today) —</t>
  </si>
  <si>
    <t>slickcharts.com</t>
  </si>
  <si>
    <t>https://www.slickcharts.com/sp500/returns</t>
  </si>
  <si>
    <t>Slickcharts, "Nasdaq 100 Annual Returns by Year" (2015–2024 column; page inaccessible today — UNVERIFIED today) —</t>
  </si>
  <si>
    <t>https://www.slickcharts.com/nasdaq100/returns</t>
  </si>
  <si>
    <t>StockTitan, "Alphabet Q1 2026 revenue rises to $109.9B" (8-K summary, $36.9B equity gain detail) —</t>
  </si>
  <si>
    <t>stocktitan.net</t>
  </si>
  <si>
    <t>https://www.stocktitan.net/sec-filings/GOOGL/8-k-alphabet-inc-reports-material-event-99e4ee982355.html</t>
  </si>
  <si>
    <t>TECHi, "Magnificent Seven meltdown — which tech giants are bargains" (17x fwd, cheapest Mag 7) —</t>
  </si>
  <si>
    <t>techi.com</t>
  </si>
  <si>
    <t>https://www.techi.com/magnificent-seven-stocks/</t>
  </si>
  <si>
    <t>TIKR, "Alphabet stock surged 10% after Q1 2026 earnings" —</t>
  </si>
  <si>
    <t>tikr.com</t>
  </si>
  <si>
    <t>https://www.tikr.com/blog/alphabet-stock-surged-10-after-q1-2026-earnings-whats-next-for-googl</t>
  </si>
  <si>
    <t>TIKR — Google Cloud crosses $462B backlog</t>
  </si>
  <si>
    <t>https://www.tikr.com/blog/google-cloud-just-crossed-462-billion-in-backlog-heres-what-it-means-for-googl</t>
  </si>
  <si>
    <t>Tom's Guide, "Gemini 3 is here — crushing benchmarks, outperforming ChatGPT" (Nov 2025) —</t>
  </si>
  <si>
    <t>tomsguide.com</t>
  </si>
  <si>
    <t>https://www.tomsguide.com/ai/google-gemini/gemini-3-is-here-googles-most-powerful-ai-model-yet-is-crushing-benchmarks-improving-search-and-outperforming-chatgpt</t>
  </si>
  <si>
    <t>Reuters (via TradingView), "Alphabet, Apple shares rise after antitrust ruling" (+9.14%, +$234B; AAPL +3.8%) —</t>
  </si>
  <si>
    <t>tradingview.com</t>
  </si>
  <si>
    <t>https://www.tradingview.com/news/reuters.com,2025:newsml_L4N3UQ0JA:0-alphabet-apple-shares-rise-after-antitrust-ruling/</t>
  </si>
  <si>
    <t>MarketBeat via TradingView, "Alphabet's Pullback: A Second Chance for Long-Term Investors?" (I/O reception, AI coding-model concerns — lower-confidence source) —</t>
  </si>
  <si>
    <t>https://www.tradingview.com/news/marketbeat:d314450fd094b:0-alphabet-s-pullback-a-second-chance-for-long-term-investors/</t>
  </si>
  <si>
    <t>TradingView News, "Alphabet Inc. SEC 10-K Report" (2025 buybacks $45.4B, dividends) —</t>
  </si>
  <si>
    <t>https://www.tradingview.com/news/tradingview:da3b1ad56fc60:0-alphabet-inc-sec-10-k-report/</t>
  </si>
  <si>
    <t>Visual Capitalist, "Ranked: Magnificent Seven Stock Returns in 2025" —</t>
  </si>
  <si>
    <t>visualcapitalist.com</t>
  </si>
  <si>
    <t>https://www.visualcapitalist.com/magnificent-seven-stock-returns-in-2025/</t>
  </si>
  <si>
    <t>Waymo blog, "Waymo raises $16 billion investment round" —</t>
  </si>
  <si>
    <t>waymo.com</t>
  </si>
  <si>
    <t>https://waymo.com/blog/2026/02/waymo-raises-usd16-billion-investment-round/</t>
  </si>
  <si>
    <t>WinBuzzer, "Anthropic triples Google TPU deal to 3.5GW" (Apr 2026) —</t>
  </si>
  <si>
    <t>winbuzzer.com</t>
  </si>
  <si>
    <t>https://winbuzzer.com/2026/04/09/anthropic-triples-google-tpu-deal-to-35gw-as-revenue-hits-30-xcxwbn/</t>
  </si>
  <si>
    <t>WinBuzzer, "EU nears major DMA fine against Google in search case" (May 26, 2026) —</t>
  </si>
  <si>
    <t>https://winbuzzer.com/2026/05/26/eu-nears-major-dma-fine-against-google-in-search-case-xcxwbn/</t>
  </si>
  <si>
    <t>Verification summary</t>
  </si>
  <si>
    <t>•  REPAIRED: two CNBC AMP URLs (404) rewritten to their non-AMP form; the Register piece on Microsoft lifting 2026 capex by $25B (404) restored by appending its article id 5221545, with CNBC's Apr 29 2026 coverage added as a higher-tier alternative; and the Next Web piece on the EXPECTED EU DMA fine, which was superseded outright by the actual decision (see below).</t>
  </si>
  <si>
    <t>•  SUBSTANTIVE FINDING FROM THIS CHECK: chasing the dead Next Web link revealed that the EU DMA search fine HAS been issued. On July 23 2026 the Commission fined Google EUR 890 million (EUR 460M search self-preferencing + EUR 430M Play Store steering), roughly 2% of one quarter's operating income. HELP-3 had carried this as an open item. The primary Commission source is now cited. It also carries a near-term catalyst: comply within 60 days (around September 21 2026) or face periodic penalties of up to 5% of average daily worldwide turnover.</t>
  </si>
  <si>
    <t>Every check below is a LIVE FORMULA reading the other sheets. Re-run by pressing F9 after any edit.</t>
  </si>
  <si>
    <t>Check</t>
  </si>
  <si>
    <t>Recomputed</t>
  </si>
  <si>
    <t>As stated in workbook</t>
  </si>
  <si>
    <t>Status</t>
  </si>
  <si>
    <t>FY2025 Income from operations = Revenue less total costs</t>
  </si>
  <si>
    <t>TTM Jun'26 Revenue = FY25 + H1'26 - H1'25</t>
  </si>
  <si>
    <t>TTM Jun'26 Net income = FY25 + H1'26 - H1'25</t>
  </si>
  <si>
    <t>Q2'26 Income from operations = Rev less COR, R&amp;D, S&amp;M, G&amp;A</t>
  </si>
  <si>
    <t>Q2'26 other income EX-GAIN = OI&amp;E less securities gain</t>
  </si>
  <si>
    <t>Q2'26 CORE EPS = normalized net income / diluted shares</t>
  </si>
  <si>
    <t>TTM Jun'26 CORE EPS = H2'25 core + H1'26 core</t>
  </si>
  <si>
    <t>FY2025 total revenue = sum of segments plus hedging</t>
  </si>
  <si>
    <t>Q2'26 total operating income = sum of segments</t>
  </si>
  <si>
    <t>Jun'26 balance sheet: cash + marketable securities</t>
  </si>
  <si>
    <t>Jun'26 net cash = liquid assets less total debt</t>
  </si>
  <si>
    <t>FY2025 balance sheet balances: liabilities + equity = assets</t>
  </si>
  <si>
    <t>TTM Jun'26 free cash flow = operating cash flow less capex</t>
  </si>
  <si>
    <t>Q2'26 free cash flow (first negative quarter)</t>
  </si>
  <si>
    <t>Jun'26 NET PP&amp;E = gross PP&amp;E less accumulated depreciation</t>
  </si>
  <si>
    <t>Jun'26 gross PP&amp;E = sum of asset classes</t>
  </si>
  <si>
    <t>Total raised June 2026 = offering + preferred + ATM</t>
  </si>
  <si>
    <t>Preferred dividend = 19,000 x 6.25%</t>
  </si>
  <si>
    <t>Trailing P/E REPORTED = price / TTM EPS</t>
  </si>
  <si>
    <t>Trailing P/E CORE = price / TTM core EPS</t>
  </si>
  <si>
    <t>FORWARD P/E REPORTED = price / consensus FY26 EPS</t>
  </si>
  <si>
    <t>Forward P/E CORE = price / FY26E core EPS</t>
  </si>
  <si>
    <t>No.</t>
  </si>
  <si>
    <t>% change</t>
  </si>
  <si>
    <t>Cell colour convention (financial-modelling standard)</t>
  </si>
  <si>
    <t>BLUE</t>
  </si>
  <si>
    <t>Hard-coded input - a filed, provider or sourced number typed in directly. Change these to drive the model.</t>
  </si>
  <si>
    <t>BLACK</t>
  </si>
  <si>
    <t>Formula calculated on this same sheet. Do not overwrite - it will recalculate.</t>
  </si>
  <si>
    <t>GREEN</t>
  </si>
  <si>
    <t>Formula that links to another sheet. Trace with Formulas &gt; Trace Precedents, or F2 to see the source.</t>
  </si>
  <si>
    <t>Text labels, headers and notes are left in their original formatting.</t>
  </si>
  <si>
    <t>Column A</t>
  </si>
  <si>
    <t>Narrow empty gutter on every sheet - a left margin so content never touches the edge on screen or in print.</t>
  </si>
  <si>
    <t>Row 1</t>
  </si>
  <si>
    <t>Thin spacer row giving the same breathing room at the top.</t>
  </si>
  <si>
    <t>Print setup</t>
  </si>
  <si>
    <t>Landscape, fit to 1 page wide, 0.3" margins, centred horizontally. Rows 2:5 repeat as titles on every printed page.</t>
  </si>
  <si>
    <t>Header / footer</t>
  </si>
  <si>
    <t>1. STARTING CONDITION</t>
  </si>
  <si>
    <t>Formulas found</t>
  </si>
  <si>
    <t>ZERO. All 5,155 populated cells across the 15 original sheets were hard-typed constants, including every subtotal, margin and ratio. Nothing recalculated.</t>
  </si>
  <si>
    <t>Implication</t>
  </si>
  <si>
    <t>The pack looked like a model but behaved like a screenshot. Changing an input changed nothing downstream. This was the single largest defect.</t>
  </si>
  <si>
    <t>2. ACCURACY FIXES (each verified against source)</t>
  </si>
  <si>
    <t>Forward P/E REPORTED</t>
  </si>
  <si>
    <t>Price / sales, Price / FCF</t>
  </si>
  <si>
    <t>H1'26 diluted EPS</t>
  </si>
  <si>
    <t>Q2 core EPS YoY</t>
  </si>
  <si>
    <t>02 Quarterly'. 17.30 -&gt; 17.57.</t>
  </si>
  <si>
    <t>AMZN % change</t>
  </si>
  <si>
    <t>TTM Jun'26 D&amp;A</t>
  </si>
  <si>
    <t>TTM Jun'26 stock-based comp</t>
  </si>
  <si>
    <t>3. WHAT WAS DELIBERATELY NOT DONE</t>
  </si>
  <si>
    <t>Q1'26 and Q2'26 SBC split</t>
  </si>
  <si>
    <t>FY2027 / FY2028 consensus</t>
  </si>
  <si>
    <t>Still an open data gap. No verified mean is obtainable from free sources. Sheet 11 carries two named house estimates 38% apart (Wolfe 15.89, Zacks 11.51) as a stopgap. Needs Koyfin, Visible Alpha or Bloomberg.</t>
  </si>
  <si>
    <t>Sheets 12 and 14</t>
  </si>
  <si>
    <t>4. THE 85 RESIDUAL - STILL OPEN</t>
  </si>
  <si>
    <t>Detail</t>
  </si>
  <si>
    <t>Derived TTM Jun'26 net income is 244,205; the data provider shows 244,120. An ~85 difference, most likely a net-income-attributable-to-Alphabet adjustment. Flagged on sheet 01 and NOT silently reconciled. The workbook uses the derived figure consistently.</t>
  </si>
  <si>
    <t>5. COLOUR CONVENTION (industry standard)</t>
  </si>
  <si>
    <t>BLUE #0000FF</t>
  </si>
  <si>
    <t>Hard-coded input - a filed, provider or sourced number typed in directly. These are the only cells a user should edit.</t>
  </si>
  <si>
    <t>BLACK #000000</t>
  </si>
  <si>
    <t>Formula calculated on the same sheet.</t>
  </si>
  <si>
    <t>GREEN #008000</t>
  </si>
  <si>
    <t>Formula linking to another sheet. Trace with Formulas &gt; Trace Precedents.</t>
  </si>
  <si>
    <t>Current census</t>
  </si>
  <si>
    <t>464 blue, 241 black, 105 green across the 14 numeric sheets. Legend lives at '00 Contents'!B36:C40.</t>
  </si>
  <si>
    <t>Design note</t>
  </si>
  <si>
    <t>6. LAYOUT AND PRINT (applied to all 16 sheets)</t>
  </si>
  <si>
    <t>Gutter column</t>
  </si>
  <si>
    <t>A new narrow column A (18pt, empty) was INSERTED on every sheet as a left margin. ALL DATA SHIFTED ONE COLUMN RIGHT - labels now in B, first data column in C. Excel auto-remapped every internal and cross-sheet reference; verified 26/26 audit checks still passed immediately after.</t>
  </si>
  <si>
    <t>Spacer row</t>
  </si>
  <si>
    <t>A 6pt empty row 1 inserted on every sheet. Content shifted one row down.</t>
  </si>
  <si>
    <t>Standards basis</t>
  </si>
  <si>
    <t>FAST Standard: 'a column used for labels will not be used for any other purpose'. IMPORTANT NUANCE: FMI guidance says do NOT put blank columns between data years - that rule bans spacers BETWEEN data columns, not a single left gutter. Do not 'helpfully' add more spacer columns.</t>
  </si>
  <si>
    <t>Landscape; fit to 1 page wide, height automatic; margins 0.3in; centred horizontally; gridlines and headings off. Print titles repeat rows $2:$5 on data sheets and $2:$3 on the three narrative sheets.</t>
  </si>
  <si>
    <t>Header: pack name left, sheet name right. Footer: file path left, 'Page X of Y' centre, print date right.</t>
  </si>
  <si>
    <t>Freeze panes</t>
  </si>
  <si>
    <t>5 rows / 2 columns on data sheets, matching the post-shift header band.</t>
  </si>
  <si>
    <t>7. FORMATTING RESIDUE - READ THIS</t>
  </si>
  <si>
    <t>The bug</t>
  </si>
  <si>
    <t>Fixed on 06</t>
  </si>
  <si>
    <t>STILL TO CHECK</t>
  </si>
  <si>
    <t>The other 15 sheets have NOT been swept for the same residue. The styling pass ran across all of them, so assume it is present. This is the top outstanding task.</t>
  </si>
  <si>
    <t>Office.js note</t>
  </si>
  <si>
    <t>range.clear(Excel.ClearApplyTo.formats) threw GeneralException repeatedly on this workbook. Clearing individual properties (format.fill.clear(), font.color, numberFormat) works reliably. Use that instead.</t>
  </si>
  <si>
    <t>Used-range note</t>
  </si>
  <si>
    <t>getUsedRange() still reports the old wider extent after clearing formats. Excel caches this until save-and-reopen. It is cosmetic; trust the explicit print area.</t>
  </si>
  <si>
    <t>8. THE AUDIT SHEET</t>
  </si>
  <si>
    <t>What it is</t>
  </si>
  <si>
    <t>Tolerance rule</t>
  </si>
  <si>
    <t>Passes if the absolute difference is within 0.02 or 0.1% of the stated value, whichever is larger. See the Status column formula on the sheet itself.</t>
  </si>
  <si>
    <t>Current status</t>
  </si>
  <si>
    <t>26 TIES, 0 DOES NOT TIE.</t>
  </si>
  <si>
    <t>How to use it</t>
  </si>
  <si>
    <t>Treat it as a regression test. Re-read it after ANY structural change. It stayed green through the column shift, which is how we knew the shift was safe.</t>
  </si>
  <si>
    <t>9. GOTCHAS THAT CAUSED REAL BUGS</t>
  </si>
  <si>
    <t>Row offsets</t>
  </si>
  <si>
    <t>Header rows mid-sheet</t>
  </si>
  <si>
    <t>Several sheets have multiple sub-blocks with their own header rows: 02 (hdr 5 and 21), 04 (5, 18, 26, 36), 03 (4, 15), 06 (5, 18), 07 (4, 14, 22), 08 (4, 11, 22). Pre-shift numbering; add 1 for the spacer row. Writing a formula into a header row is an easy and silent mistake.</t>
  </si>
  <si>
    <t>Percent storage</t>
  </si>
  <si>
    <t>Percent rows store WHOLE NUMBERS (33.1, not 0.331). Formulas multiply by 100. Do not 'fix' these to real percentages without changing the number formats too.</t>
  </si>
  <si>
    <t>Office.js font path</t>
  </si>
  <si>
    <t>Load format/font/color, NOT font/color. The latter returns undefined and throws.</t>
  </si>
  <si>
    <t>Mixed-range reads</t>
  </si>
  <si>
    <t>Reading font.color on a mixed range returns null. That is the expected signal, not an error.</t>
  </si>
  <si>
    <t>Batch limits</t>
  </si>
  <si>
    <t>Large multi-sheet batches time out at 65s. Max ~2 sheets per Excel.run. On timeout the changes MAY still have applied - verify both ends of the batch before re-running or you will double-apply.</t>
  </si>
  <si>
    <t>Large value writes</t>
  </si>
  <si>
    <t>Writing ~60 rows of long text in one range assignment threw GeneralException. Split into chunks of 15-20 rows.</t>
  </si>
  <si>
    <t>10. RECOMMENDED NEXT STEPS</t>
  </si>
  <si>
    <t>Priority 1</t>
  </si>
  <si>
    <t>Sweep the remaining 15 sheets for the formatting residue described in section 7.</t>
  </si>
  <si>
    <t>Priority 2</t>
  </si>
  <si>
    <t>Source FY2027/FY2028 consensus from a paid provider and replace the two-house stopgap on sheet 11.</t>
  </si>
  <si>
    <t>Priority 3</t>
  </si>
  <si>
    <t>Priority 4</t>
  </si>
  <si>
    <t>Resolve the 85 net income residual against the provider's definition.</t>
  </si>
  <si>
    <t>Priority 5</t>
  </si>
  <si>
    <t>Five-Year Operating Model - vertical format</t>
  </si>
  <si>
    <t>Alphabet Inc.</t>
  </si>
  <si>
    <t>Ticker</t>
  </si>
  <si>
    <t>Model date</t>
  </si>
  <si>
    <t>Currency</t>
  </si>
  <si>
    <t>$ millions except per-share</t>
  </si>
  <si>
    <t>Historical source</t>
  </si>
  <si>
    <t>Sheets 01-09 of this workbook (filed / derived)</t>
  </si>
  <si>
    <t>Forecast basis</t>
  </si>
  <si>
    <t>Segment revenue build, scenario-switched</t>
  </si>
  <si>
    <t>How this model is wired</t>
  </si>
  <si>
    <t>5.  Colour convention follows the existing pack: BLUE = hard input, BLACK = same-sheet formula, GREEN = link to another sheet.</t>
  </si>
  <si>
    <t>6.  The equity-securities mark-to-market gain is forecast at ZERO in the operating case. Reported and core earnings are shown side by side so the gap stays visible rather than being buried.</t>
  </si>
  <si>
    <t>Answer to the question 'is converting the pack to this format doable'</t>
  </si>
  <si>
    <t>The pack and the template are different kinds of artifact. The pack looks BACKWARD: filed statements, a source register, a quote log, an audit sheet. It contains no forecast year, no driver, no scenario switch. The template looks FORWARD: it is an engine that turns a handful of drivers into five projected years.</t>
  </si>
  <si>
    <t>So this is not a reformatting job. Nothing in the pack can simply be poured into the template's shape, because the thing the template exists to do - project - does not yet exist in the pack.</t>
  </si>
  <si>
    <t>What IS doable, and is what these sheets do, is to BUILD the forward model in the template's architecture and FEED it from the pack. The history is linked, not copied, so the pack stays the single source of truth and the model inherits any correction made upstream.</t>
  </si>
  <si>
    <t>$ millions except per-share and %. Percentages stored as TRUE DECIMALS on this sheet (0.12 = 12%), unlike sheets 01-13 of the pack which store whole numbers.</t>
  </si>
  <si>
    <t>GENERAL</t>
  </si>
  <si>
    <t>First forecast year</t>
  </si>
  <si>
    <t>Share price used for valuation ($)</t>
  </si>
  <si>
    <t>Effective tax rate</t>
  </si>
  <si>
    <t>Source / reasoning</t>
  </si>
  <si>
    <t>FY2026 is the first full year not yet filed.</t>
  </si>
  <si>
    <t>SEGMENT REVENUE GROWTH - BASE CASE</t>
  </si>
  <si>
    <t>FY2026E</t>
  </si>
  <si>
    <t>FY2027E</t>
  </si>
  <si>
    <t>FY2028E</t>
  </si>
  <si>
    <t>FY2029E</t>
  </si>
  <si>
    <t>FY2030E</t>
  </si>
  <si>
    <t>Reasoning</t>
  </si>
  <si>
    <t>Low-teens and steady; 10.7% and 12.9% in the two most recent quarters.</t>
  </si>
  <si>
    <t>Structurally declining - negative in FY2024, FY2025 and both 2026 quarters.</t>
  </si>
  <si>
    <t>Mid-to-high teens, the most consistent grower in the Services stack.</t>
  </si>
  <si>
    <t>Immaterial to the total; held at a nominal rate.</t>
  </si>
  <si>
    <t>SCENARIO DELTAS - applied to every segment growth rate above</t>
  </si>
  <si>
    <t>Best case, growth added</t>
  </si>
  <si>
    <t>Worst case, growth added</t>
  </si>
  <si>
    <t>Hedging / other revenue, held flat at</t>
  </si>
  <si>
    <t>Worst case is deliberately wider than best: search share loss to AI assistants is the asymmetric risk.</t>
  </si>
  <si>
    <t>CAPEX AND THE DEPRECIATION BASE - the heart of the model</t>
  </si>
  <si>
    <t>Short-lived share of that balance, base</t>
  </si>
  <si>
    <t>Short-lived share, best</t>
  </si>
  <si>
    <t>Short-lived share, worst</t>
  </si>
  <si>
    <t>Short-lived useful life (years)</t>
  </si>
  <si>
    <t>Long-lived useful life (years)</t>
  </si>
  <si>
    <t>Best case = more of the build is long-lived buildings, so the charge spreads over 20 years.</t>
  </si>
  <si>
    <t>Worst case = mostly 6-year servers, so the charge hits fast and hard.</t>
  </si>
  <si>
    <t>Servers and network equipment, 'generally 6 years' per the FY2025 10-K.</t>
  </si>
  <si>
    <t>OTHER CASH-FLOW AND EARNINGS ITEMS</t>
  </si>
  <si>
    <t>Stock-based compensation, % of revenue</t>
  </si>
  <si>
    <t>Other income excl. equity gains, annual</t>
  </si>
  <si>
    <t>Equity-securities mark-to-market gain, base</t>
  </si>
  <si>
    <t>D&amp;A already running (annualised, Jun'26)</t>
  </si>
  <si>
    <t>WHY THE EQUITY-SECURITIES GAIN IS FORECAST AT ZERO</t>
  </si>
  <si>
    <t>These gains are revaluations of holdings, not cash generated by the business. They are as likely to reverse as to repeat - ASU 2016-01 forces the swing through the income statement either way. Forecasting them at anything other than zero would mean predicting the direction of a portfolio, which is not a modelling exercise.</t>
  </si>
  <si>
    <t>Setting them to zero is therefore not a claim that they will be zero. It is a statement that the operating case should not depend on them. The model still prints a REPORTED line alongside the CORE line, so if a gain does land you can type it into row 47 and watch exactly how much of the resulting EPS is real.</t>
  </si>
  <si>
    <t>SCENARIO SWITCH  (1 = Base, 2 = Best, 3 = Worst)</t>
  </si>
  <si>
    <t>Why these three drivers and not others</t>
  </si>
  <si>
    <t>A scenario axis is only worth building where the outcome is genuinely uncertain AND the model is sensitive to it. Three items on Alphabet qualify, and they are deliberately flexed TOGETHER off one switch because they are not independent - the same AI-capex thesis that drives one drives the others.</t>
  </si>
  <si>
    <t>2.  CAPEX PLATEAU TIMING.  The Contents sheet names this as the open question: whether ~33x core earnings is defensible depends on what free cash flow normalises to once capex plateaus. Q2'26 was the first negative FCF quarter on record. Whether that reverses in FY2027 or FY2029 is the difference between a cash machine and a capital sink.</t>
  </si>
  <si>
    <t>3.  REVENUE GROWTH AND OPERATING MARGIN.  The conventional axis, included because it is what the capex is being spent to buy. Note the deltas are asymmetric: best adds 3.0pp of growth, worst subtracts 4.0pp. Search share loss to AI assistants is a larger risk than AI upside is an opportunity, because the base is 224,532 of high-margin revenue that has no replacement.</t>
  </si>
  <si>
    <t>Segment revenue growth</t>
  </si>
  <si>
    <t>Short-lived share of assets not yet in service</t>
  </si>
  <si>
    <t>Blended life of that balance (years)</t>
  </si>
  <si>
    <t>Harmonic blend: a dollar on a 6-year life depreciates six times faster than one on a 20-year life, so the lives must be weighted on annual CHARGE, not on years.</t>
  </si>
  <si>
    <t>Annual charge once fully in service</t>
  </si>
  <si>
    <t>The 122,814 spread over its blended life. This is the number that does not exist in the reported figures today.</t>
  </si>
  <si>
    <t>Projected</t>
  </si>
  <si>
    <t>REVENUE SCHEDULE</t>
  </si>
  <si>
    <t>INCOME STATEMENT</t>
  </si>
  <si>
    <t>Other income excl. equity gains</t>
  </si>
  <si>
    <t>Equity-securities mark-to-market gain</t>
  </si>
  <si>
    <t>Other income (expense), net - as reported</t>
  </si>
  <si>
    <t>Income before taxes - REPORTED</t>
  </si>
  <si>
    <t>NET INCOME - REPORTED</t>
  </si>
  <si>
    <t>Preferred dividend</t>
  </si>
  <si>
    <t>Net income to common - REPORTED</t>
  </si>
  <si>
    <t>Diluted EPS - REPORTED ($)</t>
  </si>
  <si>
    <t>CORE (NORMALISED) EARNINGS - the pack's central adjustment, carried into the forecast</t>
  </si>
  <si>
    <t>Less: equity-securities gain</t>
  </si>
  <si>
    <t>Core pretax income</t>
  </si>
  <si>
    <t>Core tax</t>
  </si>
  <si>
    <t>CORE NET INCOME</t>
  </si>
  <si>
    <t>Core net income to common</t>
  </si>
  <si>
    <t>CORE DILUTED EPS ($)</t>
  </si>
  <si>
    <t>DEPRECIATION SCHEDULE</t>
  </si>
  <si>
    <t>Short-lived share (scenario)</t>
  </si>
  <si>
    <t>Existing in-service base - run-rate charge</t>
  </si>
  <si>
    <t>TOTAL DEPRECIATION</t>
  </si>
  <si>
    <t>Increase vs current run rate %</t>
  </si>
  <si>
    <t>Net income - reported</t>
  </si>
  <si>
    <t>Add back: depreciation</t>
  </si>
  <si>
    <t>Add back: stock-based compensation</t>
  </si>
  <si>
    <t>Less: non-cash equity-securities gain</t>
  </si>
  <si>
    <t>OPERATING CASH FLOW</t>
  </si>
  <si>
    <t>VALUATION AT THE ASSUMED SHARE PRICE</t>
  </si>
  <si>
    <t>Market capitalisation</t>
  </si>
  <si>
    <t>P/E on REPORTED EPS</t>
  </si>
  <si>
    <t>P/E on CORE EPS</t>
  </si>
  <si>
    <t>Revenue growth %</t>
  </si>
  <si>
    <t>Net income - REPORTED</t>
  </si>
  <si>
    <t>CORE net income</t>
  </si>
  <si>
    <t>WHAT THE MODEL SAYS</t>
  </si>
  <si>
    <t>What is being checked</t>
  </si>
  <si>
    <t>Model value</t>
  </si>
  <si>
    <t>Independently re-derived</t>
  </si>
  <si>
    <t>Result</t>
  </si>
  <si>
    <t>Source of the re-derivation</t>
  </si>
  <si>
    <t>A. HISTORICAL TIES TO THE PACK</t>
  </si>
  <si>
    <t>Revenue FY2023</t>
  </si>
  <si>
    <t>Revenue FY2024</t>
  </si>
  <si>
    <t>Revenue FY2025</t>
  </si>
  <si>
    <t>Revenue TTM Jun'26</t>
  </si>
  <si>
    <t>01 Income Stmt col G (indep. of segments)</t>
  </si>
  <si>
    <t>Operating income FY2023</t>
  </si>
  <si>
    <t>01 Income Stmt row 12</t>
  </si>
  <si>
    <t>Operating income FY2025</t>
  </si>
  <si>
    <t>Operating income TTM Jun'26</t>
  </si>
  <si>
    <t>Net income FY2025</t>
  </si>
  <si>
    <t>01 Income Stmt row 18</t>
  </si>
  <si>
    <t>Net income TTM Jun'26</t>
  </si>
  <si>
    <t>Diluted shares TTM Jun'26</t>
  </si>
  <si>
    <t>01 Income Stmt row 20</t>
  </si>
  <si>
    <t>Depreciation TTM Jun'26</t>
  </si>
  <si>
    <t>SBC TTM Jun'26</t>
  </si>
  <si>
    <t>Operating cash flow TTM Jun'26</t>
  </si>
  <si>
    <t>Capex TTM Jun'26</t>
  </si>
  <si>
    <t>Free cash flow FY2023</t>
  </si>
  <si>
    <t>Free cash flow FY2025</t>
  </si>
  <si>
    <t>Free cash flow TTM Jun'26</t>
  </si>
  <si>
    <t>B. TTM DERIVATIONS FOLLOW FY2025 + H1'26 - H1'25</t>
  </si>
  <si>
    <t>Revenue TTM built from segments</t>
  </si>
  <si>
    <t>Segment TTM must equal filed TTM revenue</t>
  </si>
  <si>
    <t>Equity gain TTM Jun'26</t>
  </si>
  <si>
    <t>Core pretax TTM Jun'26</t>
  </si>
  <si>
    <t>Filed TTM pretax less TTM gain</t>
  </si>
  <si>
    <t>C. INTERNAL CONSISTENCY</t>
  </si>
  <si>
    <t>Segments sum to total revenue FY2025</t>
  </si>
  <si>
    <t>Rows 10-16 must sum to row 18</t>
  </si>
  <si>
    <t>Segments sum to total revenue FY2030E</t>
  </si>
  <si>
    <t>Operating margin = op income / revenue (FY2026E)</t>
  </si>
  <si>
    <t>Definitional</t>
  </si>
  <si>
    <t>Reported EPS = NI to common / shares (FY2026E)</t>
  </si>
  <si>
    <t>FCF = OCF + capex (FY2026E)</t>
  </si>
  <si>
    <t>Definitional (capex is negative)</t>
  </si>
  <si>
    <t>FCF = OCF + capex (TTM Jun'26)</t>
  </si>
  <si>
    <t>Core NI = core pretax less core tax (FY2025)</t>
  </si>
  <si>
    <t>D. CROSS-CHECK AGAINST THE PACK'S PUBLISHED FIGURES</t>
  </si>
  <si>
    <t>FY2025 core EPS vs pack 03 bridge E12</t>
  </si>
  <si>
    <t>FY2023 core EPS vs pack 03 bridge C12</t>
  </si>
  <si>
    <t>Pack route: H2'25 core + H1'26 core, period rates</t>
  </si>
  <si>
    <t>E. SCENARIO SWITCH INTEGRITY</t>
  </si>
  <si>
    <t>Switch is 1, 2 or 3</t>
  </si>
  <si>
    <t>Out-of-range switch would break every CHOOSE</t>
  </si>
  <si>
    <t>Blended life = harmonic of the two lives</t>
  </si>
  <si>
    <t>Weighted on annual charge, not on years</t>
  </si>
  <si>
    <t>Annual charge = balance / blended life</t>
  </si>
  <si>
    <t>H1'26 weighted-average diluted</t>
  </si>
  <si>
    <t>Summary revenue FY2030E</t>
  </si>
  <si>
    <t>Summary must not drift from model</t>
  </si>
  <si>
    <t>Summary FCF FY2026E</t>
  </si>
  <si>
    <t>Summary core EPS TTM</t>
  </si>
  <si>
    <t>Colour key</t>
  </si>
  <si>
    <t>BLACK - formula calculated on this sheet.</t>
  </si>
  <si>
    <t>SHADED COLUMNS - forecast years FY2026E-FY2030E. Unshaded columns are filed or derived history.</t>
  </si>
  <si>
    <t>Implied FY26 net margin re-derived from EPS x shares / revenue</t>
  </si>
  <si>
    <t>Consensus FY2026 mean EPS is internally consistent: equals the headline EPS and sits within the low-high range</t>
  </si>
  <si>
    <t>11. FORWARD MODEL LAYER ADDED - September 15, 2026</t>
  </si>
  <si>
    <t>What was added</t>
  </si>
  <si>
    <t>Why not a conversion</t>
  </si>
  <si>
    <t>The pack is a backward-looking research artifact; the Blu Containers template is a driver-based forecast engine. They are different artifact types. The model was therefore BUILT ON the pack via live cross-sheet links rather than reformatting it.</t>
  </si>
  <si>
    <t>Scenario architecture</t>
  </si>
  <si>
    <t>Equity-securities gain</t>
  </si>
  <si>
    <t>Balance sheet</t>
  </si>
  <si>
    <t>New precedents created</t>
  </si>
  <si>
    <t>Sheets 01, 03, 04, 06, 07, 08 and 09 are now live precedents for the forecast. Row inserts/deletes on those sheets will silently break it. Warning added to '00 Contents'!B57.</t>
  </si>
  <si>
    <t>12. ACCURACY FIXES - September 15, 2026</t>
  </si>
  <si>
    <t>It computed (C28-C26)/C27*100 against C29, which IS that same formula. No second route to a dispersion figure exists in the pack, so the check was REPURPOSED to something that can genuinely fail: the consensus mean EPS must equal the headline EPS at C6 AND sit within the low-high range 19.70-21.92. Returns -999 and fails loudly if the mean ever falls outside its own range.</t>
  </si>
  <si>
    <t>Was advertised as 26 checks but only 24 were real. Now 26 real checks, all capable of failing.</t>
  </si>
  <si>
    <t>13. Workbook-wide visual harmonisation - September 15, 2026</t>
  </si>
  <si>
    <t>Applied one visual grammar across all 23 sheets</t>
  </si>
  <si>
    <t>Styled the two user-built model sheets</t>
  </si>
  <si>
    <t>FORMATTING ONLY - no values or formulas were altered</t>
  </si>
  <si>
    <t>06 Core EPS Bridge</t>
  </si>
  <si>
    <t>03 Segments</t>
  </si>
  <si>
    <t>04 Balance Sheet</t>
  </si>
  <si>
    <t>09 Cash Flow</t>
  </si>
  <si>
    <t>08 PPE and Depreciation</t>
  </si>
  <si>
    <t>05 Capital Structure</t>
  </si>
  <si>
    <t>11 Valuation</t>
  </si>
  <si>
    <t>12 Peers</t>
  </si>
  <si>
    <t>07 Consensus</t>
  </si>
  <si>
    <t>10 Guidance and Quotes</t>
  </si>
  <si>
    <t>14 Model Cover</t>
  </si>
  <si>
    <t>15 Assumptions</t>
  </si>
  <si>
    <t>16 Scenarios</t>
  </si>
  <si>
    <t>17 Model</t>
  </si>
  <si>
    <t>1.  15 Assumptions holds every hard input. All blue. Nothing else in the model is typed.</t>
  </si>
  <si>
    <t>2.  16 Scenarios turns those inputs into three cases and exposes ONE switch: 16 Scenarios!D6 (1=Base, 2=Best, 3=Worst). Every driver row is a CHOOSE() off that cell.</t>
  </si>
  <si>
    <t>3.  17 Model runs the schedules top to bottom: Revenue -&gt; Income Statement -&gt; Depreciation -&gt; Free Cash Flow -&gt; Valuation. Each block reads the block above it.</t>
  </si>
  <si>
    <t>Change D6 only. Everything below, and every forecast column on 17 Model, follows it.</t>
  </si>
  <si>
    <t>RESOLVED DRIVERS - these are what 17 Model actually reads</t>
  </si>
  <si>
    <t>BLUE - hard-coded input. Lives on 15 Assumptions. Change these to drive the model.</t>
  </si>
  <si>
    <t>GREEN - link to another sheet (the research pack, 15 Assumptions or 16 Scenarios).</t>
  </si>
  <si>
    <t>03 Segments row 16 total</t>
  </si>
  <si>
    <t>09 Cash Flow row 7 (no spacer row)</t>
  </si>
  <si>
    <t>09 Cash Flow row 8</t>
  </si>
  <si>
    <t>09 Cash Flow row 9</t>
  </si>
  <si>
    <t>09 Cash Flow row 10</t>
  </si>
  <si>
    <t>09 Cash Flow row 11</t>
  </si>
  <si>
    <t>Reported TTM EPS vs pack 11 Valuation</t>
  </si>
  <si>
    <t>Reported P/E vs pack 11 Valuation C11</t>
  </si>
  <si>
    <t>11 Valuation'. Was 24.79, an error. 24.8 is Alphabet's five-year AVERAGE forward P/E, not the current one - almost certainly picked up from the wrong line of a data page. Now =C6/'07 Consensus'!C6 = 16.12. Confirmed independently by web search against Seeking Alpha (16.05 on 20.60 EPS; small delta is the price timestamp).</t>
  </si>
  <si>
    <t>11 Valuation'!C7. Rebuilt as =C6*C9. NOTE a unit trap: price is in dollars, shares in millions, output in $M. An earlier attempt divided by 1000 and was wrong by three orders of magnitude. No divisor is correct.</t>
  </si>
  <si>
    <t>11 Valuation'!C8 = =C7-'04 Balance Sheet'!G22 (market cap less net cash).</t>
  </si>
  <si>
    <t>11 Valuation'!C17, C19. Now derived, 9.11 and 76.25.</t>
  </si>
  <si>
    <t>11 Valuation'!C12. 16.59 -&gt; 16.666 (rounding of the EPS denominator).</t>
  </si>
  <si>
    <t>06 Core EPS Bridge'. 14.24 -&gt; 14.22 (Q1 + Q2 as reported).</t>
  </si>
  <si>
    <t>12 Peers'. Was hard-coded 8.3, now a live formula, 8.32.</t>
  </si>
  <si>
    <t>09 Cash Flow'!G7. Was hard-coded 25,237 and flagged by the pack's own note as a MIXED-BASIS derivation needing rebuild. Rebuilt as =E7+G22-F22 and VERIFIED against the Q2 2026 10-Q: H1'25 9,485 and H1'26 13,586 match the filed cash flow statement exactly. Value unchanged at 25,237 - it was correct, just untraceable. Caveat retained: the line is 'depreciation of property and equipment' only, so it excludes intangible amortisation and the 'D&amp;A' label is loose.</t>
  </si>
  <si>
    <t>09 Cash Flow'!G8. Was EMPTY. Added a stock-based compensation row to the quarterly block at row 23 with filed H1 figures (H1'25 11,514 / H1'26 14,708, both from the Q2 2026 10-Q cash flow statement), then G8 = =E8+G23-F23 = 28,147.</t>
  </si>
  <si>
    <t>09 Cash Flow'!C23:E23 left BLANK on purpose. The 10-Q reports SBC only on a six-month basis in the cash flow statement. The equity statement shows a 7,995 three-month figure but that is a DIFFERENT BASIS; mixing the two is exactly the error the D&amp;A note warned about. Do not fill these without a same-basis source.</t>
  </si>
  <si>
    <t>11 Valuation'!C18 remains hard-coded at 22.67. No EBITDA build exists in the pack to derive it from.</t>
  </si>
  <si>
    <t>11 Valuation' is mostly GREEN (11 cross-sheet vs 4 hard). That is correct and intentional - it is a pure output sheet and should contain almost no inputs.</t>
  </si>
  <si>
    <t>The styling pass painted navy header fill and number formats PAST the last real data column on at least '09 Cash Flow' (columns H:J). Cells were empty but carried white bold fonts and $M / percent number formats. Two live consequences: (a) anything typed there renders white-on-white and looks like it vanished, (b) the print area was anchored to the phantom columns.</t>
  </si>
  <si>
    <t>09 Cash Flow' H2:J33 stripped (font black, bold off, General number format, fill cleared) and print area re-anchored to B2:G33.</t>
  </si>
  <si>
    <t>07 Consensus' has blank spacer rows; the FY2027 block labels sit on rows 33/34/35, not 32/33/34. Inputs were corrupted twice by assuming. ALWAYS read the label column before writing.</t>
  </si>
  <si>
    <t>Build an EBITDA bridge so '11 Valuation' EV/EBITDA (22.67) can be derived rather than asserted.</t>
  </si>
  <si>
    <t>One switch at '16 Scenarios'!D6 (1 Base / 2 Best / 3 Worst) drives three linked drivers together: depreciation life split, capex plateau timing, and revenue growth / operating margin. They are flexed as one because the same AI-capex thesis drives all three.</t>
  </si>
  <si>
    <t>Forecast at ZERO, with reported and core shown side by side. These are portfolio revaluations, not operations. Rationale written into '15 Assumptions'!B51:B53. Row 47 is left editable if a gain is ever to be assumed.</t>
  </si>
  <si>
    <t>DELIBERATELY OMITTED. The pack's Jun'26 balance sheet has acknowledged gaps (sheet 05 notes) and cannot be made to balance. A check row that never ties would discredit the model. Documented on '14 Model Cover'!B24.</t>
  </si>
  <si>
    <t>WAS =C6*'05 Capital Structure'!C14, multiplying FULL-YEAR consensus EPS of 20.60 by the Q2'26-ONLY weighted-average diluted count of 12,305. A full-year EPS must be paired with a full-year share count. NOW =C6*'05 Capital Structure'!C16, using the H1'26 weighted-average diluted count of 12,265 - the longest weighted-average period available in this pack. Implied FY2026 net income 253,483 -&gt; 252,659; implied net margin 50.89% -&gt; 50.73%. THE FINDING IS UNCHANGED: still roughly 51% implied net margin against a 34.0% operating margin. Caveat added at '07 Consensus'!B51 noting the true FY2026 weighted-average is not yet knowable and, with buybacks suspended and the ATM drawn, the count drifts UP through H2 - so 12,265 mildly understates and the real margin is marginally lower still.</t>
  </si>
  <si>
    <t>It computed ='07 Consensus'!C8/C7*100 and compared it to C9 - but C9 IS =C8/C7*100. It tested a formula against itself and could never fail. NOW re-derives the implied margin independently from consensus EPS x share count / consensus revenue and compares that to the stated C9. VERIFIED it can fail: corrupting C9 correctly produced DOES NOT TIE.</t>
  </si>
  <si>
    <t>What it holds and why it sits here</t>
  </si>
  <si>
    <t>PART 1 - THE EVIDENCE: what Alphabet actually filed</t>
  </si>
  <si>
    <t>FY2023-FY2025 plus TTM Mar'26 and TTM Jun'26, with a derived-vs-filed flag. The top line of the whole argument.</t>
  </si>
  <si>
    <t>Q1 and Q2 2026 versus prior year. Isolates the ex-gain other-income line where the distortion first shows.</t>
  </si>
  <si>
    <t>FY2023-Jun'26, PP&amp;E corrected to filed figures. Holds the equity-securities portfolio that creates the gain.</t>
  </si>
  <si>
    <t>The June 2026 raise as filed, share counts, preferred dividend. The denominator of every per-share figure.</t>
  </si>
  <si>
    <t>PART 2 - THE DISTORTION: why reported earnings overstate the business</t>
  </si>
  <si>
    <t>THE PIVOT OF THE PACK. Strips the equity-securities gain, tax-effects it, restates EPS. Reported becomes core here.</t>
  </si>
  <si>
    <t>PART 3 - WHAT DRIVES CASH: the capex question</t>
  </si>
  <si>
    <t>Annual and quarterly, including the first negative FCF quarter. Where the capex actually lands.</t>
  </si>
  <si>
    <t>Capex guidance trail and verbatim management quotes. What management says about when capex plateaus.</t>
  </si>
  <si>
    <t>PART 4 - THE VERDICT: what it is worth</t>
  </si>
  <si>
    <t>Mega-cap comp table. Shows negative FCF is a cohort feature, not a GOOGL defect.</t>
  </si>
  <si>
    <t>PART 5 - THE FORWARD MODEL: what FCF normalises to</t>
  </si>
  <si>
    <t>THE ONE STORY THIS PACK TELLS</t>
  </si>
  <si>
    <t>Layout, print and visual conventions</t>
  </si>
  <si>
    <t>Visual grammar</t>
  </si>
  <si>
    <t>Tab colours</t>
  </si>
  <si>
    <t>Encode the PART, not the layer: teal = evidence, amber = the distortion, orange = cash drivers, green = the verdict, blue = the forward model, purple = verification and provenance.</t>
  </si>
  <si>
    <t>14. Renumbering, reordering and the single narrative - September 15, 2026</t>
  </si>
  <si>
    <t>Sheets reordered to follow the argument</t>
  </si>
  <si>
    <t>The 'M' prefix was retired</t>
  </si>
  <si>
    <t>Cross-sheet references</t>
  </si>
  <si>
    <t>Plain-text mentions updated</t>
  </si>
  <si>
    <t>75 cells referred to sheets by name in prose rather than by formula; these do not auto-update and were rewritten to the new names, including historical entries in this log, at the user's instruction. '00 Contents' was rebuilt with PART dividers and a thesis statement, and tab colours now encode the PART rather than the old functional grouping.</t>
  </si>
  <si>
    <t>Tab colours - later superseded</t>
  </si>
  <si>
    <t>At this point the original functional colour grouping was kept. This was SUPERSEDED the same day by section 14, which recoloured every tab to encode the PART of the argument instead. See section 14 for the final state.</t>
  </si>
  <si>
    <t>15. SESSION CLOSE - September 15, 2026</t>
  </si>
  <si>
    <t>State at close</t>
  </si>
  <si>
    <t>Key figures as left</t>
  </si>
  <si>
    <t>Share price 332.13. Trailing P/E on reported earnings 16.66x. Implied FY2026 consensus net income 252,659 on a 50.73% implied net margin. Model FY2030E revenue 993,155 under the base case.</t>
  </si>
  <si>
    <t>What changed today, in order</t>
  </si>
  <si>
    <t>(11) Forward model layer added - six sheets. (12) Two accuracy fixes: the Consensus share-count basis and two circular audit checks. (13) Visual harmonisation across all 23 sheets. (14) Renumbering and reordering into a single six-part argument. (15) This close-out.</t>
  </si>
  <si>
    <t>Housekeeping done at close</t>
  </si>
  <si>
    <t>Three entry titles in section 12 had lost a leading apostrophe during the rename text-substitution pass and were repaired. The section 13 tab-colour entry was marked as superseded by section 14. The subtitle in row 3 was updated to cover both the September 11 and September 15 sessions.</t>
  </si>
  <si>
    <t>OPEN ITEMS CARRIED FORWARD - nothing below was resolved today</t>
  </si>
  <si>
    <t>Open 1 - FY2027 / FY2028 consensus</t>
  </si>
  <si>
    <t>No verified consensus mean is obtainable from free sources. '07 Consensus' carries two named house estimates sitting 38% apart as a stopgap. Needs Koyfin, Visible Alpha or Bloomberg to close.</t>
  </si>
  <si>
    <t>Open 2 - the ~85 net income residual</t>
  </si>
  <si>
    <t>Derived TTM Jun'26 net income of 244,205 against 244,120 shown by the data provider. Most likely a net-income-attributable adjustment. Needs the provider's definition to close. Flagged on '01 Income Statement'.</t>
  </si>
  <si>
    <t>Open 3 - PP&amp;E gaps in the AS FILED row</t>
  </si>
  <si>
    <t>FY2023 and Mar'26 are still unreplaced and are blank in the AS FILED row on '04 Balance Sheet'. Every other year has been corrected to filed figures.</t>
  </si>
  <si>
    <t>Tab colour key</t>
  </si>
  <si>
    <t>What EPIC is and how to read this sheet</t>
  </si>
  <si>
    <t>The acronym</t>
  </si>
  <si>
    <t>EPIC scores each research factor on four dimensions, one letter each. A factor only earns attention if it does well on all four - a high score on one dimension alone is not enough.</t>
  </si>
  <si>
    <t>E - Exceeds materiality</t>
  </si>
  <si>
    <t>P - Probably occurs</t>
  </si>
  <si>
    <t>How likely is it to actually happen, on a horizon that matters? A 5 means it is already occurring and visible in the filings; a 1 means it is speculative.</t>
  </si>
  <si>
    <t>I - I can forecast</t>
  </si>
  <si>
    <t>Why the fourth dimension decides</t>
  </si>
  <si>
    <t>Scoring and the TOTAL</t>
  </si>
  <si>
    <t>What 'critical factor' means</t>
  </si>
  <si>
    <t>Where it feeds</t>
  </si>
  <si>
    <t>This is a judgement framework, not data</t>
  </si>
  <si>
    <t>If this factor moves, does it move the valuation enough to matter? A 5 means it could re-rate the stock on its own; a 1 means it is noise even if true.</t>
  </si>
  <si>
    <t>Can I model it with the evidence in this pack? A 5 means the work is arithmetic on filed figures; a 1 means it depends on something unknowable, like a court ruling.</t>
  </si>
  <si>
    <t>E, P and I can all score 5 on a fact every analyst already knows - that is agreement, not opportunity. C is what separates a good insight from a tradable one, and it is the easiest score to flatter, so it carries the highest burden of proof here.</t>
  </si>
  <si>
    <t>Complete - all periods as filed</t>
  </si>
  <si>
    <t>Implied LT growth rate % (PEG denominator)</t>
  </si>
  <si>
    <t>PEG ratio</t>
  </si>
  <si>
    <t>NOPAT, TTM Jun'26</t>
  </si>
  <si>
    <t>DERIVED = TTM operating income x (1 - TTM effective tax rate)</t>
  </si>
  <si>
    <t>Invested capital at Jun'26</t>
  </si>
  <si>
    <t>DERIVED = total equity + total debt - cash &amp; marketable securities</t>
  </si>
  <si>
    <t>Invested capital at FY2025</t>
  </si>
  <si>
    <t>DERIVED = same build on the Dec 2025 column</t>
  </si>
  <si>
    <t>ROIC % - DERIVED on average invested capital</t>
  </si>
  <si>
    <t>DERIVED = NOPAT / average invested capital. Excess-cash treatment differs from the provider - see C39.</t>
  </si>
  <si>
    <t>ROIC % - provider basis (used in the comp table)</t>
  </si>
  <si>
    <t>16. STALE DATA FILLED - September 15, 2026</t>
  </si>
  <si>
    <t>Scope</t>
  </si>
  <si>
    <t>Swept all 23 sheets for cells flagged as not-pulled, unreplaced or blank inside an otherwise populated block. 25 such flags found; the ones backed by an obtainable filed or provider figure were filled. Remaining gaps are recorded below as still open.</t>
  </si>
  <si>
    <t>Was blank since the June pull. Now ='11 Valuation'!C33, which computes forward P/E / long-term growth. Ties to the provider's published 1.99.</t>
  </si>
  <si>
    <t>Was blank since the June pull. Now ='11 Valuation'!C39, the provider basis, so all six names in the column are measured the same way. June figures were PEG 1.70 and ROIC 28.3%.</t>
  </si>
  <si>
    <t>New PEG and ROIC derivation block. C32 LT growth rate is the only new hard input. C33 PEG, C35 NOPAT, C36/C37 invested capital and C38 ROIC are all live formulas off '01 Income Statement' and '04 Balance Sheet'.</t>
  </si>
  <si>
    <t>ROIC shown on two bases</t>
  </si>
  <si>
    <t>The independent build (C38) returns 27.56% against the provider's 24.93% (C39). The provider nets out only EXCESS cash while the C38 build nets out all cash and securities, which is the entire difference. Both are shown rather than reconciled away.</t>
  </si>
  <si>
    <t>Seven blanks completed from the filed Q2 2026 10-Q: receivables 69,175; total current assets 343,524; goodwill 57,828; total assets 921,983; total current liabilities 126,111; total liabilities 281,503; total equity 640,480.</t>
  </si>
  <si>
    <t>FY2023 134,345 and Mar'26 281,020 added - the two cells the sheet had flagged as never replaced. The AS FILED row is now complete across every period and the DISPUTED flag at H12 is resolved.</t>
  </si>
  <si>
    <t>ROIC 28.3% -&gt; 24.93% is the capex build arriving in the denominator, while PEG 1.70 -&gt; 1.99 says the price embeds more growth than it did in June. The market is paying more per unit of growth for a business whose incremental capital earns less.</t>
  </si>
  <si>
    <t>Verification</t>
  </si>
  <si>
    <t>STILL OPEN</t>
  </si>
  <si>
    <t>FY2027/FY2028 consensus - no verified free source, '07 Consensus' carries two house estimates 38% apart. The ~85 residual between derived TTM net income 244,205 and the provider's 244,120 is also still unreconciled.</t>
  </si>
  <si>
    <t>17. SHEET POLISH AND SESSION CLOSE - September 15, 2026</t>
  </si>
  <si>
    <t>13 EPIC Ranking' - TOTAL column made live</t>
  </si>
  <si>
    <t>The TOTAL column G was hard-typed constants, not formulas, in a pack whose whole premise is that no subtotal is hard-coded. G6:G13 are now =SUM(C6:F6) down to =SUM(C13:F13). All eight recalculated to exactly their previous values, so the numbers did not move - but they are now traceable and will follow any score change.</t>
  </si>
  <si>
    <t>13 EPIC Ranking' - EPIC explained</t>
  </si>
  <si>
    <t>The acronym was latent in the column headers and never spelled out. New explainer at B28:H39 defines each letter - Exceeds materiality, Probably occurs, I can forecast, Consensus is poor - plus how scoring works, what 'critical factor' means, and where the ranking feeds. Subtitle at B3 now carries the acronym and points to it.</t>
  </si>
  <si>
    <t>13 EPIC Ranking' - horizontal layout</t>
  </si>
  <si>
    <t>The explainer first went in as a narrow column and pushed rows to 80-148pt tall, which looked wrong. Rebuilt with each explanation merged across C:H (480pt). Block height fell from roughly 1,150pt to 320pt.</t>
  </si>
  <si>
    <t>13 EPIC Ranking' - row order warning</t>
  </si>
  <si>
    <t>Documented at row 37 that rows run in factor-letter order H, B, C, A, E, G, F, D - NOT in rank order. Factor E scores 16 and sits visually below factor A at 15. Read the TOTAL column, not the row position.</t>
  </si>
  <si>
    <t>00 Contents' - legend now self-demonstrating</t>
  </si>
  <si>
    <t>The BLUE / BLACK / GREEN labels at B48:B50 were all printed in black, describing colours without showing them. Each label is now set in the colour it names.</t>
  </si>
  <si>
    <t>00 Contents' - tab colour key</t>
  </si>
  <si>
    <t>Row 60 gained six PART swatches at D60:I60, filled with the hex values read off the actual sheet tabs rather than retyped from the prose. Label in B, description in C, matching every other row in that block.</t>
  </si>
  <si>
    <t>Alignment fix</t>
  </si>
  <si>
    <t>Row 60 was initially built one column off - caption in C with swatches running D:I past the block edge. Corrected to label in B, description in C, six equal 48pt swatches in D:I. Column C on this sheet is 513pt and holds prose, so no narrow element belongs there.</t>
  </si>
  <si>
    <t>STATE AT CLOSE</t>
  </si>
  <si>
    <t>Unchanged from section 16. FY2027/FY2028 consensus needs a paid source. The ~85 residual between derived TTM Jun'26 net income 244,205 and the provider's 244,120 is unresolved. Historical log entries were rewritten to the new sheet names at your instruction - if you ever want the original names restored with a translation key, that offer stands.</t>
  </si>
  <si>
    <t>$ millions. Confirmed against the Q2 2026 10-Q.</t>
  </si>
  <si>
    <t>DERIVED - pre-raise; use the Jun'26 figure in row 25</t>
  </si>
  <si>
    <t>$ millions. Balance-sheet figures are point-in-time. FY2023-FY2025 are at December 31; Mar'26 and Jun'26 are at quarter end. All periods complete as filed.</t>
  </si>
  <si>
    <t>•  All Jun'26 lines are taken from the Q2 2026 10-Q.</t>
  </si>
  <si>
    <t>18. JUNE DRAFT REFERENCES REMOVED - September 16, 2026</t>
  </si>
  <si>
    <t>Why</t>
  </si>
  <si>
    <t>The pack was begun in June 2026, paused, and restarted in September 2026. Prose across several sheets still narrated that supersession - 'supersedes the June estimates', 'CORRECTION 1', 'CORRECTION 2', 'the stale figure' - which only makes sense to a reader who knows an earlier draft existed. Those references have been restated as plain statements of the current filed position. The correction history is preserved here so provenance is not lost.</t>
  </si>
  <si>
    <t>B3 no longer says 'supersedes the June estimates'. B29-B31 restated as the raise AS FILED. FOR THE RECORD, the June working draft had assumed a ~84,750 raise with ~16,750 of preferred and a 40,000 ATM starting Q3 2026. Filed position: 79,900 total, 19,000 preferred, and the ATM had ALREADY DRAWN 30,400 by June 30 2026. D26 reworded from 'the stale figure, do not use' to 'pre-raise; use the Jun'26 figure in row 25'.</t>
  </si>
  <si>
    <t>B3 rewritten - it had claimed Jun'26 blanks were not pulled, which stopped being true when section 16 filled them. B26 now directs the reader to the AS FILED row and confirms it is complete for all five periods. B27 reduced to a plain sourcing note. B25 keeps the PP&amp;E substance without the June-pull framing.</t>
  </si>
  <si>
    <t>B40 restated: PP&amp;E is carried as filed, with the right-of-use overstatement explained as a general property of standardized feeds rather than as a correction to an earlier pull.</t>
  </si>
  <si>
    <t>B48 and B23/B24 no longer reference 'the June file' or 'the June call'. The June DISPERSION EVIDENCE at D29 was deliberately KEPT - 'was 16.5% in June' is what proves dispersion narrowed to 10.8% as the distortion grew.</t>
  </si>
  <si>
    <t>DELIBERATELY NOT REMOVED</t>
  </si>
  <si>
    <t>Three June references are load-bearing and were left intact. (1) '12 Peers' C14:C20, the Jun 27 2026 prices, are live inputs to =(D/C-1)*100 and to READ 4 - deleting them would produce six #DIV/0! errors and strip the evidence that GOOGL was the only mega-cap to fall. (2) '07 Consensus' D29, the dispersion baseline. (3) '13 EPIC Ranking' H5:H13, the 'vs Jun' re-ranking delta column, described by the sheet's own explainer at C35. Real June 2026 EVENTS - the equity raise, the selloff, HSBC's target cut - are facts about Alphabet, not artefacts of the draft, and also remain.</t>
  </si>
  <si>
    <t>Audit count corrected</t>
  </si>
  <si>
    <t>European Commission — "Commission fines Google EUR 890 million for breaches of the Digital Markets Act," July 23 2026. Replaces an earlier Next Web piece on the then-expected fine, which 404'd.</t>
  </si>
  <si>
    <t>Alphabet Q2 2026 earnings slides (q4cdn PDF)</t>
  </si>
  <si>
    <t>Alphabet FY2025 10-K — XBRL financial statement R31 (property and equipment detail)</t>
  </si>
  <si>
    <t>Alphabet Form 10-Q, quarter ended Jun 30 2026 — XBRL financial statement R26</t>
  </si>
  <si>
    <t>Alphabet Form 10-Q, quarter ended Jun 30 2026 — XBRL financial statement R64</t>
  </si>
  <si>
    <t>Alphabet FY2025 10-K — XBRL financial statement R70</t>
  </si>
  <si>
    <t>CNBC — hyperscalers face higher capex scrutiny after Alphabet report panned (Jul 28 2026)</t>
  </si>
  <si>
    <t>Forbes (Hersh Shefrin) — market experiences an AI capex turning point (Jul 27 2026)</t>
  </si>
  <si>
    <t>Semafor — "Alphabet's free cash flow turns negative" (Jul 23 2026)</t>
  </si>
  <si>
    <t>StockAnalysis.com — Alphabet Q2 2026 earnings call transcript</t>
  </si>
  <si>
    <t>19. SOURCES SHEET AUDIT AND REPAIR - September 16, 2026</t>
  </si>
  <si>
    <t>Blank descriptions filled</t>
  </si>
  <si>
    <t>Nine rows carried a URL with no description at all: rows 24, 38, 39, 40, 41, 73, 76, 87 and 139. Each was identified from its URL and described - four SEC XBRL statement pages (R31, R26, R64, R70), the Q2 2026 earnings slides, CNBC on capex scrutiny, Forbes on the AI capex turning point, Semafor on negative free cash flow, and the StockAnalysis Q2 2026 transcript. Row 39 had held only the orphan word 'and'.</t>
  </si>
  <si>
    <t>Truncated descriptions restored</t>
  </si>
  <si>
    <t>Rows 175-177 read '/7 Wall St.' - the leading '24' had been lost, most likely to a find-and-replace. All three restored to '24/7 Wall St.'</t>
  </si>
  <si>
    <t>Markdown stripped</t>
  </si>
  <si>
    <t>Row 12 carried literal ~~strikethrough~~ markup around a dead Next Web citation. Rewritten as a plain statement of the live primary source: the European Commission DMA decision of July 23 2026.</t>
  </si>
  <si>
    <t>Column misalignment fixed</t>
  </si>
  <si>
    <t>Row 41 had a blank HTTP cell. When first repaired the status code was written into the Verdict column, displacing its text. Corrected - HTTP 403 in column F, 'OK (verified, SEC UA)' in column G.</t>
  </si>
  <si>
    <t>COUNTS WERE WRONG - now live</t>
  </si>
  <si>
    <t>The verification summary was hard-coded and had drifted from the table it describes. It claimed three links remain DEAD when the table holds 2, and 'ALL 17 SEC.GOV LINKS' when there are 18. Rows 245-251, 252, 256 and 257 are now COUNTIF/COUNTA formulas over B6:I242, so they cannot drift again. Verified against an independent scan: 237 URLs, OK 207, SEC UA 18, blocked 9, rate-limited 1, dead 2, tier-5 37, tier-6 31.</t>
  </si>
  <si>
    <t>Third dead link explained</t>
  </si>
  <si>
    <t>The prose named valueinvesting.io as a third dead link, but it is not in the table - it was removed outright rather than flagged. Row 254 now says so explicitly, which is why the count reads 2 and not 3.</t>
  </si>
  <si>
    <t>Blocked-domain list corrected</t>
  </si>
  <si>
    <t>Row 257 listed five blocked domains; the table holds nine such rows and CoinDCX was missing from the list. Now named, with the count driven by formula.</t>
  </si>
  <si>
    <t>NOT changed</t>
  </si>
  <si>
    <t>Contents sheet kept in step</t>
  </si>
  <si>
    <t>HTTP status checked September 10, 2026 with a browser user agent; SEC links re-checked with an SEC-compliant user agent. Low-quality and dead sources pruned September 16, 2026.</t>
  </si>
  <si>
    <t>•  SEVEN BROKEN LINKS WERE FOUND at the September 10 2026 check. Four were REPAIRED, and the three that remained dead have now been REMOVED from the table, so no dead link is cited anywhere in this pack.</t>
  </si>
  <si>
    <t>•  'Blocked to automation - likely live' means the site returns 403 to scripted requests (Bloomberg, Forbes, CoStar). The link is probably fine but was not machine-verified. Open manually before relying on it.</t>
  </si>
  <si>
    <t>StockAnalysis.com, Alphabet (GOOGL) quote and statistics (incl. close Jun 26, 2026)</t>
  </si>
  <si>
    <t>HELP-1-historical; HELP-2-emerging</t>
  </si>
  <si>
    <t>20. SOURCES PRUNE - LOW-QUALITY AND DEAD CITATIONS REMOVED - September 16, 2026</t>
  </si>
  <si>
    <t>Request</t>
  </si>
  <si>
    <t>Method - coverage first</t>
  </si>
  <si>
    <t>No row was deleted on its tier label alone. For every candidate, the claim it supports was traced and the table searched for higher-tier coverage of the same fact. Only rows whose claims survive independently were removed.</t>
  </si>
  <si>
    <t>33 rows deleted</t>
  </si>
  <si>
    <t>The 2 remaining dead links (beststock.ai, heygotrade.com) plus 30 aggregator, promotional, user-generated and re-publisher rows (to5Google, AInvest, Kavout, TIKR, StockTitan, TECHi, Capital.com, FullRatio, Digital Applied, investingLive, MarketBeat/TradingView, WinBuzzer, Visual Capitalist, Slickcharts, Barchart, SiliconANGLE, Electrek and similar), and one duplicate row.</t>
  </si>
  <si>
    <t>Duplicate merged</t>
  </si>
  <si>
    <t>stockanalysis.com/stocks/googl appeared twice (rows 127 and 132) under two different 'Cited in' tags. Merged to a single row carrying both tags - 'HELP-1-historical; HELP-2-emerging'.</t>
  </si>
  <si>
    <t>Nothing lost</t>
  </si>
  <si>
    <t>Every deleted claim is still carried by a retained tier 1-3 source: the equity raise by the SEC 8-K and FWP, 2026 capex by the Q1/Q2 filings and CNBC, quarterly results by the earnings releases and 10-Qs, the EUR 890m DMA fine by the Commission decision page, AI search share by StatCounter and Similarweb, and the Waymo round by the Waymo blog.</t>
  </si>
  <si>
    <t>3 rows RETIERED, not deleted</t>
  </si>
  <si>
    <t>The tier heuristic scores by domain and had misjudged three: CBS News and SCOTUSblog were tagged '5 LOW' despite being a national broadcaster and a respected court-reporting outlet, and Nasdaq Global Indexes was tagged low while being the index owner - primary for its own index data. Retiered to '2 High-quality news', '2 High-quality news' and '1 Primary'.</t>
  </si>
  <si>
    <t>2 tier-5 rows KEPT deliberately</t>
  </si>
  <si>
    <t>The Motley Fool Q4 2025 and Q1 2026 earnings-call transcripts. They are the verbatim record of management remarks quoted on '10 Guidance and Quotes', and no free tier 1-3 full transcript exists. Quotes are cross-checked against the filed 8-K.</t>
  </si>
  <si>
    <t>237 URLs to 204. Dead links 2 to 0. Tier 5 rows 37 to 2. Numbering in column B is now the formula =ROW()-5, so it renumbers itself if rows are ever added or removed again.</t>
  </si>
  <si>
    <t>Summary block</t>
  </si>
  <si>
    <t>Counts were already formula-driven from the prior pass and followed the deletions automatically. The surrounding prose was rewritten where it had gone stale - the dead-link, blocked-domain and tier-5 notes now describe the pruned table.</t>
  </si>
  <si>
    <t>The Wall Street Journal, "Google Loses Antitrust Case Over Search-Engine Dominance" (Aug 5, 2024) - WSJ's account of the Sherman Act Section 2 liability ruling; parallel tier-2 citation alongside the CNBC report of the same ruling at row 50.</t>
  </si>
  <si>
    <t>wsj.com</t>
  </si>
  <si>
    <t>Paywalled - not machine-verified</t>
  </si>
  <si>
    <t>https://www.wsj.com/tech/google-loses-federal-antitrust-case-27810c43</t>
  </si>
  <si>
    <t>21.  MODEL NARRATIVE MADE LIVE + SOURCES COUNTS MADE LIVE - September 16 2026</t>
  </si>
  <si>
    <t>The 'WHAT THE MODEL SAYS' block was hard-typed prose written against the BASE case. After the scenario switch was moved to BEST CASE the numbers in the text no longer matched the grid above it. B24, B25, B26 and B27 are now formulas that read the live grid, so the narrative follows whichever scenario is active.</t>
  </si>
  <si>
    <t>B24 - reported vs core</t>
  </si>
  <si>
    <t>Now reads G11 (reported TTM EPS), G13 (core TTM EPS), G19 and G20 (the two multiples), and '17 Model'!K28 for the 149,209 equity-securities gain. Previously said 9.97 core; the live figure is 10.04.</t>
  </si>
  <si>
    <t>B25 - depreciation</t>
  </si>
  <si>
    <t>Now reads row 14 and computes the multiples rather than asserting 'roughly doubles' and '~4.8x'. Live: 2.6x by FY2027E and 5.1x by FY2030E. The old claim that operating margin is 'held flat' was deleted - it is contradicted by the model, which expands margin from 34.5% to 36.8%. The line now reads the margin range from '16 Scenarios' row 25.</t>
  </si>
  <si>
    <t>B26 - free cash flow</t>
  </si>
  <si>
    <t>Now reads H17, D17 and L17. Old text said FCF of ~25,000 in FY2026E and ~276,000 by FY2030E; live figures are 34,223 and 348,138. The recovery year is now computed with INDEX/MATCH against the FY2023 level rather than asserted, and resolves to FY2027E.</t>
  </si>
  <si>
    <t>B27 - worst case</t>
  </si>
  <si>
    <t>Rewritten to state explicitly that it describes the stored WORST CASE driver set, and to name the live scenario via '16 Scenarios'!F6. The previous version made specific worst-case claims that cannot be checked while the switch resolves to another case.</t>
  </si>
  <si>
    <t>The verification-summary counts were hard-typed and still read 204 after the WSJ row was appended. They are now COUNTA / COUNTIF formulas over rows 6:210 and self-maintain. Added a count for the new 'Paywalled - not machine-verified' verdict, which no line had reported.</t>
  </si>
  <si>
    <t>Appended The Wall Street Journal, 'Google Loses Antitrust Case Over Search-Engine Dominance' (wsj.com), tagged 2 High-quality news, verdict 'Paywalled - not machine-verified', cited in HELP-1-historical. Total 204 to 205.</t>
  </si>
  <si>
    <t>Scope note on FT / WSJ</t>
  </si>
  <si>
    <t>Six web searches were run to reduce the pack's reliance on CNBC (25 rows, the largest single domain). Only the one WSJ item above was obtainable. FT, WSJ and Reuters sit behind paywalls that do not surface to automated search, so the CNBC concentration cannot be materially fixed from free sources.</t>
  </si>
  <si>
    <t>Full recalculation run. 0 error cells across all 23 sheets. Pack Audit 26 of 26 tie. Model Audit 46 of 46 tie.</t>
  </si>
  <si>
    <t>22.  MODEL SECTION RECHECK - September 16 2026</t>
  </si>
  <si>
    <t>Method - stress test</t>
  </si>
  <si>
    <t>The scenario switch was flipped through 1, 2 and 3 and the model recalculated at each setting, then restored to 2 (BEST CASE) as found. This is what exposed the two defects below: both are invisible at the BEST CASE setting the pack was sitting on.</t>
  </si>
  <si>
    <t>The margin clause was hard-wired to say the depreciation load is 'absorbed rather than passed through to margin'. True in base and best, FALSE in worst, where margin compresses from 31.0% to 28.0%. The sentence also described a DECLINE as a range ('runs 31.0% to 28.0%'). B25 now tests the direction of travel and says expands / compresses / holds flat, and flips the absorption clause to 'NOT absorbed - it feeds straight through to margin' when margin falls.</t>
  </si>
  <si>
    <t>The cell said 'Under the worst case ... recovers materially later than shown above' even when the worst case WAS what was shown above - it contradicted itself at switch 3. B27 now branches: at switch 3 it reads 'This IS the downside case' and gives the live FY2026E FCF and the computed recovery year; otherwise it names the running case and points to switch 3.</t>
  </si>
  <si>
    <t>Referred the reader to ''M Scenarios'!D6', an old sheet name that no longer exists. Now reads '16 Scenarios'!D6.</t>
  </si>
  <si>
    <t>Checked and found CORRECT - engine</t>
  </si>
  <si>
    <t>Rows 10-16 revenue, 24 operating income, 27-28 other income, 60-62 new-capex depreciation, 71 SBC and 74 capex all step one scenario column per forecast year with no gaps or repeats. Row 18 sums 10:16. Row 33 reconciles to row 46 in forecast years. Row 84 P/FCF is guarded with IF(FCF&lt;=0,NA()) so it cannot print a negative multiple.</t>
  </si>
  <si>
    <t>Checked and found CORRECT - depreciation</t>
  </si>
  <si>
    <t>Rows 52-53 are single-column by design (scalars, not per-year series). Row 56 placing 40,938 a year for three years then 0 is correct: it retires the 122,814 not-yet-in-service balance over the assumed three years, and row 57 correctly plateaus at 122,814 rather than continuing to accumulate. Half-year convention is applied consistently in rows 58 and 62.</t>
  </si>
  <si>
    <t>Checked and found CORRECT - audit independence</t>
  </si>
  <si>
    <t>46 of 46 model checks and 26 of 26 pack checks tie at EVERY one of the three scenario settings. 0 error cells across all 23 sheets. Scenario switch left at 2 (BEST CASE), exactly as found.</t>
  </si>
  <si>
    <t>23. ASSUMPTIONS AUDIT - '15 Assumptions' (September 16, 2026)</t>
  </si>
  <si>
    <t>Audited every input on '15 Assumptions': the six segment growth series, operating margin, capex, the depreciation base, tax, share count and the equity-gain rationale. Checked each against the filed research pack and stress-tested at all three scenario settings.</t>
  </si>
  <si>
    <t>Delta mechanism - VERIFIED, no defect</t>
  </si>
  <si>
    <t>16 Scenarios' rows 18-23 apply the +3% / -4% parallel shift by CHOOSE formula against '15 Assumptions' rows 14-19 and C22/C23. They are not independently typed, so the stated shift cannot silently drift. Rows 25, 26, 28, 29 and 31 are likewise formula-driven.</t>
  </si>
  <si>
    <t>Growth drivers - VERIFIED against filed H1'26</t>
  </si>
  <si>
    <t>Base-case FY2026E growth sits at or below actual H1'26 year-over-year in every segment: Cloud 70% assumed vs 73.1% actual, Search 15% vs 17.9%, YouTube 12.5% vs 11.8%, Network -2% vs -2.3%, Subscriptions 16% vs 17.2%. The base case is not aggressive relative to the last filed half-year.</t>
  </si>
  <si>
    <t>Blended life - VERIFIED</t>
  </si>
  <si>
    <t>16 Scenarios'!C29 harmonic blend recomputes exactly to 9.756 years at the 45% best-case short-lived share. The annual charge of 12,588 is C36 divided by that life, as documented.</t>
  </si>
  <si>
    <t>FIXED - stale source citation, E8 and E9</t>
  </si>
  <si>
    <t>Both cited 'sheet 08' for the diluted share count and the preferred dividend. Those figures live on '05 Capital Structure' (C16 and C24). Re-pointed and made live, so the cited number now reads from the source cell.</t>
  </si>
  <si>
    <t>FIXED - hedging note cited one period only, E24</t>
  </si>
  <si>
    <t>Note read 'Hedging gains were -127 in FY2025' while the model carries -349 for TTM Jun'26 in '17 Model'!K16, which looked like a contradiction. Both are correct for their own period. Note now reads all three figures live and states which period each belongs to.</t>
  </si>
  <si>
    <t>FIXED - tax rate note, E10</t>
  </si>
  <si>
    <t>The 18.4% TTM effective rate was hard-typed. Now reads live from '01 Income Statement'!G17.</t>
  </si>
  <si>
    <t>FIXED - equity-gain narrative, B51</t>
  </si>
  <si>
    <t>Hard-typed 244,205 / ~160,000 / 99,031 / 71% / 16.6x / 33x. All six now read live from '01 Income Statement', '06 Core EPS Bridge' and '11 Valuation'. The ~160,000 was imprecise: the exact TTM gain is 149,209.</t>
  </si>
  <si>
    <t>JUDGMENT CALLS - flagged, not changed</t>
  </si>
  <si>
    <t>Five inputs are defensible but are choices, not filed facts: shares held flat at 12,265 for five years despite the June raise; Google Network at -2% in perpetuity; Other Bets at +5% a year while H1'26 actual was -3.6%; the 18.5% tax rate against a rate that has risen every year; and Cloud decelerating 70% to 33% over five years. Each is documented on the sheet. None were altered.</t>
  </si>
  <si>
    <t>Coverage gap - flagged</t>
  </si>
  <si>
    <t>46 of 46 model checks and 26 of 26 pack checks tie at all three scenario settings. Scenario switch restored to 2 (BEST CASE) as found.</t>
  </si>
  <si>
    <t>H1'26 capex already inside the Jun'26 depreciation base</t>
  </si>
  <si>
    <t>Filed H1 2026 capex, live from 09 Cash Flow G20. The Jun'26 opening balances on the depreciation schedule already contain this spend, so it is netted out of the FY2026E new-capex layer at 17 Model L60 to stop it being depreciated twice. The cash capex line still carries the full calendar year. Set to 0 to restore the prior treatment.</t>
  </si>
  <si>
    <t>Working capital, deferred taxes and other, % of revenue</t>
  </si>
  <si>
    <t>OPERATING MARGIN BEFORE THE DEPRECIATION RAMP</t>
  </si>
  <si>
    <t>Operating margin before depreciation ramp, base</t>
  </si>
  <si>
    <t>Operating margin before depreciation ramp, best</t>
  </si>
  <si>
    <t>Operating margin before depreciation ramp, worst</t>
  </si>
  <si>
    <t>Memo: depreciation charged above the base-period run rate</t>
  </si>
  <si>
    <t>Operating margin % (OUTPUT, after the depreciation ramp)</t>
  </si>
  <si>
    <t>Operating margin before the depreciation ramp</t>
  </si>
  <si>
    <t>Working capital, deferred taxes and other, net</t>
  </si>
  <si>
    <t>24. MODEL WIRING CORRECTED - September 17, 2026</t>
  </si>
  <si>
    <t>DEFECT 1 FIXED - depreciation never reached earnings</t>
  </si>
  <si>
    <t>Row 24 was =L23*'16 Scenarios'!C25, revenue times an assumed margin, so depreciation never entered the income statement. Row 64 was read by only two cells: row 65, a display ratio, and row 70, a POSITIVE cash add-back. That made the derivative of free cash flow with respect to depreciation exactly +1. Shortening the blended life from 9.76 to 6.98 years raised FY2030 depreciation by 40,744 and raised FY2030 free cash flow by exactly 40,744, with net income unchanged at 340,237 in every case. The assumption this workbook calls THE SINGLE MOST SENSITIVE moved cash the wrong way and earnings not at all.</t>
  </si>
  <si>
    <t>DEFECT 1 - the mechanism</t>
  </si>
  <si>
    <t>Depreciation was in the model twice and never reconciled. Implicitly inside the operating-margin assumption, which is calibrated to a reported post-depreciation margin near 34%, and explicitly in the schedule at rows 51-65. Earnings used the implicit copy and cash used the explicit one, so the whole schedule was pure free-cash-flow upside.</t>
  </si>
  <si>
    <t>DEFECT 1 - what changed</t>
  </si>
  <si>
    <t>New memo row 26 computes depreciation charged above the base-period run rate as =L64-L23*($K$64/$K$23), where K64 over K23 is TTM Jun26 depreciation over TTM Jun26 revenue, 5.66%, both already on this sheet so the provenance is visible. Row 24 now subtracts it. The margin assumption keeps its original calibration at the base period and the rising schedule compresses margin from there, which is the capex thesis. The derivative of free cash flow with respect to depreciation is now +0.185, the tax shield, which is correct. Row 25 relabelled: reported operating margin is now an OUTPUT. The assumption rows on 15 Assumptions and 16 Scenarios are relabelled as margin BEFORE the depreciation ramp.</t>
  </si>
  <si>
    <t>DEFECT 2 FIXED - FY2026E compounded off the wrong base</t>
  </si>
  <si>
    <t>L10:L15 grew a full year of growth onto the TTM Jun'26 base of 445,866, while row 19 measured growth against FY2025 of 402,836 and the column is labelled FY2026E. TTM Jun'26 already contains H1 2026, so a full year on top projected to roughly mid-2027. Base-case FY2026E revenue came out at 550,131 against 51-analyst consensus of 498,360, which is 10.4% high. L10:L15 now compound off column J, FY2025, so the label, the base and row 19 agree.</t>
  </si>
  <si>
    <t>DEFECT 2b FIXED - the same overlap in the capex layer</t>
  </si>
  <si>
    <t>The depreciation schedule opens from Jun'26 balances, the 122,814 not yet in service, but row 60 layered a full calendar year of capex on top, so the 80,598 of filed H1'26 capex was depreciated twice. New input 15 Assumptions C56 carries filed H1'26 capex as a live link to 09 Cash Flow G20, and L60 nets it out of the FY2026E layer only. The cash capex line still carries the full calendar year, which is correct. Set C56 to 0 to restore the prior treatment.</t>
  </si>
  <si>
    <t>DEFECT 3 FIXED - operating cash flow was not like-for-like</t>
  </si>
  <si>
    <t>Forecast operating cash flow was the sum of rows 69 to 72 while the historical columns were hard links to 09 Cash Flow. The residual between the two ran -7,278 in FY2023, -10,244 in FY2024, +11,074 in FY2025 and +37,295 in TTM Jun'26, and was forced to zero in every forecast year because no working-capital, deferred-tax or other line existed anywhere in the model. History and forecast sat on one row measured differently.</t>
  </si>
  <si>
    <t>DEFECT 3 - what changed</t>
  </si>
  <si>
    <t>Row numbers at 73 and below shifted by one</t>
  </si>
  <si>
    <t>NOT changed, deliberately</t>
  </si>
  <si>
    <t>The scenario architecture was left alone: all 40 drivers resolve through CHOOSE($D$6,...), the plus 3.0pp and minus 4.0pp shifts come from absolute references and are never retyped, and there are zero bypasses straight to 15 Assumptions. The depreciation arithmetic itself was verified correct to the cell by an independent rebuild: blended life 1/(0.45/6+0.55/20) is 9.75610, the half-year convention is consistent, the 122,814 tranche retires precisely over three years, and no vintage is dropped or double counted. Only the wiring was wrong, not the maths.</t>
  </si>
  <si>
    <t>STILL OPEN after this pass</t>
  </si>
  <si>
    <t>Each input is operating margin before depreciation charged above the base-period rate of 5.66% of revenue (TTM Jun'26). 17 Model row 26 subtracts the excess, so reported operating margin is an output at 17 Model row 25. Historical equivalent: FY2023 25.6%, FY2024 30.8%, FY2025 31.6%, TTM Jun'26 33.1%, H1'26 35.3%.</t>
  </si>
  <si>
    <t>Starts 0.5pp above the H1'26 anchor and expands 1.0pp a year. Cloud margin went 23.7% to 35.6% in a year, and in Q1'26 headcount grew 4.8% against revenue growth of 21.8%, so mix and operating leverage absorb more of the ramp.</t>
  </si>
  <si>
    <t>25. OPERATING MARGIN RECALIBRATED - September 21, 2026</t>
  </si>
  <si>
    <t>Entry 24 made reported operating margin an output, which turned the three margin series into margins before the depreciation ramp. They had been set as final margins, so every case started too low: base FY2026E implied a 27.7% operating margin in H2'26 after an actual 35.0% in H1'26.</t>
  </si>
  <si>
    <t>DEFECT FIXED - E27 held text, not a number</t>
  </si>
  <si>
    <t>Entry 24 wrote its explanatory note into '15 Assumptions'!E27, the FY2028E base margin, overwriting 0.335. With the switch on 2 nothing showed. On 1 (Base), '16 Scenarios'!E25 resolved to text and 17 Model columns N to P returned #VALUE!. The base-case figures quoted in entry 24 were computed with 0.335 in place. The note now sits at H26 and E27 holds an input again.</t>
  </si>
  <si>
    <t>Method</t>
  </si>
  <si>
    <t>Each series is anchored to the H1'26 equivalent of 35.3% and moves by a fixed step each year. Best starts at 35.8% and adds 1.0pp a year; base starts at 35.3% and adds 0.5pp; worst starts at 34.5% and gives back 0.5pp. Reported margin remains an output of 17 Model row 25.</t>
  </si>
  <si>
    <t>Inputs before</t>
  </si>
  <si>
    <t>Base 33.0 to 34.0. Best 34.5 to 36.8. Worst 31.0 to 28.0 (FY2026E to FY2030E).</t>
  </si>
  <si>
    <t>Inputs after</t>
  </si>
  <si>
    <t>Base 35.3 to 37.3. Best 35.8 to 39.8. Worst 34.5 to 32.5 (FY2026E to FY2030E).</t>
  </si>
  <si>
    <t>Results</t>
  </si>
  <si>
    <t>Worst-case capex at '15 Assumptions' row 34 still rises to 290,000 by FY2030E against slowing revenue, so the worst-case reported margin stays low. That outcome is driven by the capex path, not the margin input. Reviewing all three capex paths is logged for before the DCF.</t>
  </si>
  <si>
    <t>Flagged, not fixed</t>
  </si>
  <si>
    <t>The FY2026E depreciation charge implies a steep step-up in H2'26 from the H1'26 run rate of 13,586 a half. The schedule charges a full year of placements on top of a run rate that already contains H1. Worth reviewing with the capex paths.</t>
  </si>
  <si>
    <t>Op margin FY2026E plus depreciation ramp equals scenario driver</t>
  </si>
  <si>
    <t>Reported margin plus the ramp memo must rebuild the pre-ramp driver</t>
  </si>
  <si>
    <t>FIXED - Model Audit check 24 could not fail honestly</t>
  </si>
  <si>
    <t>Check 24 compared the FY2026E operating margin with the scenario driver. Since entry 24 those differ by the depreciation ramp by design, and the check passed only because the gap sat inside its 0.02 absolute tolerance; in the worst case it failed. It now tests the identity the model uses: '17 Model'!L25 plus L26 over L23 equals the driver, which ties exactly at all three settings. The 0.02 absolute tolerance on ratio checks is unchanged and still open.</t>
  </si>
  <si>
    <t>Flagged, not fixed - worst-case errors</t>
  </si>
  <si>
    <t>Switch 1: 46 of 46 checks tie, 0 error cells. Switch 2: 46 of 46 checks tie, 0 error cells. Switch 3: 46 of 46 checks tie, 6 error cells, all listed above. An independent Python replica of 17 Model reproduces every result figure in this entry. Scenario switch restored to 2 as found.</t>
  </si>
  <si>
    <t>FY2030E reported operating margin: best 32.97%, base 25.81%, worst 11.09% (was 30.0, 22.5, 6.6). FY2030E free cash flow: best 255,506, base 164,579, worst 10,996 (was 231,780, 141,551, -15,453). FY2026E reported operating margin: best 34.41%, base 33.45%, worst 32.00%.</t>
  </si>
  <si>
    <t>HISTORICAL P/E TREND — TWO PRICE CONVENTIONS</t>
  </si>
  <si>
    <t>Year-end closing price ($)</t>
  </si>
  <si>
    <t>Annual-average closing price ($)</t>
  </si>
  <si>
    <t>Reported EPS ($)</t>
  </si>
  <si>
    <t>Core EPS ($)</t>
  </si>
  <si>
    <t>Year-end P/E — REPORTED</t>
  </si>
  <si>
    <t>Year-end P/E — CORE</t>
  </si>
  <si>
    <t>Average-price P/E — REPORTED</t>
  </si>
  <si>
    <t>Average-price P/E — CORE</t>
  </si>
  <si>
    <t>Method: year-end uses the final trading-day close; annual-average uses the arithmetic mean of daily closes. EPS matches each fiscal year.</t>
  </si>
  <si>
    <t>Source: StatMuse Money historical GOOGL pricing (2023–2025). Values are sourced inputs; P/E rows are live formulas.</t>
  </si>
  <si>
    <t>Historical FY2023–FY2025 P/E uses each year-end closing price; annual-average-price P/E and source methodology are shown on 11 Valuation.</t>
  </si>
  <si>
    <t>Period</t>
  </si>
  <si>
    <t>Reported EPS</t>
  </si>
  <si>
    <t>Core EPS</t>
  </si>
  <si>
    <t>Capex</t>
  </si>
  <si>
    <t>Reported P/E</t>
  </si>
  <si>
    <t>Core P/E</t>
  </si>
  <si>
    <t>Segment</t>
  </si>
  <si>
    <t>Subscriptions/devices</t>
  </si>
  <si>
    <t>26. VISUAL ANALYSIS DASHBOARD — September 21, 2026</t>
  </si>
  <si>
    <t>Added the Charts sheet before the audit section with six live charts: reported vs core EPS, revenue vs operating income, FCF vs capex, operating vs FCF margin, reported vs core P/E, and FY2025 vs FY2030E segment revenue. Added a hidden Chart Data helper sheet; all series link live to 17 Model and follow the scenario switch.</t>
  </si>
  <si>
    <t>Valuation / multiple</t>
  </si>
  <si>
    <t>Cloud growth / margin</t>
  </si>
  <si>
    <t>Capex / FCF conversion</t>
  </si>
  <si>
    <t>Margins / depreciation</t>
  </si>
  <si>
    <t>Search durability</t>
  </si>
  <si>
    <t>Gemini position</t>
  </si>
  <si>
    <t>Capital allocation</t>
  </si>
  <si>
    <t>Regulatory</t>
  </si>
  <si>
    <t>27. DASHBOARD INSIGHT MAPS — September 21, 2026</t>
  </si>
  <si>
    <t>Enhanced Charts with three live thesis-signal cards, a peer bubble chart mapping TTM capex against TTM free cash flow with market-cap bubble size, and an EPIC priority bar chart. All inputs link to 12 Peers, 13 EPIC Ranking and 17 Model through the hidden Chart Data sheet.</t>
  </si>
  <si>
    <t>28. DASHBOARD DESIGN POLISH — September 21, 2026</t>
  </si>
  <si>
    <t>Reworked the Charts sheet into a cohesive presentation surface: stronger title hierarchy, color-coded KPI and signal cards, deliberate spacing, consistent navy/blue/teal/orange/green palette, white chart canvases, restrained gridlines, standardized Arial typography, series-specific colors, and a source/navigation footer.</t>
  </si>
  <si>
    <t>Sheet 05 Capital Structure: 19,000 of 6.25% mandatory convertible, annual dividend 1,187.5. Reduces earnings available to common.</t>
  </si>
  <si>
    <t>Hedging was -127 in FY2025 and -74 in H1'26; it swings sign year to year, so it is not forecast. Note: the model carries the TTM Jun'26 figure of -349 in the last actual column.</t>
  </si>
  <si>
    <t>07 Consensus'!C8 share-count basis</t>
  </si>
  <si>
    <t>12 Peers' H6 - PEG</t>
  </si>
  <si>
    <t>12 Peers' L6 - ROIC</t>
  </si>
  <si>
    <t>11 Valuation' rows 32-39 - NEW</t>
  </si>
  <si>
    <t>04 Balance Sheet' Jun'26 column</t>
  </si>
  <si>
    <t>04 Balance Sheet' AS FILED PP&amp;E</t>
  </si>
  <si>
    <t>12 Peers' B28 - NEW READ 5</t>
  </si>
  <si>
    <t>05 Capital Structure'</t>
  </si>
  <si>
    <t>04 Balance Sheet'</t>
  </si>
  <si>
    <t>00 Contents'</t>
  </si>
  <si>
    <t>07 Consensus' and '12 Peers'</t>
  </si>
  <si>
    <t>EPS distortion</t>
  </si>
  <si>
    <t>Operating income</t>
  </si>
  <si>
    <t>Operating CF</t>
  </si>
  <si>
    <t>Free cash flow</t>
  </si>
  <si>
    <t>Operating margin</t>
  </si>
  <si>
    <t>FCF margin</t>
  </si>
  <si>
    <t>Forward P/E</t>
  </si>
  <si>
    <t>ROIC</t>
  </si>
  <si>
    <t>FCF / capex</t>
  </si>
  <si>
    <t>EPIC factor</t>
  </si>
  <si>
    <t>Score</t>
  </si>
  <si>
    <t>PART 6 - VISUAL ANALYSIS: data first, charts second</t>
  </si>
  <si>
    <t>Reported versus core EPS and P/E, with the live source table printed above the charts.</t>
  </si>
  <si>
    <t>Revenue, operating income and segment mix from FY2023 through FY2030E.</t>
  </si>
  <si>
    <t>Operating cash flow, capex, FCF, depreciation and margin paths.</t>
  </si>
  <si>
    <t>Peer capital-efficiency map and EPIC research-priority ranking.</t>
  </si>
  <si>
    <t>PART 7 - PROVE IT: verification and provenance</t>
  </si>
  <si>
    <t>29. NUMBERED PRINT-READY CHART SECTION — September 21, 2026</t>
  </si>
  <si>
    <t>Replaced the single dashboard with four numbered chart sheets (19–22), each showing live source data first and charts below. Renumbered Pack Audit, Model Audit, Sources and Change Log to 23–26; Excel updated formula links and 39 textual references were revised. Added landscape print areas, one-page-wide scaling and repeating title rows. Updated 00 Contents and reclassified verification as Part 7.</t>
  </si>
  <si>
    <t>30. WORKBOOK LEGIBILITY PASS — September 21, 2026</t>
  </si>
  <si>
    <t>Improved readability of long narrative text across the workbook: wrapped and enlarged scenario explanations, widened dedicated prose columns in Contents, Guidance, Assumptions, Sources and Change Log, auto-fitted narrative rows, and increased titles/legends/axis labels across all nine charts. Numeric table density and print layouts were preserved.</t>
  </si>
  <si>
    <t>FY2026E carries the H1'26 gain already booked, 135,946 (filed, Q2 2026 10-Q), so reported FY2026E is comparable with consensus. Zero from H2'26 onward by design; see the note below. Core earnings exclude it in every year.</t>
  </si>
  <si>
    <t>Share of a year new FY2026E placements depreciate</t>
  </si>
  <si>
    <t>H1'26 depreciation is already inside the run rate, so FY2026E placements land across H2 and earn a quarter-year on average, not the half-year used from FY2027E. With 0.5 the schedule implied H2'26 depreciation roughly double H1; with 0.25 H2 runs about 50% above H2'25, in line with the capex acceleration.</t>
  </si>
  <si>
    <t>FY2027 EPS - consensus mean ($)</t>
  </si>
  <si>
    <t>FY2027 revenue - consensus</t>
  </si>
  <si>
    <t>FY2026 EBIT - consensus</t>
  </si>
  <si>
    <t>FY2026 operating margin - consensus %</t>
  </si>
  <si>
    <t>FY2027 EBIT - consensus</t>
  </si>
  <si>
    <t>FY2027 operating margin - consensus %</t>
  </si>
  <si>
    <t>Forecast reported NI less after-tax marks = core NI</t>
  </si>
  <si>
    <t>31. MODEL AND RESEARCH FIXES - September 21, 2026</t>
  </si>
  <si>
    <t>FIXED - booked H1 marks missing from FY2026E reported earnings</t>
  </si>
  <si>
    <t>FIXED - FY2026E depreciation step</t>
  </si>
  <si>
    <t>The schedule charged FY2026E placements a half-year on top of a run rate that already contains H1'26, implying H2'26 depreciation about double H1. New input '15 Assumptions'!C58 = 0.25 sets FY2026E placements to a quarter-year; '17 Model' L58 and L62 read it. FY2027E onward is unchanged because later years charge the full cumulative balance.</t>
  </si>
  <si>
    <t>ADDED - verified FY2027 consensus and consensus EBIT</t>
  </si>
  <si>
    <t>RE-SCORED - EPIC factors H and D</t>
  </si>
  <si>
    <t>H: 'Consensus is poor' 5 -&gt; 3, total 19 -&gt; 17. Consensus FY2027 carries the reversal, FY2026 is core plus booked marks, and the revisions leg was false. D: 9 -&gt; 11 for the Jul 16 2026 DMA specification decisions (3 / 4 / 2 / 2). H, B and C now tie at 17. F note corrected on the ATM.</t>
  </si>
  <si>
    <t>Results, base case</t>
  </si>
  <si>
    <t>FY2026E reported EPS 20.35 (consensus 20.60), core 11.31, operating margin 34.4% (consensus 34.45%), depreciation 31,982. FY2027E operating margin 30.8% against consensus 35.31%. FY2030E free cash flow 164,579, unchanged.</t>
  </si>
  <si>
    <t>'15 Assumptions'!C47 was zero for all of FY2026E, so reported FY2026E EPS excluded the 135,946 gain on equity securities already booked in H1 2026 and sat below FY2025A. C47 now carries the filed H1 figure; H2'26 onward stays at zero. Core earnings are unchanged. The deferred tax on the unrealised gain is non-cash, so '17 Model' row 73 now adds it back (L73:P73 = revenue x C57 + gain x tax rate) and free cash flow is unaffected by the gain.</t>
  </si>
  <si>
    <t>'07 Consensus' rows 34-39 replace the Wolfe/Zacks stopgap: FY2027 EPS mean 14.84 (49 analysts), revenue 612,190, and consensus EBIT of 171,734 (34.45%) for FY2026 and 216,725 (35.31%) for FY2027 from MarketScreener. Three rows inserted at 37; notes below shifted by three. Superseded notes are marked, not deleted.</t>
  </si>
  <si>
    <t>consensus vs model core ('17 Model' L48, follows the scenario switch)</t>
  </si>
  <si>
    <t>32. CORE FY2026E EPS LINKED TO THE MODEL - September 21, 2026</t>
  </si>
  <si>
    <t>FIXED - hard-typed core EPS</t>
  </si>
  <si>
    <t>Prose made live</t>
  </si>
  <si>
    <t>00 Contents B41, 06 Core EPS Bridge B28, 07 Consensus B48:B49, 11 Valuation D14, 12 Peers B24 and 13 EPIC Ranking B19 quoted ~10.85, ~30.6x, roughly 31x or +18.8% core growth. Each now reads the figure live from D18/D20. Notes already marked SUPERSEDED were left as a record.</t>
  </si>
  <si>
    <t>Scenario switch set to 1 (BASE)</t>
  </si>
  <si>
    <t>Found at 2. Set to Base because the base case is the central estimate and the headline core multiple now follows the switch. Change '16 Scenarios' D6 to see the other cases.</t>
  </si>
  <si>
    <t>'06 Core EPS Bridge'!D18 held a hard-typed 10.85 (H1 actual core plus an assumed H2 path) that predated the model and drove the ~30.6x forward core multiple on 11 Valuation C14, 00 Contents and 12 Peers. D18 now links to '17 Model' L48. Base case: 11.31 core EPS, 29.4x forward core P/E (best 11.86 / 28.0x, worst 10.56 / 31.5x).</t>
  </si>
  <si>
    <t>•  Q1'26 quarterly figures are as filed. Diluted EPS CORE rows are DERIVED (see '06 Core EPS Bridge').</t>
  </si>
  <si>
    <t>Not-yet-in-service balance ties to '08 PPE and Depreciation'</t>
  </si>
  <si>
    <t>Filed figure, '08 PPE and Depreciation' row 24</t>
  </si>
  <si>
    <t>Depreciation run rate ties to '08 PPE and Depreciation'</t>
  </si>
  <si>
    <t>08 PPE and Depreciation' row 27, annualised H1 x 2</t>
  </si>
  <si>
    <t>Preferred dividend ties to '05 Capital Structure'</t>
  </si>
  <si>
    <t>05 Capital Structure' row 24</t>
  </si>
  <si>
    <t>Forecast diluted shares tie to '05 Capital Structure'</t>
  </si>
  <si>
    <t>Share price ties to '11 Valuation'</t>
  </si>
  <si>
    <t>F. 18 MODEL SUMMARY MIRRORS 17 MODEL</t>
  </si>
  <si>
    <t>33. FULL-WORKBOOK HEALTH CHECK - September 22, 2026</t>
  </si>
  <si>
    <t>Reviewed every populated cell across all 28 tabs, all 1,545 formulas, both audit sheets, all nine charts and all three scenario settings.</t>
  </si>
  <si>
    <t>FIXED - downside narrative</t>
  </si>
  <si>
    <t>FIXED - stale textual references</t>
  </si>
  <si>
    <t>REMOVED - empty tab</t>
  </si>
  <si>
    <t>Deleted the unused, completely empty Sheet1 tab.</t>
  </si>
  <si>
    <t>Source: '08 PPE and Depreciation'. H1'26 depreciation of 13,586 doubled; this is the base the new assets layer on top of.</t>
  </si>
  <si>
    <t>1.  DEPRECIATION LIFE SPLIT.  Sheet '08 PPE and Depreciation' states it outright: the split of the 122,814 of assets-not-yet-in-service between short- and long-lived classes is the single most sensitive assumption in the model, it is NOT disclosed, and it should be scenarioed rather than point-estimated. On a 6-year life that tranche alone adds ~20,500/yr against a ~27,200 run rate - a ~75% increase before any further capex.</t>
  </si>
  <si>
    <t>Source: '06 Core EPS Bridge', row 7 on the pack TTM convention</t>
  </si>
  <si>
    <t>27 sheets; 1,545 formulas. Switch 1 and 2: 26/26 pack checks and 46/46 model checks tie with no error values. Switch 3: both audits still fully tie; only four deliberate #N/A cells remain at '17 Model'!L85:O85 to suppress meaningless P/FCF on negative FCF. Scenario restored to 1 (BASE CASE). All nine charts retain named series.</t>
  </si>
  <si>
    <t>4.  Columns H,I,J are HISTORICAL (FY2023, FY2024, FY2025) and are linked live from '01 Income Statement', '03 Segments', '06 Core EPS Bridge', '09 Cash Flow' and '11 Valuation' - they are not retyped. Column K is TTM Jun'26. Columns L through P are the five forecast years FY2026E-FY2030E.</t>
  </si>
  <si>
    <t>$ millions except per-share. H:J historical, linked live from '01 Income Statement', '03 Segments', '06 Core EPS Bridge', '09 Cash Flow' and '11 Valuation'. K = TTM Jun'26. L:P forecast.</t>
  </si>
  <si>
    <t>Corrected 27 post-renumbering or outdated narrative references across Contents, Quarterly, Capital Structure, Valuation, EPIC Ranking, Model Cover, Assumptions, Scenarios, Model, Model Summary and Model Audit. No source data changed.</t>
  </si>
  <si>
    <t>FY2028 CONSENSUS - major public provider</t>
  </si>
  <si>
    <t>FY2028 EPS - consensus ($)</t>
  </si>
  <si>
    <t>FY2028 revenue - consensus</t>
  </si>
  <si>
    <t>FY2028 EBIT - consensus</t>
  </si>
  <si>
    <t>FY2028 operating margin - consensus %</t>
  </si>
  <si>
    <t>FY2028 FCF - consensus</t>
  </si>
  <si>
    <t>filed / DERIVED TTM consolidated NI; see common-income note</t>
  </si>
  <si>
    <t>•  RESOLVED 2026-09-22: derived TTM consolidated net income is 244,205. The Q2 2026 10-Q reports H1'26 net income of 174,771 but only 174,685 available to common stockholders after 86 of preferred dividends. On the common-income basis, FY2025 132,170 + H1'26 174,685 - H1'25 62,736 = 244,119, effectively the provider's 244,120 after rounding. Keep row 18 as consolidated net income; per-share work must deduct preferred dividends separately.</t>
  </si>
  <si>
    <t>DCF MARKET INPUTS - sourced starter set</t>
  </si>
  <si>
    <t>Input</t>
  </si>
  <si>
    <t>Basis / date</t>
  </si>
  <si>
    <t>U.S. 10-year Treasury yield</t>
  </si>
  <si>
    <t>Latest available close Sep 21 2026; U.S. Treasury daily curve</t>
  </si>
  <si>
    <t>U.S. implied equity risk premium</t>
  </si>
  <si>
    <t>Damodaran July 2026 update</t>
  </si>
  <si>
    <t>GOOGL beta (5Y monthly)</t>
  </si>
  <si>
    <t>Cost of equity (CAPM)</t>
  </si>
  <si>
    <t>Live link to model assumption</t>
  </si>
  <si>
    <t>Live link to '05 Capital Structure'</t>
  </si>
  <si>
    <t>Live link to H1'26 weighted-average diluted shares</t>
  </si>
  <si>
    <t>Credit quality</t>
  </si>
  <si>
    <t>AA+</t>
  </si>
  <si>
    <t>S&amp;P issuer rating; stable outlook, Aug 6 2026</t>
  </si>
  <si>
    <t>Scope note</t>
  </si>
  <si>
    <t>MarketScreener, Alphabet financial forecasts and estimates - FY2028 revenue, EBIT, EPS, margin and FCF</t>
  </si>
  <si>
    <t>marketscreener.com</t>
  </si>
  <si>
    <t>2 High-quality data provider</t>
  </si>
  <si>
    <t>https://www.marketscreener.com/quote/stock/ALPHABET-INC-24203373/finances/</t>
  </si>
  <si>
    <t>Alphabet Q2 2026 Form 10-Q - consolidated net income and income available to common stockholders</t>
  </si>
  <si>
    <t>U.S. Treasury Daily Treasury Par Yield Curve Rates - September 2026</t>
  </si>
  <si>
    <t>home.treasury.gov</t>
  </si>
  <si>
    <t>https://home.treasury.gov/resource-center/data-chart-center/interest-rates/TextView?field_tdr_date_value=2026&amp;type=daily_treasury_yield_curve</t>
  </si>
  <si>
    <t>Aswath Damodaran, Equity Risk Premiums by Country - July 2026 update</t>
  </si>
  <si>
    <t>pages.stern.nyu.edu</t>
  </si>
  <si>
    <t>https://pages.stern.nyu.edu/~adamodar/pc/implprem/ERPJuly26.xlsx</t>
  </si>
  <si>
    <t>Yahoo Finance, Alphabet Inc. quote statistics - five-year monthly beta</t>
  </si>
  <si>
    <t>34. PRIORITY DATA PULL STARTED - September 22, 2026</t>
  </si>
  <si>
    <t>FY2028 consensus added</t>
  </si>
  <si>
    <t>07 Consensus' B56:D61 now carries MarketScreener FY2028 estimates: EPS 17.80, revenue 736,055, EBIT 262,626, operating margin 35.68%, and FCF 13,721.</t>
  </si>
  <si>
    <t>$85 residual resolved</t>
  </si>
  <si>
    <t>The difference is the preferred dividend allocation, not unexplained noncontrolling interest. H1'26 net income is 174,771; income available to common is 174,685 after 86 of preferred dividends. TTM common income calculates to 244,119 versus the provider's rounded 244,120.</t>
  </si>
  <si>
    <t>DCF inputs staged</t>
  </si>
  <si>
    <t>11 Valuation' B55:D65 adds dated risk-free rate 4.96%, U.S. ERP 4.42%, beta 1.23, calculated cost of equity 10.40%, and live links for tax, net cash and diluted shares. Terminal growth and debt spread remain explicit analyst choices.</t>
  </si>
  <si>
    <t>Sources added</t>
  </si>
  <si>
    <t>Next build</t>
  </si>
  <si>
    <t>Complete the DCF schedule and equity bridge after selecting terminal growth and the debt-cost convention.</t>
  </si>
  <si>
    <t>Completed. Source register now totals 210 URLs; Base and Best have no error values, Worst retains only the four deliberate P/FCF #N/A cells. Both audits tie 26/26 and 46/46 in every scenario; switch restored to Base.</t>
  </si>
  <si>
    <t>35. FORMULA-COLOUR CONVENTION CHECK - September 22, 2026</t>
  </si>
  <si>
    <t>Corrected</t>
  </si>
  <si>
    <t>Applied BLUE to new sourced inputs on '07 Consensus' C57:C61 and '11 Valuation' C57:C59/C64; BLACK to the same-sheet CAPM formula at C60 and source-row numbering formulas; GREEN to cross-sheet links at C61:C63. No values or formulas changed.</t>
  </si>
  <si>
    <t>Cash-flow valuation</t>
  </si>
  <si>
    <t>BASE</t>
  </si>
  <si>
    <t>BEST</t>
  </si>
  <si>
    <t>WORST</t>
  </si>
  <si>
    <t>Scenario engine</t>
  </si>
  <si>
    <t>DCF Base Model</t>
  </si>
  <si>
    <t>DCF Best Model</t>
  </si>
  <si>
    <t>DCF Worst Model</t>
  </si>
  <si>
    <t>PV H2 FY2026E</t>
  </si>
  <si>
    <t>PV FY2027E</t>
  </si>
  <si>
    <t>PV FY2028E</t>
  </si>
  <si>
    <t>PV FY2029E</t>
  </si>
  <si>
    <t>PV FY2030E</t>
  </si>
  <si>
    <t>PV terminal value</t>
  </si>
  <si>
    <t>Add: net cash</t>
  </si>
  <si>
    <t>Less: preferred claim</t>
  </si>
  <si>
    <t>Equity value</t>
  </si>
  <si>
    <t>IMPLIED VALUE / SHARE</t>
  </si>
  <si>
    <t>Reference share price</t>
  </si>
  <si>
    <t>UPSIDE / (DOWNSIDE)</t>
  </si>
  <si>
    <t>PV terminal value / operating value</t>
  </si>
  <si>
    <t>VALUATION ASSUMPTIONS</t>
  </si>
  <si>
    <t>Risk-free rate</t>
  </si>
  <si>
    <t>U.S. equity risk premium</t>
  </si>
  <si>
    <t>GOOGL beta</t>
  </si>
  <si>
    <t>Cost of equity</t>
  </si>
  <si>
    <t>AA corporate spread</t>
  </si>
  <si>
    <t>Pre-tax cost of debt</t>
  </si>
  <si>
    <t>Market capitalization</t>
  </si>
  <si>
    <t>Debt weight</t>
  </si>
  <si>
    <t>Reference WACC</t>
  </si>
  <si>
    <t>Terminal growth</t>
  </si>
  <si>
    <t>Net cash</t>
  </si>
  <si>
    <t>Preferred liquidation claim</t>
  </si>
  <si>
    <t>Valuation date</t>
  </si>
  <si>
    <t>U.S. Treasury, Sep 21 2026</t>
  </si>
  <si>
    <t>ICE BofA AA OAS via FRED, Sep 10 2026</t>
  </si>
  <si>
    <t>Risk-free plus AA spread</t>
  </si>
  <si>
    <t>Live model assumption</t>
  </si>
  <si>
    <t>Live valuation output</t>
  </si>
  <si>
    <t>Debt / (debt + equity)</t>
  </si>
  <si>
    <t>Mandatory convertible preferred</t>
  </si>
  <si>
    <t>Last filed balance-sheet date</t>
  </si>
  <si>
    <t>BASE-CASE VALUE / SHARE SENSITIVITY</t>
  </si>
  <si>
    <t>AA corporate option-adjusted spread</t>
  </si>
  <si>
    <t>ICE BofA AA index via FRED, Sep 10 2026</t>
  </si>
  <si>
    <t>10-year Treasury plus AA spread</t>
  </si>
  <si>
    <t>Market-value weights; reference only for future FCFF DCF</t>
  </si>
  <si>
    <t>ICE BofA AA US Corporate Index option-adjusted spread via FRED</t>
  </si>
  <si>
    <t>fred.stlouisfed.org</t>
  </si>
  <si>
    <t>1 Primary data</t>
  </si>
  <si>
    <t>https://fred.stlouisfed.org/series/BAMLC0A2CAA</t>
  </si>
  <si>
    <t>Test</t>
  </si>
  <si>
    <t>Calculated</t>
  </si>
  <si>
    <t>Expected</t>
  </si>
  <si>
    <t>Base engine fixed to 1</t>
  </si>
  <si>
    <t>Best engine fixed to 2</t>
  </si>
  <si>
    <t>Worst engine fixed to 3</t>
  </si>
  <si>
    <t>Cost of equity rebuild</t>
  </si>
  <si>
    <t>Debt cost rebuild</t>
  </si>
  <si>
    <t>Base equity bridge</t>
  </si>
  <si>
    <t>Best equity bridge</t>
  </si>
  <si>
    <t>Worst equity bridge</t>
  </si>
  <si>
    <t>Case</t>
  </si>
  <si>
    <t>Value / share</t>
  </si>
  <si>
    <t>Current price</t>
  </si>
  <si>
    <t>Base</t>
  </si>
  <si>
    <t>Best</t>
  </si>
  <si>
    <t>Worst</t>
  </si>
  <si>
    <t>VALUATION READ-THROUGH</t>
  </si>
  <si>
    <t>Architecture</t>
  </si>
  <si>
    <t>Terminal value</t>
  </si>
  <si>
    <t>Controls</t>
  </si>
  <si>
    <t>Active scenario switch is valid (1-3)</t>
  </si>
  <si>
    <t>BALANCE SHEET AND DEBT ASSUMPTIONS</t>
  </si>
  <si>
    <t>Receivables as % of revenue</t>
  </si>
  <si>
    <t>Other current assets as % of revenue</t>
  </si>
  <si>
    <t>Current liabilities as % of revenue</t>
  </si>
  <si>
    <t>Other liabilities as % of revenue</t>
  </si>
  <si>
    <t>Goodwill held constant</t>
  </si>
  <si>
    <t>Other non-current assets held constant</t>
  </si>
  <si>
    <t>Common dividend per share</t>
  </si>
  <si>
    <t>New debt issuance</t>
  </si>
  <si>
    <t>Debt repayments</t>
  </si>
  <si>
    <t>Jun'26 receivables divided by TTM revenue; held constant.</t>
  </si>
  <si>
    <t>Jun'26 current assets excluding cash/securities and receivables, divided by TTM revenue; held constant.</t>
  </si>
  <si>
    <t>Jun'26 current liabilities divided by TTM revenue; held constant.</t>
  </si>
  <si>
    <t>Jun'26 liabilities excluding current liabilities and debt, divided by TTM revenue; held constant.</t>
  </si>
  <si>
    <t>Jun'26 goodwill; no acquisition forecast.</t>
  </si>
  <si>
    <t>Jun'26 residual non-current assets; held constant.</t>
  </si>
  <si>
    <t>MarketScreener consensus DPS through FY2028E; 5% growth thereafter.</t>
  </si>
  <si>
    <t>Zero by default. Enter gross issuance if financing plans change.</t>
  </si>
  <si>
    <t>Zero by default. Enter principal repayment as a positive number.</t>
  </si>
  <si>
    <t>Jun'26A</t>
  </si>
  <si>
    <t>ASSETS</t>
  </si>
  <si>
    <t>Cash &amp; marketable securities</t>
  </si>
  <si>
    <t>Other current assets</t>
  </si>
  <si>
    <t>TOTAL CURRENT ASSETS</t>
  </si>
  <si>
    <t>Net PP&amp;E</t>
  </si>
  <si>
    <t>Other non-current assets</t>
  </si>
  <si>
    <t>TOTAL ASSETS</t>
  </si>
  <si>
    <t>LIABILITIES AND EQUITY</t>
  </si>
  <si>
    <t>Current liabilities</t>
  </si>
  <si>
    <t>Other liabilities</t>
  </si>
  <si>
    <t>TOTAL LIABILITIES</t>
  </si>
  <si>
    <t>Total equity (balancing output)</t>
  </si>
  <si>
    <t>TOTAL LIABILITIES &amp; EQUITY</t>
  </si>
  <si>
    <t>BALANCE CHECK</t>
  </si>
  <si>
    <t>CASH AND DEBT SCHEDULE</t>
  </si>
  <si>
    <t>Beginning cash &amp; securities</t>
  </si>
  <si>
    <t>Levered FCF after capex</t>
  </si>
  <si>
    <t>Common dividends</t>
  </si>
  <si>
    <t>Preferred dividends</t>
  </si>
  <si>
    <t>Debt repayment</t>
  </si>
  <si>
    <t>ENDING CASH &amp; SECURITIES</t>
  </si>
  <si>
    <t>Beginning debt</t>
  </si>
  <si>
    <t>ENDING DEBT</t>
  </si>
  <si>
    <t>Interest expense at reference debt cost</t>
  </si>
  <si>
    <t>NET CASH / (DEBT)</t>
  </si>
  <si>
    <t>Debt / EBITDA</t>
  </si>
  <si>
    <t>EQUITY BRIDGE</t>
  </si>
  <si>
    <t>Beginning equity</t>
  </si>
  <si>
    <t>Other equity / valuation movements</t>
  </si>
  <si>
    <t>ENDING EQUITY</t>
  </si>
  <si>
    <t>BALANCE-SHEET CHECKS</t>
  </si>
  <si>
    <t>Balance check</t>
  </si>
  <si>
    <t>Cash roll-forward check</t>
  </si>
  <si>
    <t>Debt roll-forward check</t>
  </si>
  <si>
    <t>PP&amp;E roll-forward check</t>
  </si>
  <si>
    <t>Equity bridge check</t>
  </si>
  <si>
    <t>Cash remains non-negative</t>
  </si>
  <si>
    <t>Debt remains non-negative</t>
  </si>
  <si>
    <t>Scenario switch is valid</t>
  </si>
  <si>
    <t>Notes: Cash is rolled from filed Jun'26 liquidity using levered FCF, dividends and explicit debt activity. Equity is the balancing output; the separate 'Other equity / valuation movements' row exposes the residual needed to reconcile because the model does not forecast OCI, securities revaluation, acquisitions or detailed working capital. Debt is held flat unless the blue issuance/repayment inputs on '15 Assumptions' are changed.</t>
  </si>
  <si>
    <t>Unlevered FCFF valuation as of June 30, 2026 | $ millions except per-share | all three operating scenarios shown simultaneously</t>
  </si>
  <si>
    <t>Forecast FCFF</t>
  </si>
  <si>
    <t>H2 FY2026E FCFF (FY less filed H1)</t>
  </si>
  <si>
    <t>FY2027E FCFF</t>
  </si>
  <si>
    <t>FY2028E FCFF</t>
  </si>
  <si>
    <t>FY2029E FCFF</t>
  </si>
  <si>
    <t>FY2030E FCFF</t>
  </si>
  <si>
    <t>ENTERPRISE VALUE</t>
  </si>
  <si>
    <t>H1'26 normalized FCFF</t>
  </si>
  <si>
    <t>WACC / terminal growth</t>
  </si>
  <si>
    <t>WACC rebuild</t>
  </si>
  <si>
    <t>Terminal growth below WACC</t>
  </si>
  <si>
    <t>Live balance-sheet, cash, debt and equity roll-forwards following the active scenario, with eight checks.</t>
  </si>
  <si>
    <t>CAPM reference; FCFF is discounted at WACC</t>
  </si>
  <si>
    <t>Primary discount rate for unlevered FCFF</t>
  </si>
  <si>
    <t>36. THREE-SCENARIO FCFF DCF AND EQUITY BRIDGE - September 22, 2026</t>
  </si>
  <si>
    <t>Built unlevered FCFF as operating income after tax plus depreciation and SBC, plus the modeled operating-cash adjustment, less capex. Used a Jun 30 2026 valuation date and deducted normalized filed H1 FCFF from FY2026E.</t>
  </si>
  <si>
    <t>Discount rate</t>
  </si>
  <si>
    <t>Added a 0.59% AA spread, 5.55% pre-tax cost of debt and 10.23% market-value WACC. The DCF now uses WACC; CAPM cost of equity remains 10.40%.</t>
  </si>
  <si>
    <t>Uses a 3.0% perpetual-growth assumption and half-year discounting. A 5x5 Base sensitivity spans 9%-12% WACC and 2%-4% terminal growth.</t>
  </si>
  <si>
    <t>Implied value per share: Base 149.14, Best 231.91, Worst 9.91 versus reference price 332.13. No displayed Base sensitivity combination reaches the market price.</t>
  </si>
  <si>
    <t>Eleven DCF checks added; chart compares current price with all three scenario values. Blue/black/green convention applied throughout.</t>
  </si>
  <si>
    <t>37. FORECAST BALANCE SHEET AND DEBT SCHEDULE - September 22, 2026</t>
  </si>
  <si>
    <t>New sheet</t>
  </si>
  <si>
    <t>Cash and debt</t>
  </si>
  <si>
    <t>Cash rolls from filed liquidity through levered FCF, common and preferred dividends, and explicit debt issuance/repayment assumptions. Debt is held at 120,790 by default; blue assumption rows can change it.</t>
  </si>
  <si>
    <t>PP&amp;E and working capital</t>
  </si>
  <si>
    <t>Net PP&amp;E rolls forward from filed Jun'26 PP&amp;E using modeled capex and depreciation. Receivables, other current assets and liabilities use transparent Jun'26-to-TTM-revenue ratios.</t>
  </si>
  <si>
    <t>Equity bridge</t>
  </si>
  <si>
    <t>Total equity is the balancing output. A separate Other equity / valuation movements row exposes the residual for OCI, securities revaluation, acquisitions and omitted detail rather than hiding it.</t>
  </si>
  <si>
    <t>Eight balance-sheet checks cover balance, cash, debt, PP&amp;E, equity, liquidity, debt non-negativity and the scenario switch.</t>
  </si>
  <si>
    <t>Complete. Pack Audit 26/26, Model Audit 46/46 and DCF Audit 11/11 tie at all three settings. The DCF values remain Base 149.14, Best 231.91 and Worst 9.91; active switch restored to Base.</t>
  </si>
  <si>
    <t>Complete. All eight balance-sheet checks tie in Base, Best and Worst. Base FY2030E cash and securities are 554,153, debt 120,790 and net cash 433,363; active switch restored to Base.</t>
  </si>
  <si>
    <t>Landscape, fit to one page wide, consistent margins and restrained headers/footers; analytical sheets repeat their title/header band where useful.</t>
  </si>
  <si>
    <t>PARTS 1 to 7 in narrative order, matching the tab colours along the bottom of the window:</t>
  </si>
  <si>
    <t>Price used throughout '11 Valuation'.</t>
  </si>
  <si>
    <t>38. FORMAT AND SHEET-NAME AUDIT - September 22, 2026</t>
  </si>
  <si>
    <t>Audited all 35 sheets: 29 visible presentation sheets plus six hidden DCF scenario-engine sheets. Checked table-of-contents names, current narrative references, gridlines, fonts, title treatment and formula colors.</t>
  </si>
  <si>
    <t>Contents updated</t>
  </si>
  <si>
    <t>Added complete descriptions for sheets 13-18A and 23; removed the duplicate thesis line; updated the resolved net-income item, completed FY2028/DCF language, source count, 91-check total, seven-part key and current 29-visible/6-hidden sheet structure.</t>
  </si>
  <si>
    <t>Typography and titles</t>
  </si>
  <si>
    <t>Standardized all visible sheets to Arial with gridlines off and an 18pt blue title over a navy rule. Corrected the four chart sheets, the two new model sheets, Contents, Guidance and Change Log.</t>
  </si>
  <si>
    <t>Formula colors</t>
  </si>
  <si>
    <t>Applied BLUE #0000FF to numeric hard inputs, BLACK #000000 to numeric same-sheet formulas and GREEN #008000 to numeric cross-sheet formulas. Preserved white header/KPI text and gray narrative formulas for readability.</t>
  </si>
  <si>
    <t>Sheet references</t>
  </si>
  <si>
    <t>Explains the forward-model architecture, source links, scenario design and scope.</t>
  </si>
  <si>
    <t>Central model inputs for growth, margin, capex, depreciation, tax, financing and balance-sheet drivers.</t>
  </si>
  <si>
    <t>One visible switch drives Base, Best and Worst operating assumptions.</t>
  </si>
  <si>
    <t>Integrated revenue, earnings, depreciation and cash-flow forecast through FY2030E.</t>
  </si>
  <si>
    <t>Scenario-linked operating summary and narrative interpretation.</t>
  </si>
  <si>
    <t>Complete. Contents lists every visible analytical sheet with its current name and purpose; all 29 visible sheets use Arial, gridlines off and the standard title treatment. Representative input/formula colors verified, and all 91 checks remain tied.</t>
  </si>
  <si>
    <t>00 — ALPHABET (GOOGL) RESEARCH DATA PACK</t>
  </si>
  <si>
    <t>01 — CONSOLIDATED INCOME STATEMENT</t>
  </si>
  <si>
    <t>02 — QUARTERLY INCOME STATEMENT</t>
  </si>
  <si>
    <t>03 — SEGMENT REVENUE, OPERATING INCOME, GROWTH AND MARGIN</t>
  </si>
  <si>
    <t>04 — BALANCE SHEET</t>
  </si>
  <si>
    <t>05 — CAPITAL STRUCTURE AFTER THE JUNE 2026 RAISE</t>
  </si>
  <si>
    <t>06 — NORMALIZED (CORE) EPS BRIDGE</t>
  </si>
  <si>
    <t>08 — PROPERTY &amp; EQUIPMENT AND DEPRECIATION BASE</t>
  </si>
  <si>
    <t>09 — CASH FLOW AND FREE CASH FLOW</t>
  </si>
  <si>
    <t>10 — CAPEX GUIDANCE TRAIL AND MANAGEMENT QUOTES</t>
  </si>
  <si>
    <t>12 — MEGA-CAP COMPARISON</t>
  </si>
  <si>
    <t>13 — EPIC RANKING</t>
  </si>
  <si>
    <t>14 — MODEL COVER</t>
  </si>
  <si>
    <t>15 — ASSUMPTIONS</t>
  </si>
  <si>
    <t>16 — SCENARIOS</t>
  </si>
  <si>
    <t>17 — OPERATING MODEL</t>
  </si>
  <si>
    <t>18 — FORECAST BALANCE SHEET AND DEBT SCHEDULE</t>
  </si>
  <si>
    <t>19 — MODEL SUMMARY</t>
  </si>
  <si>
    <t>20 — DCF VALUATION AND EQUITY BRIDGE</t>
  </si>
  <si>
    <t>18 Balance Sheet</t>
  </si>
  <si>
    <t>19 Model Summary</t>
  </si>
  <si>
    <t>20 DCF Valuation</t>
  </si>
  <si>
    <t>Every cited URL, with verification status and quality classification.</t>
  </si>
  <si>
    <t>Chronological record of workbook changes, audit findings and repairs.</t>
  </si>
  <si>
    <t>•  FY2028 CONSENSUS IS SOURCED and the valuation layer is complete. '07 Consensus' carries FY2028 EPS, revenue, EBIT, operating margin and FCF; '18 Balance Sheet' carries the forecast balance sheet; '20 DCF Valuation' carries the three-scenario FCFF/WACC valuation.</t>
  </si>
  <si>
    <t>The model now includes '18 Balance Sheet': a live cash, debt and equity roll-forward from the filed Jun'26 opening position. It is deliberately compact rather than a fully disaggregated three-statement model; the 'Other equity / valuation movements' row exposes the residual for unmodeled OCI, securities revaluation, acquisitions and detailed working capital instead of hiding it.</t>
  </si>
  <si>
    <t>Valuation continuation: '18 Balance Sheet' carries the live balance-sheet and debt roll-forward, while '20 DCF Valuation' discounts unlevered FCFF across all three scenarios and bridges enterprise value to common equity. The balance-sheet residual is explicitly disclosed rather than concealed in a plug line.</t>
  </si>
  <si>
    <t>11 Valuation; 20 DCF Valuation</t>
  </si>
  <si>
    <t>10 Guidance and Quotes' (prose) and '27 Sources' (258-row URL register) were left unstyled by design - they are reference text, not exhibits.</t>
  </si>
  <si>
    <t>25 Pack Audit' contains 26 live cross-sheet checks, rows 6-31. Each recomputes a figure from primary cells and compares it to what the workbook states.</t>
  </si>
  <si>
    <t>Consider page breaks so long sheets ('27 Sources', 258 rows) break at logical blocks rather than arbitrarily.</t>
  </si>
  <si>
    <t>Six sheets: '14 Model Cover', '15 Assumptions', '16 Scenarios', '17 Model', '26 Model Audit', '19 Model Summary'. The pack was NOT converted or restructured - all 17 original sheets are untouched in content and layout.</t>
  </si>
  <si>
    <t>25 Pack Audit' check 24 was CIRCULAR</t>
  </si>
  <si>
    <t>25 Pack Audit' check 25 was CIRCULAR and had no independent source</t>
  </si>
  <si>
    <t>Honest check count on '25 Pack Audit'</t>
  </si>
  <si>
    <t>Arial throughout (was Calibri on sheets 00-16); gridlines turned off on '25 Pack Audit' and '28 Change Log', which were the only two sheets still showing them; row-2 titles set to 18pt #008ED6 over a medium navy rule; column-header rows set as navy #002F6C banners with white bold text at row height 18; sub-section heading rows set to a pale #EAF1FA band with a thin navy underline; note blocks set to 9pt italic.</t>
  </si>
  <si>
    <t>26 Model Audit' and '19 Model Summary' had no formatting applied and no tab colour. Both now match the rest of the workbook and carry the purple #6B2D5C control-layer tab colour.</t>
  </si>
  <si>
    <t>No cell value, formula or number format was changed by this pass. Font COLOURS were left untouched so the blue-input / black-formula / green-link convention still reads correctly. '25 Pack Audit' re-verified at 26/26 TIES and '26 Model Audit' at 46/46 TIES after the restyle.</t>
  </si>
  <si>
    <t>Order is now: PART 1 evidence (01 Income Statement, 02 Quarterly, 03 Segments, 04 Balance Sheet, 05 Capital Structure); PART 2 the distortion (06 Core EPS Bridge, 07 Consensus); PART 3 what drives cash (08 PPE and Depreciation, 09 Cash Flow, 10 Guidance and Quotes); PART 4 the verdict (11 Valuation, 12 Peers, 13 EPIC Ranking); PART 5 the forward model (14 Model Cover, 15 Assumptions, 16 Scenarios, 17 Model, 19 Model Summary); PART 6 verification and provenance (25 Pack Audit, 26 Model Audit, 27 Sources, 28 Change Log).</t>
  </si>
  <si>
    <t>M Cover, M Assumptions, M Scenarios, M Model, M Summary and M Audit are now 14 Model Cover, 15 Assumptions, 16 Scenarios, 17 Model, 19 Model Summary and 26 Model Audit. The old '15 Audit' is now '25 Pack Audit' to distinguish it from the model audit.</t>
  </si>
  <si>
    <t>Excel rewrote all 564 cross-sheet formula references automatically during the rename. A non-destructive probe on a scratch sheet confirmed this behaviour before any sheet was renamed. Full recalculation afterwards returned 1,074 formulas and ZERO error values. '25 Pack Audit' 26/26 TIES and '26 Model Audit' 46/46 TIES.</t>
  </si>
  <si>
    <t>23 sheets, 1,074 formulas, 564 of them cross-sheet references, ZERO error values in the workbook. '25 Pack Audit' 26/26 TIES. '26 Model Audit' 46/46 TIES. Scenario switch '16 Scenarios'!D6 left on 1 (Base Case).</t>
  </si>
  <si>
    <t>Full recalculation run. '25 Pack Audit' 26/26 TIES, '26 Model Audit' 46/46 TIES, zero error values across all 23 sheets.</t>
  </si>
  <si>
    <t>23 sheets. 1,082+ formulas, 564 cross-sheet references, zero error values. '25 Pack Audit' 26/26 TIES. '26 Model Audit' 46/46 TIES. Price basis $332.13. Scenario selector on '16 Scenarios' set to 1 (Base).</t>
  </si>
  <si>
    <t>Sections 16 and 17 stated '26 Model Audit' 52/52. The sheet returns 46/46 and always has - 52 was a stale figure carried forward in prose. C120 and C131 corrected.</t>
  </si>
  <si>
    <t>Full row-by-row audit of ''27 Sources'' - 237 cited URLs across rows 6-242, plus the verification summary block.</t>
  </si>
  <si>
    <t>B43 repeated the same totals in prose. It now reads its URL count and dead-link count live from ''27 Sources'', so the two sheets can no longer disagree.</t>
  </si>
  <si>
    <t>Full recalculation run. Zero blank descriptions, zero fragments, zero markdown artefacts, zero misaligned rows, zero error values across all 23 sheets. '25 Pack Audit' 26/26 TIES, '26 Model Audit' 46/46 TIES.</t>
  </si>
  <si>
    <t>Full recalculation. Zero error values across all 23 sheets. '25 Pack Audit' 26 of 26 TIES, '26 Model Audit' 46 of 46 TIES. No figure on any analytical sheet changed - this pass touched citations only.</t>
  </si>
  <si>
    <t>19 Model Summary' B24:B27</t>
  </si>
  <si>
    <t>27 Sources' B212:B218</t>
  </si>
  <si>
    <t>27 Sources' row 210</t>
  </si>
  <si>
    <t>Full recheck of '15 Assumptions', '16 Scenarios', '17 Model', '19 Model Summary' and '26 Model Audit'. Every forecast row was tested for formula consistency across FY2026E-FY2030E, and the whole model was run under all three scenarios.</t>
  </si>
  <si>
    <t>DEFECT FOUND - '19 Model Summary' B25</t>
  </si>
  <si>
    <t>DEFECT FOUND - '19 Model Summary' B27</t>
  </si>
  <si>
    <t>FIXED - '19 Model Summary' B3</t>
  </si>
  <si>
    <t>26 Model Audit' re-derives from the research pack (sheets 01, 03, 06, 08, 09, 11, 05), NOT from the model it is checking, so the 46 ties are a genuine cross-check and not circular. The footer count is a live COUNTIF, not typed.</t>
  </si>
  <si>
    <t>26 Model Audit' ties only five assumptions (checks 39-43) back to a filed source. The growth, margin and capex series carry no audit tie because there is no filed figure to tie a forecast to. Noted rather than fixed.</t>
  </si>
  <si>
    <t>A row was INSERTED at 73, so operating cash flow is now row 74 and every row below shifts by one. Excel rewrote the dependent references on 19 Model Summary and 26 Model Audit automatically. H73:K73 now compute the historical residual so it is visible rather than implied. L73:P73 read the new input 15 Assumptions C57, held at zero deliberately, because the TTM residual is mostly deferred tax on the equity-securities gain and that gain is forecast at zero.</t>
  </si>
  <si>
    <t>At switch 3, '17 Model' L85:O85 return #N/A by design (P/FCF on negative free cash flow), and '19 Model Summary' B26 and B27 return #N/A because their MATCH looks for a year in which free cash flow clears FY2023 and there is none. B27 is the worst-case narrative, so it breaks in exactly the case it describes. Both predate this entry; the pre-edit file showed seven error cells at switch 3.</t>
  </si>
  <si>
    <t>Switch 1: 46 of 46 checks tie, 0 error cells. Switch 2: 46 of 46 checks tie, 0 error cells. Switch 3: 46 of 46 checks tie, 26 error cells: the pre-existing P/FCF #N/A at '17 Model' L85:O85 and the '19 Model Summary' B26:B27 #N/A, now counted across the merged B:L cells. '26 Model Audit' check 30 assumed forecast gains were always zero; it now tests reported net income less after-tax marks against core net income. The Python replica reproduces every figure. Scenario switch restored to 2 as found.</t>
  </si>
  <si>
    <t>Switch 1: 46 of 46 checks tie, pack audit 0 fails, 0 error cells. Switch 2: 46 of 46 checks tie, 0 fails, 0 error cells. Switch 3: 46 of 46 checks tie, 0 fails, 26 error cells (the pre-existing P/FCF and 19 Model Summary B26:B27 #N/A).</t>
  </si>
  <si>
    <t>Cells B26:B27 on '19 Model Summary' returned #N/A in the worst case because FCF never clears the FY2023 level within FY2026E-FY2030E. Both formulas now state that outcome explicitly instead of attempting an impossible MATCH.</t>
  </si>
  <si>
    <t>Five sources appended to '27 Sources': MarketScreener, Alphabet's Q2 2026 10-Q, U.S. Treasury, Damodaran, and Yahoo Finance.</t>
  </si>
  <si>
    <t>Added visible '20 DCF Valuation' plus six hidden scenario-engine sheets. Each hidden model remains formula-linked to the research pack and assumptions, with its own fixed Base, Best or Worst driver switch.</t>
  </si>
  <si>
    <t>Added '18 Balance Sheet', linked live to the active scenario, with Jun'26 opening balances and FY2026E-FY2030E forecasts.</t>
  </si>
  <si>
    <t>Updated current references to '18 Balance Sheet', '20 DCF Valuation', '11 Valuation' and the seven-part structure. Historical change-log entries remain dated records rather than being rewritten.</t>
  </si>
  <si>
    <t>DCF BASE DRIVERS — HIDDEN HELPER</t>
  </si>
  <si>
    <t>DCF BEST DRIVERS — HIDDEN HELPER</t>
  </si>
  <si>
    <t>DCF WORST DRIVERS — HIDDEN HELPER</t>
  </si>
  <si>
    <t>DCF BASE MODEL — HIDDEN HELPER</t>
  </si>
  <si>
    <t>DCF BEST MODEL — HIDDEN HELPER</t>
  </si>
  <si>
    <t>DCF WORST MODEL — HIDDEN HELPER</t>
  </si>
  <si>
    <t>39. FINAL SEQUENTIAL RENUMBERING - September 22, 2026</t>
  </si>
  <si>
    <t>Final sequence</t>
  </si>
  <si>
    <t>All 29 visible sheets now run sequentially from 00 Contents through 28 Change Log. Six hidden DCF scenario-engine sheets keep descriptive helper names and are excluded from the visible sequence.</t>
  </si>
  <si>
    <t>Renamed sheets</t>
  </si>
  <si>
    <t>17A Balance Sheet -&gt; 18 Balance Sheet; 18 Model Summary -&gt; 19 Model Summary; 18A DCF Valuation -&gt; 20 DCF Valuation; former sheets 19-26 shifted to 21-28.</t>
  </si>
  <si>
    <t>On-sheet titles</t>
  </si>
  <si>
    <t>Every visible B2 title now begins with its exact two-digit sheet number and uses the standard 18pt blue title treatment.</t>
  </si>
  <si>
    <t>References</t>
  </si>
  <si>
    <t>Excel remapped formula references during the rename. Fifty-one remaining plain-text or formula-string references were updated across Contents, model notes, source tags and this change log.</t>
  </si>
  <si>
    <t>Contents</t>
  </si>
  <si>
    <t>The table of contents now exactly matches all 28 visible analytical tabs after Contents, with no missing or extra entries.</t>
  </si>
  <si>
    <t>Pack Audit 26/26, Model Audit 46/46, Balance Sheet 8/8 and DCF Audit 11/11 tie in Base, Best and Worst. No formula errors were found; scenario restored to Base.</t>
  </si>
  <si>
    <t>40. SESSION CLOSE AND SAVE - September 22, 2026</t>
  </si>
  <si>
    <t>Workbook structure</t>
  </si>
  <si>
    <t>29 visible sheets numbered sequentially 00-28, plus six hidden scenario-engine sheets.</t>
  </si>
  <si>
    <t>Final controls</t>
  </si>
  <si>
    <t>Pack Audit 26/26; Model Audit 46/46; Balance Sheet 8/8; DCF Audit 11/11.</t>
  </si>
  <si>
    <t>Scenario</t>
  </si>
  <si>
    <t>16 Scenarios'!D6 is 1 (BASE CASE).</t>
  </si>
  <si>
    <t>Sheet names, on-sheet titles, table of contents, formulas, chart typography, print settings and blue/black/green conventions are synchronized.</t>
  </si>
  <si>
    <t>Save status</t>
  </si>
  <si>
    <t>Close-out entry written and verified. The host blocked the automated save command; confirm AutoSave shows Saved or press Ctrl+S before closing Excel.</t>
  </si>
  <si>
    <t>Capex intensity, % of revenue, base</t>
  </si>
  <si>
    <t>Capex intensity, % of revenue, best</t>
  </si>
  <si>
    <t>Capex intensity, % of revenue, worst</t>
  </si>
  <si>
    <t>Capex intensity, % of revenue</t>
  </si>
  <si>
    <t>Capital expenditures (revenue x intensity)</t>
  </si>
  <si>
    <t>Capex row is revenue times the intensity driver, FY2026E</t>
  </si>
  <si>
    <t>Capex is now driven off revenue, not a dollar input. Re-derived as revenue times intensity, negated.</t>
  </si>
  <si>
    <t>G. CAPEX IS REVENUE-DRIVEN AND THE FOUR MODELS AGREE</t>
  </si>
  <si>
    <t>Capex row is revenue times intensity, FY2030E</t>
  </si>
  <si>
    <t>Revenue row 18 times driver row 26, negated</t>
  </si>
  <si>
    <t>Hidden base engine matches 17 Model on capex when both are on base</t>
  </si>
  <si>
    <t>Guards the four synchronised model copies against silent divergence</t>
  </si>
  <si>
    <t>All three hidden engines carry the same intensity driver source</t>
  </si>
  <si>
    <t>Each engine resolves its own scenario from the same three assumption rows</t>
  </si>
  <si>
    <t>CAPITAL EFFICIENCY CONTROL - does the capex earn its cost of capital?</t>
  </si>
  <si>
    <t>Cumulative capex FY2026E-FY2030E</t>
  </si>
  <si>
    <t>Cumulative depreciation FY2026E-FY2030E</t>
  </si>
  <si>
    <t>NOPAT FY2030E</t>
  </si>
  <si>
    <t>NOPAT FY2025 actual</t>
  </si>
  <si>
    <t>Capex / depreciation, FY2030E</t>
  </si>
  <si>
    <t>Net new invested capital</t>
  </si>
  <si>
    <t>Increase in NOPAT vs FY2025</t>
  </si>
  <si>
    <t>INCREMENTAL ROIC on the five-year build</t>
  </si>
  <si>
    <t>Spread over WACC</t>
  </si>
  <si>
    <t>Net reinvestment as % of FY2030E NOPAT</t>
  </si>
  <si>
    <t>Sum of the model capex row across the five forecast years</t>
  </si>
  <si>
    <t>Increase in NOPAT divided by net new invested capital. This is the return the five-year build earns.</t>
  </si>
  <si>
    <t>Positive means the build creates value at the reference WACC; negative means it destroys value.</t>
  </si>
  <si>
    <t>Terminal growth divided by the net reinvestment rate. A perpetuity that reinvests this heavily for 3% growth implies this return on capital forever.</t>
  </si>
  <si>
    <t>41. CAPEX PATHS MADE REVENUE-DRIVEN - September 23, 2026</t>
  </si>
  <si>
    <t>Capex was fifteen hard-typed dollar inputs on '15 Assumptions' rows 32 to 34, linked to nothing in the model. The worst case held capex above 40% of revenue for five straight years while revenue grew slowest, which pushed depreciation to 27% of revenue by FY2030E and produced an 11.1% operating margin and a 9.91 value per share. That is an arithmetic corner of two independent inputs, not a business scenario a management team would run.</t>
  </si>
  <si>
    <t>Change</t>
  </si>
  <si>
    <t>Rows 32 to 34 now hold capex intensity as a share of revenue. Base 41.0, 36.0, 32.0, 28.0, 25.0. Best 40.0, 32.0, 26.0, 21.0, 18.0. Worst 42.0, 40.0, 35.0, 30.0, 26.0. All three FY2026E figures land inside the 195,000 to 205,000 guidance range.</t>
  </si>
  <si>
    <t>Wiring</t>
  </si>
  <si>
    <t>17 Model' row 75 is revenue times the resolved intensity, and row 60 reads back off row 75. The same change was applied to the three hidden DCF engines. The four Drivers sheets keep the CHOOSE pattern and needed no formula change, because they already point at assumption rows 32 to 34.</t>
  </si>
  <si>
    <t>FY2030E capex is 214,061 base, 174,670 best and 187,504 worst. Worst-case FY2030E operating margin rises from 11.1% to 15.3% and free cash flow from 10,996 to 107,914. Value per share is 146.55 base, 237.38 best and 97.23 worst, against 149.14, 231.91 and 9.91 before.</t>
  </si>
  <si>
    <t>New control</t>
  </si>
  <si>
    <t>20 DCF Valuation' rows 61 to 76 carry a capital efficiency block: cumulative capex, net new invested capital, incremental ROIC on the five-year build, spread over WACC, capex over depreciation at FY2030E, and the perpetual ROIC implied by terminal reinvestment. Incremental ROIC is 12.7% base, 28.8% best and -3.0% worst against a 10.23% WACC.</t>
  </si>
  <si>
    <t>Audit</t>
  </si>
  <si>
    <t>Check 28 tested capex against the dollar driver and was repaired to test revenue times intensity. Checks 47 to 49 were added for the FY2030E capex build and for agreement across the four synchronised model copies. 49 of 49 tie at all three switch settings.</t>
  </si>
  <si>
    <t>Still open</t>
  </si>
  <si>
    <t>Capex earns no revenue anywhere in the model. Every dollar raises depreciation and lowers free cash flow, and none of it lifts the segment growth rates, so the model books the whole cost of the AI build and none of its benefit. The incremental ROIC figures above are implied by assumptions set independently rather than derived. Fix this before the DCF is used to set a lean.</t>
  </si>
  <si>
    <t>Cloud revenue added per $ of prior-year capex, base</t>
  </si>
  <si>
    <t>Cloud revenue added per $ of prior-year capex, best</t>
  </si>
  <si>
    <t>Cloud revenue added per $ of prior-year capex, worst</t>
  </si>
  <si>
    <t>Fade stage switch (1 = on, 0 = off)</t>
  </si>
  <si>
    <t>1 values the business through a fade to terminal growth (20 DCF Valuation rows 14 to 22). 0 reverts to the method used before 2026-09-24: terminal value struck on FY2030E, which drops from 12.5% revenue growth straight to perpetual growth.</t>
  </si>
  <si>
    <t>Fade length, years (1 to 10)</t>
  </si>
  <si>
    <t>Return on new invested capital after FY2030E, base</t>
  </si>
  <si>
    <t>Return on new invested capital after FY2030E, best</t>
  </si>
  <si>
    <t>Best: new capital keeps earning about what the existing base earns.</t>
  </si>
  <si>
    <t>Return on new invested capital after FY2030E, worst</t>
  </si>
  <si>
    <t>Worst: competition pushes returns on new capital to about the cost of capital, so growth after FY2030E adds almost no value.</t>
  </si>
  <si>
    <t>row 74</t>
  </si>
  <si>
    <t>81.8% in Q2'26. FY2026E only: from FY2027E Cloud revenue follows prior-year capex at rows 74 to 76, so D18:G18 are no longer inputs (retired 2026-09-24).</t>
  </si>
  <si>
    <t>Parallel shift on all six segments. Best case = AI monetisation lands faster than base. From FY2027E Cloud follows capex (rows 74 to 76), so the shift reaches Cloud in FY2026E only.</t>
  </si>
  <si>
    <t>Google Cloud (FY2027E on: output of row 24)</t>
  </si>
  <si>
    <t>Cloud revenue per $ of prior-year capex</t>
  </si>
  <si>
    <t>Return on new capital after FY2030E</t>
  </si>
  <si>
    <t>FY2031E</t>
  </si>
  <si>
    <t>FY2032E</t>
  </si>
  <si>
    <t>FY2033E</t>
  </si>
  <si>
    <t>FY2034E</t>
  </si>
  <si>
    <t>FY2035E</t>
  </si>
  <si>
    <t>FY2036E</t>
  </si>
  <si>
    <t>FY2037E</t>
  </si>
  <si>
    <t>FY2038E</t>
  </si>
  <si>
    <t>FY2039E</t>
  </si>
  <si>
    <t>FY2040E</t>
  </si>
  <si>
    <t>Year in fade</t>
  </si>
  <si>
    <t>Revenue growth, fading to terminal growth</t>
  </si>
  <si>
    <t>Fade stage (1 on, 0 off)</t>
  </si>
  <si>
    <t>15 Assumptions row 78; engines rows 87 to 95</t>
  </si>
  <si>
    <t>Fade length (years)</t>
  </si>
  <si>
    <t>Growth fades linearly to terminal growth</t>
  </si>
  <si>
    <t>Terminal value (FY2040E with fade, FY2030E without)</t>
  </si>
  <si>
    <t>PV fade stage FY2031E-FY2040E</t>
  </si>
  <si>
    <t>Memo: value / share with the fade switched off</t>
  </si>
  <si>
    <t>Implied perpetual ROIC if FY2030E were the terminal year</t>
  </si>
  <si>
    <t>Verdict on that terminal year (fade off)</t>
  </si>
  <si>
    <t>H. CAPEX EARNS CLOUD REVENUE AND THE FADE ENDS IN A STEADY STATE</t>
  </si>
  <si>
    <t>Cloud FY2028E is FY2027E Cloud plus the return on FY2027E capex</t>
  </si>
  <si>
    <t>Re-derived from 15 Assumptions rows 74 to 76, bypassing 16 Scenarios</t>
  </si>
  <si>
    <t>Hidden base engine matches 17 Model on Cloud when both are on base</t>
  </si>
  <si>
    <t>Guards the four model copies on the new Cloud wiring</t>
  </si>
  <si>
    <t>All three engines carry the same capex-return source</t>
  </si>
  <si>
    <t>Fade ends at terminal growth, so FY2040E is a steady state</t>
  </si>
  <si>
    <t>Fails if the fade length exceeds the ten modelled years</t>
  </si>
  <si>
    <t>Re-derived from 15 Assumptions C80, bypassing the Drivers sheet</t>
  </si>
  <si>
    <t>42. CAPEX GIVEN A RETURN AND A FADE STAGE ADDED - September 24, 2026</t>
  </si>
  <si>
    <t>Entry 41 recorded that capex earned no revenue. Tested 2026-09-24, that diagnosis was wrong in substance: the Cloud growth rates already implied about 23 cents of new annual Cloud revenue per dollar of prior-year capex in the base case (history 31 and 29 cents), and linking the two moves value little. The DCF was low mainly because the forecast stopped at FY2030E with revenue still growing 12.5% and then dropped straight to 3% perpetual growth, with growth-level capex carried into the terminal year.</t>
  </si>
  <si>
    <t>From FY2027E, Cloud revenue is the prior year's Cloud revenue plus a stated return on the prior year's capex: '15 Assumptions' rows 74 to 76, resolved on '16 Scenarios' row 24, set to reproduce the old Cloud path (base 0.224 to 0.250, best 0.243 to 0.374, worst 0.201 to 0.195). FY2026E keeps its growth rate. A fade stage runs FY2031E to FY2040E: growth fades linearly to terminal growth over '15 Assumptions' C79 years, the FY2030E operating margin is held, and net reinvestment is growth divided by the return on new capital (C80 to C82: 15% base, 25% best, 10% worst) times NOPAT. The terminal value moves to FY2040E. Setting C78 to 0 values off FY2030E as before.</t>
  </si>
  <si>
    <t>17 Model row 14 from FY2027E reads the resolved return and prior-year capex, and rows 87 to 95 hold the fade; the same change is in all three hidden engines. 16 Scenarios row 22 from FY2027E is now an output (implied Cloud growth) and '15 Assumptions' D18:G18 are no longer inputs. 20 DCF Valuation rows 14, 15, 21 and 22 carry the fade, row 31 keeps the no-fade value as a memo, row 32 shows each engine's return on new capital, and the sensitivity grid includes the fade cash flows.</t>
  </si>
  <si>
    <t>With the fade off, the link reproduces the old values within 3 cents (146.55, 237.41, 97.24). With the fade on, value per share is 202.74 base, 343.73 best and 100.31 worst against 332.13. A Python replica tied to the workbook reproduced every figure before the workbook was edited.</t>
  </si>
  <si>
    <t>Checks 50 to 54 added to 26 Model Audit: the Cloud link re-derived from the assumption rows, agreement of the hidden base engine on Cloud, one capex-return source across the three engines, the fade ending at terminal growth, and the terminal FCFF identity. 54 of 54 tie at all three switch settings.</t>
  </si>
  <si>
    <t>The fade adds back stock-based compensation, as the explicit years do, while diluted shares stay flat; fixing that lowers every value. The return on new capital after FY2030E is an analyst input, not a derived figure: base value runs from 172 at a 10.23% return (the WACC) to 229 at 25%. The FY2027E margin gap to consensus (30.8% against 35.3%) is now the largest open lever.</t>
  </si>
  <si>
    <t>H1 2025 weighted-average diluted</t>
  </si>
  <si>
    <t>Filed, Q2 2025 10-Q. Used to roll TTM share count the same way as TTM EPS</t>
  </si>
  <si>
    <t>ATM program drawn through June 30, 2026 (40,000 authorised)</t>
  </si>
  <si>
    <t>none sold at June 30 per the Q2 10-Q</t>
  </si>
  <si>
    <t>•  SHARE COUNT: rows 13 to 16 and 21 are filed weighted averages (corrected to the Q2 10-Q 2026-09-24). The forecast count on 17 Model row 37 grows by stock-based compensation issued at the reference price.</t>
  </si>
  <si>
    <t xml:space="preserve">  of which: gain on equity securities, net</t>
  </si>
  <si>
    <t>DERIVED TTM = FY2025 + H1'26 - H1'25, the same roll as TTM EPS</t>
  </si>
  <si>
    <t>Tolerance 0.015: filed EPS is rounded to the cent and TTM rolls three rounded figures</t>
  </si>
  <si>
    <t>Same relative tolerance as check 31</t>
  </si>
  <si>
    <t>H1'26 reported diluted EPS ties to H1 income to common / H1 diluted shares</t>
  </si>
  <si>
    <t>Diluted shares, H1'26 base (millions)</t>
  </si>
  <si>
    <t>Filed H1'26 weighted-average diluted, 05 Capital Structure. Buybacks are suspended, so the forecast count on 17 Model row 37 grows each year by stock-based compensation divided by the reference share price (FY2026E a quarter of that, for H2 issuance). The ATM exists to fund tax on those grants, so gross issuance is the right measure. Corrected 2026-09-24: this note used to say buybacks offset the June raise.</t>
  </si>
  <si>
    <t>Stock-based compensation, FY2030E share of revenue (memo: a cost, not added back)</t>
  </si>
  <si>
    <t>FCFF = NOPAT - net reinvestment</t>
  </si>
  <si>
    <t>H1 operating NOPAT + depreciation - capex (SBC is a cost)</t>
  </si>
  <si>
    <t>H1'26 weighted-average diluted (filed)</t>
  </si>
  <si>
    <t>Terminal FCFF equals NOPAT x (1 - g / RONIC), base engine</t>
  </si>
  <si>
    <t>One-off cash outflow FY2026E: EU Android fine plus interest</t>
  </si>
  <si>
    <t>Q2 2026 10-Q, Note 10: the Court of Justice denied the appeal in July 2026 and 'In July 2026, we made a cash payment of $5.2 billion for the fine plus accrued interest.' Accrued in 2018, so no P&amp;L effect; it reduces FY2026E operating cash flow at 17 Model L73 and H2 FCFF on 20 DCF Valuation.</t>
  </si>
  <si>
    <t>EV / EBITDA (TTM operating income + depreciation)</t>
  </si>
  <si>
    <t>filed-derived TTM</t>
  </si>
  <si>
    <t>filed-derived TTM consolidated NI (the provider showed 244,120)</t>
  </si>
  <si>
    <t>43. ACCURACY FIXES 1 TO 7 - September 24, 2026</t>
  </si>
  <si>
    <t>Filed figures</t>
  </si>
  <si>
    <t>Re-read from SEC XBRL and the Q2 2026 10-Q this session. Gains on equity securities were wrong in four periods and are now filed: FY2023 392 (was -823), FY2024 3,714 (2,671), FY2025 24,080 (24,620), Q1'25 9,758 (9,960), Q1'26 36,915 (36,804); TTM 148,982 (149,209). Diluted shares Q2'26 12,309, H1'26 12,274; basic 12,151 and 12,125. FY2025 EPS 10.81, H1'26 EPS 14.24. Jun'26 cash 55,911, securities 186,563, long-term debt 98,165. The ATM row said 30,400 drawn; none was sold by June 30, so the June raise is 49,500.</t>
  </si>
  <si>
    <t>SBC and shares</t>
  </si>
  <si>
    <t>FCFF no longer adds back stock-based compensation, in the explicit years, the fade or the H1 subtraction; it is a cost, and value per share uses today's filed diluted count. The forecast share count on 17 Model row 37 now grows by SBC divided by the reference price, since buybacks are suspended; it was held flat on the false note that buybacks offset the June raise.</t>
  </si>
  <si>
    <t>Android fine</t>
  </si>
  <si>
    <t>15 Assumptions C59 carries the 5,200 paid in July 2026 (fine plus interest, per the 10-Q). It reduces FY2026E operating cash flow and H2 FCFF; no P&amp;L effect, as it was accrued in 2018.</t>
  </si>
  <si>
    <t>Valuation and checks</t>
  </si>
  <si>
    <t>Enterprise value now adds the 19,000 preferred, and EV/EBITDA is built from TTM operating income plus depreciation rather than typed. TTM diluted shares roll FY + H1 - H1 like TTM EPS. Audit tolerances are now exact (1E-9 relative) except three rounding checks with a stated 0.015 EPS tolerance; the old 0.02 absolute tolerance was 6% of a margin.</t>
  </si>
  <si>
    <t>Value per share 144.44 base, 272.22 best, 55.85 worst (was 202.74, 343.73, 100.31). Almost all of the change is SBC; the fine is about 0.40 a share. Reproduced in the Python replica before the edit.</t>
  </si>
  <si>
    <t>Total debt of 120,790 includes about 20,600 of operating lease liabilities, while FCFF already pays lease costs, so net cash is understated by that amount (about 1.70 a share). Left for a decision, with the FY2027 margin test and the other-income line.</t>
  </si>
  <si>
    <t>Total debt (excl. operating leases)</t>
  </si>
  <si>
    <t>Filed: long-term debt + current portion + finance leases</t>
  </si>
  <si>
    <t>Memo: operating lease liabilities (not debt)</t>
  </si>
  <si>
    <t>Lease cost is already in operating expenses and FCFF</t>
  </si>
  <si>
    <t>Jun'26 filed debt incl. finance leases, excl. operating leases</t>
  </si>
  <si>
    <t>44. OPERATING LEASES REMOVED FROM DEBT - September 24, 2026</t>
  </si>
  <si>
    <t>Total debt carried operating lease liabilities (18,037 at Jun'26) while free cash flow already pays the lease cost inside operating expenses, so the leases were counted twice. The history was also inconsistent: Mar'26 omitted the current portion of debt and FY2024 matched no filed combination.</t>
  </si>
  <si>
    <t>04 Balance Sheet row 17 is now long-term debt plus current portion plus finance leases, all filed (XBRL): 14,536 FY2023, 13,559 FY2024, 51,043 FY2025, 81,713 Mar'26, 102,754 Jun'26. Operating lease liabilities move to a memo row 21. Finance leases stay in debt because their payments are financing cash flows.</t>
  </si>
  <si>
    <t>Knock-on</t>
  </si>
  <si>
    <t>Net cash 139,720 at Jun'26 (was 121,684). WACC 10.25% (was 10.23%) because the debt weight falls. 15 Assumptions C65 and 18 Balance Sheet row 20 now carry the leases inside other liabilities, and invested capital on 11 Valuation drops by the leases. The interest note on 02 Quarterly and 05 Capital Structure is corrected: interest income (1,430) still exceeds interest expense (1,278) in Q2'26.</t>
  </si>
  <si>
    <t>Value per share 145.24 base, 272.46 best, 57.07 worst (was 144.44, 272.22, 55.85), as the replica predicted before the edit.</t>
  </si>
  <si>
    <t>Checks</t>
  </si>
  <si>
    <t>54 of 54, pack 26 of 26, DCF 11 of 11 and balance sheet 8 of 8 at all three switch settings.</t>
  </si>
  <si>
    <t>Not yet in service at year end, years of capex</t>
  </si>
  <si>
    <t>Depreciation starts when assets are placed in service (FY2025 10-K policy), and about 0.9 years of capex is always waiting: not-yet-in-service was 0.96 years of capex at Dec'24, 0.86 at Dec'25 and 0.93 (TTM) at Jun'26. 17 Model row 56 holds that balance; placements are capex less its increase. Set 2026-09-24, entry 45; replaced 'the 122,814 enters service evenly over three years', which started depreciation on capex when spent.</t>
  </si>
  <si>
    <t>Blended life of assets placed in service (yrs)</t>
  </si>
  <si>
    <t>Not yet in service at year end (lag x capex)</t>
  </si>
  <si>
    <t>Increase in not yet in service</t>
  </si>
  <si>
    <t>(Jun'26 not-in-service balance: now placed through row 60)</t>
  </si>
  <si>
    <t>Placed in service = capex less increase in not yet in service</t>
  </si>
  <si>
    <t>Cumulative placed in service</t>
  </si>
  <si>
    <t>Charge on placements (quarter-year in FY2026E, half-year thereafter)</t>
  </si>
  <si>
    <t>FY2027E placements = capex less the increase in not yet in service</t>
  </si>
  <si>
    <t>Re-derived from capex and 15 Assumptions C42, bypassing rows 56-57</t>
  </si>
  <si>
    <t>Hidden base engine matches 17 Model on FY2030E depreciation when both are on base</t>
  </si>
  <si>
    <t>Guards the four model copies on the new depreciation wiring</t>
  </si>
  <si>
    <t>45. DEPRECIATION STARTS WHEN ASSETS ARE PLACED IN SERVICE - September 24, 2026</t>
  </si>
  <si>
    <t>The schedule depreciated capex from the day it was spent and also placed the Jun'26 not-yet-in-service balance over three years, so the balance fell to zero. Alphabet's policy starts depreciation when assets are ready for use, and the filed balance has held at 0.86 to 0.96 years of capex. The error put FY2027E depreciation at 61,475 against about 47,300 implied by consensus and 41,000 to 50,000 from the filed in-service base, and FY2030E at 145,425.</t>
  </si>
  <si>
    <t>15 Assumptions C42 is now the not-in-service lag (0.9 years of capex). In all four model copies row 56 is that balance, row 57 its increase, row 60 placements (capex less the increase) and row 58 is zero, since the Jun'26 balance is placed through row 60. Lives and the run-rate base are unchanged.</t>
  </si>
  <si>
    <t>Base depreciation 29,041 / 46,746 / 71,377 / 96,741 / 122,361 for FY2026E-FY2030E; FY2027E operating margin 33.4% (was 30.8%) against consensus 35.3%. Value per share 157.37 base, 283.71 best, 66.58 worst (was 145.24, 272.46, 57.07). The replica predicted each figure before the edit.</t>
  </si>
  <si>
    <t>Checks 55 and 56 added: placements re-derived from capex and the lag, and the hidden base engine against 17 Model on FY2030E depreciation.</t>
  </si>
  <si>
    <t>The remaining FY2027E gap to consensus is revenue (model 578,728 against 614,816) and about 1.9 points of non-depreciation margin; both are views. Consensus capex (257,000 FactSet, 298,205 MarketScreener) is well above the model's 208,342.</t>
  </si>
  <si>
    <t>H1'26 equity-securities marks per share, after tax ($)</t>
  </si>
  <si>
    <t>07 — CONSENSUS ESTIMATES AND THE IMPLIED NET MARGIN</t>
  </si>
  <si>
    <t>Each check recomputes the value independently from the ORIGINAL pack source and compares it to what 17 Model shows. Tolerance is exact (1E-9 relative) except where column G states otherwise. Re-runs automatically on recalculation.</t>
  </si>
  <si>
    <t>A1: direction word in '19 Model Summary' B25 matches the FY2026E-FY2030E reported margin move</t>
  </si>
  <si>
    <t>1 = the sentence uses the word implied by SIGN('17 Model'!P25-L25)</t>
  </si>
  <si>
    <t>Flip '16 Scenarios'!D6 between 1, 2 and 3 - every check above should stay TIES in all three cases. Flags in column F that read OK or WARNING are not counted.</t>
  </si>
  <si>
    <t>Memo line</t>
  </si>
  <si>
    <t>Deferred income taxes, liability</t>
  </si>
  <si>
    <t>filed, Q2 2026 10-Q balance sheet (R2)</t>
  </si>
  <si>
    <t>Deferred income taxes, asset</t>
  </si>
  <si>
    <t>Net deferred tax liability</t>
  </si>
  <si>
    <t>Increase in H1'26 as % of H1'26 equity-securities gains</t>
  </si>
  <si>
    <t>DERIVED: corroborates a ~21% rate on the gains</t>
  </si>
  <si>
    <t>Tax rate on equity-securities gains</t>
  </si>
  <si>
    <t>Override for the forecast core rate (blank = use row 86)</t>
  </si>
  <si>
    <t>Effective tax rate (core basis, forecast)</t>
  </si>
  <si>
    <t>Reported provision for income taxes</t>
  </si>
  <si>
    <t>less: tax on the equity-securities gain (row 7 x '15 Assumptions' C85)</t>
  </si>
  <si>
    <t>Core effective tax rate %</t>
  </si>
  <si>
    <t>Reported effective tax rate %, for reference</t>
  </si>
  <si>
    <t>Check: core tax + gain tax - reported tax (must be 0)</t>
  </si>
  <si>
    <t>filed-derived</t>
  </si>
  <si>
    <t>check</t>
  </si>
  <si>
    <t>Core effective tax rate applied % (row 36)</t>
  </si>
  <si>
    <t>Strip the gain on equity securities, tax the gain at the gains rate ('15 Assumptions' C85), treat the rest of reported tax as core tax, divide by diluted shares.</t>
  </si>
  <si>
    <t>•  Method (rebuilt 2026-10-07, entry 53): strip the gain on equity securities from pretax income; core tax is reported tax less the gain taxed at '15 Assumptions' C85 (rows 31-38). Before this, the blended period rate was applied to normalized income, which overstated core tax because the gains carry the higher rate.</t>
  </si>
  <si>
    <t>Core tax (hist: reported less gain x 15 Assumptions C85; fcst: core rate C10)</t>
  </si>
  <si>
    <t>DERIVED = H1'26 gain x (1 - gains tax rate, 15 Assumptions C85) / H1'26 diluted shares</t>
  </si>
  <si>
    <t>Reported NI less the gain after tax at 15 Assumptions C85 must equal core NI</t>
  </si>
  <si>
    <t>Both sides use the rebuilt core tax: reported tax less the gain at 15 Assumptions C85</t>
  </si>
  <si>
    <t>B1: core tax + tax on the gain = reported tax, every period on 06 Core EPS Bridge</t>
  </si>
  <si>
    <t>Sum of absolute differences across all eight period columns</t>
  </si>
  <si>
    <t>B1: 17 Model historical and TTM core tax equal the 06 rebuild</t>
  </si>
  <si>
    <t>TTM rolls FY2025 + H1'26 - H1'25 on the rebuilt core tax</t>
  </si>
  <si>
    <t>B1: core effective tax rate inside the 10%-22% sanity band (history and forecast)</t>
  </si>
  <si>
    <t>Counts periods outside the band; a failure flags a rate to re-check, not an arithmetic error</t>
  </si>
  <si>
    <t>Reinvestment fade switch (1 = fade from the FY2030E rate, 0 = growth / return from FY2031E)</t>
  </si>
  <si>
    <t>1 starts FY2031E net reinvestment at the FY2030E rate, (capex - depreciation) / NOPAT, and fades it linearly to terminal growth / return on new capital over the fade length (C79). 0 restores the 2026-09-24 method, growth / return from FY2031E, which jumped reinvestment from the FY2030E rate to about 77% of NOPAT and halved FY2031E FCFF.</t>
  </si>
  <si>
    <t>Terminal margin fade switch (1 = fade to row 106, 0 = hold the FY2030E margin)</t>
  </si>
  <si>
    <t>Terminal margin derivation (feeds row 106)</t>
  </si>
  <si>
    <t>Derivation</t>
  </si>
  <si>
    <t>Operating margin before the ramp, FY2030E (scenario)</t>
  </si>
  <si>
    <t>The scenario's FY2030E pre-ramp margin (16 Scenarios row 25 on each hidden engine).</t>
  </si>
  <si>
    <t>Base-period depreciation rate (TTM Jun'26 depreciation / revenue)</t>
  </si>
  <si>
    <t>Pre-ramp margin is struck after depreciation at this rate, so pre-ramp + this rate = margin before all depreciation.</t>
  </si>
  <si>
    <t>Blended depreciation life of placements (years)</t>
  </si>
  <si>
    <t>The life the model applies to every placement (17 Model row 62), by scenario.</t>
  </si>
  <si>
    <t>20 DCF Valuation H19.</t>
  </si>
  <si>
    <t>Rows 80-82.</t>
  </si>
  <si>
    <t>Not-yet-in-service lag (years of capex)</t>
  </si>
  <si>
    <t>Row 42. Placements trail capex by this lag; the model charges a half year on placements.</t>
  </si>
  <si>
    <t>Steady-state depreciation / capex</t>
  </si>
  <si>
    <t>Straight-line life L, capex growing at g: D/C = (1+g)^-(lag-0.5) x (1 - (1+g)^-L) / (g x L). Close to 1 at low growth.</t>
  </si>
  <si>
    <t>Terminal capex intensity consistent with the return on new capital</t>
  </si>
  <si>
    <t>Solves capex - depreciation = (g / return) x NOPAT with NOPAT = (pre-ramp + base rate - D/C x capex) x (1 - tax). DERIVED, no typed number.</t>
  </si>
  <si>
    <t>Terminal capex intensity override (blank = use row 100)</t>
  </si>
  <si>
    <t>Terminal capex intensity used</t>
  </si>
  <si>
    <t>Steady-state depreciation, % of revenue</t>
  </si>
  <si>
    <t>Capex intensity x D/C.</t>
  </si>
  <si>
    <t>Terminal operating margin, DERIVED</t>
  </si>
  <si>
    <t>Pre-ramp margin + base-period depreciation rate - steady-state depreciation.</t>
  </si>
  <si>
    <t>Terminal operating margin override (blank = use row 104)</t>
  </si>
  <si>
    <t>TERMINAL OPERATING MARGIN USED when C91 = 1</t>
  </si>
  <si>
    <t>Read by 16 Scenarios row 33 and each hidden Drivers sheet.</t>
  </si>
  <si>
    <t>Memo: net reinvestment / NOPAT implied by rows 102-106</t>
  </si>
  <si>
    <t>Equals row 108 when no override is used.</t>
  </si>
  <si>
    <t>Memo: g / return on new capital (the fade's terminal reinvestment rate)</t>
  </si>
  <si>
    <t>Memo: FY2030E reported operating margin (what C91 = 0 holds)</t>
  </si>
  <si>
    <t>Terminal operating margin (used when 15 Assumptions C91 = 1)</t>
  </si>
  <si>
    <t>FADE STAGE FY2031E-FY2040E - growth fades to terminal growth; net reinvestment fades from the FY2030E rate to growth / return on new capital (15 Assumptions C90); margin held or faded (C91)</t>
  </si>
  <si>
    <t>NOPAT (FY2030E margin held, or faded to the terminal margin when 15 Assumptions C91 = 1)</t>
  </si>
  <si>
    <t>Net reinvestment = rate (row 96) x NOPAT</t>
  </si>
  <si>
    <t>Net reinvestment rate, % of NOPAT (path set by 15 Assumptions C90)</t>
  </si>
  <si>
    <t>FY2030E net reinvestment rate = (capex - depreciation - working capital) / NOPAT</t>
  </si>
  <si>
    <t>FY2030E net reinvestment rate (% of NOPAT)</t>
  </si>
  <si>
    <t>(capex - depreciation) / NOPAT in the last explicit year</t>
  </si>
  <si>
    <t>FY2031E net reinvestment rate (first fade year)</t>
  </si>
  <si>
    <t>Equals FY2030E when 15 Assumptions C90 = 1</t>
  </si>
  <si>
    <t>Terminal net reinvestment rate (FY2040E)</t>
  </si>
  <si>
    <t>Terminal growth / return on new capital</t>
  </si>
  <si>
    <t>FY2031E FCFF / FY2030E FCFF</t>
  </si>
  <si>
    <t>Band 0.85-1.25; see row 86</t>
  </si>
  <si>
    <t>Reason when outside the band</t>
  </si>
  <si>
    <t>Live text</t>
  </si>
  <si>
    <t>Implied terminal ROIC = terminal growth / terminal reinvestment rate</t>
  </si>
  <si>
    <t>Equals the return on new capital when the fade is on</t>
  </si>
  <si>
    <t>FY2030E reported operating margin</t>
  </si>
  <si>
    <t>17 Model row 25 on each engine</t>
  </si>
  <si>
    <t>FY2040E operating margin used in the terminal year</t>
  </si>
  <si>
    <t>Equals FY2030E unless 15 Assumptions C91 = 1</t>
  </si>
  <si>
    <t>Derived terminal margin (15 Assumptions row 104)</t>
  </si>
  <si>
    <t>Steady state at the return on new capital; see 15 Assumptions rows 92-109</t>
  </si>
  <si>
    <t>Derived terminal capex intensity (15 Assumptions row 102)</t>
  </si>
  <si>
    <t>Compare FY2030E intensity on 15 Assumptions rows 32-34</t>
  </si>
  <si>
    <t>DCF AUDIT, CONTINUED (added 2026-10-07)</t>
  </si>
  <si>
    <t>Base: FY2031E / FY2030E FCFF inside 0.85-1.25</t>
  </si>
  <si>
    <t>Best: FY2031E / FY2030E FCFF inside 0.85-1.25</t>
  </si>
  <si>
    <t>Worst: FY2031E / FY2030E FCFF inside 0.85-1.25</t>
  </si>
  <si>
    <t>Method: FCFF equals operating income after tax plus depreciation, plus the modeled operating-cash adjustment, less capex, through FY2030E. Stock-based compensation is treated as a cost: it is already expensed in operating income and is not added back, and the per-share value uses today's diluted count. From FY2031E to FY2040E growth fades to terminal growth; net reinvestment fades from the FY2030E rate to growth divided by the return on new capital (15 Assumptions C90; 0 restores growth / return from FY2031E), and the operating margin is held at FY2030E or faded to a terminal margin (C91). The terminal value is struck on FY2040E and discounted at WACC. Net cash and equity stakes are added and the preferred claim deducted to reach common equity value.</t>
  </si>
  <si>
    <t>B2: FY2031E net reinvestment re-derived from capex, depreciation and the selected method</t>
  </si>
  <si>
    <t>Bypasses rows 96-97 and the Drivers sheet</t>
  </si>
  <si>
    <t>B2: FY2040E NOPAT re-derived (held margin compounding, or the terminal margin when C91 = 1)</t>
  </si>
  <si>
    <t>With both switches at 0 this is the 2026-09-24 method</t>
  </si>
  <si>
    <t>B2: hidden base engine matches 17 Model on FY2040E FCFF when both are on base</t>
  </si>
  <si>
    <t>Guards the four model copies on the new fade rows</t>
  </si>
  <si>
    <t>Google Cloud remaining performance obligations, Jun'26</t>
  </si>
  <si>
    <t>Q2 2026 10-Q revenue note: Cloud RPO of 513,900 within 519,500 total RPO at Jun 30, 2026 (also 03 Segments B46).</t>
  </si>
  <si>
    <t>Share of Cloud RPO expected to convert within 24 months</t>
  </si>
  <si>
    <t>Q2 2026 10-Q: 'just over 50%' expected to be recognised as revenue over the next 24 months. 50% is used, so the conversion is slightly understated.</t>
  </si>
  <si>
    <t>Warning threshold: non-backlog Cloud revenue as % of backlog conversion</t>
  </si>
  <si>
    <t>17 Model O112 shows a warning, not a failure, when modeled Cloud revenue over the 24 months exceeds the converting backlog by less than this.</t>
  </si>
  <si>
    <t>CROSS-CHECKS ADDED 2026-10-07: CLOUD BACKLOG (B3, entry 55) AND MIX-WEIGHTED PRE-RAMP MARGIN (B4, entry 56)</t>
  </si>
  <si>
    <t>H2'26E</t>
  </si>
  <si>
    <t>H1'28E</t>
  </si>
  <si>
    <t>24 months</t>
  </si>
  <si>
    <t>Modeled Cloud revenue in the 24 months after Jun'26 (H2'26E = FY2026E less filed H1; H1'28E = half of FY2028E, pro rata)</t>
  </si>
  <si>
    <t>Backlog expected to convert within 24 months (RPO x share, 15 Assumptions C112:C113)</t>
  </si>
  <si>
    <t>Implied non-backlog Cloud revenue (new business beyond signed contracts)</t>
  </si>
  <si>
    <t>Non-backlog as % of backlog conversion</t>
  </si>
  <si>
    <t>Flag (warning only, threshold 15 Assumptions C114)</t>
  </si>
  <si>
    <t>Cloud revenue added per $ of prior-year capex (cents)</t>
  </si>
  <si>
    <t>Gap to the FY2024-FY2025 average (cents)</t>
  </si>
  <si>
    <t>flag</t>
  </si>
  <si>
    <t>B3: modeled Cloud revenue beyond signed backlog, 24 months after Jun'26 (warning only, not counted)</t>
  </si>
  <si>
    <t>Non-backlog share of the 24-month Cloud total against the C114 threshold</t>
  </si>
  <si>
    <t>Pre-ramp margin source (0 = typed path rows 27-29, 1 = mix-weighted path)</t>
  </si>
  <si>
    <t>Segment margin change by FY2030E, vs H1'26 (linear from FY2026E)</t>
  </si>
  <si>
    <t>Google Services operating margin, change by FY2030E</t>
  </si>
  <si>
    <t>Google Cloud operating margin, change by FY2030E</t>
  </si>
  <si>
    <t>Other Bets + Alphabet-level costs, % of revenue, change by FY2030E</t>
  </si>
  <si>
    <t>Held. Alphabet-level costs grew faster than revenue in Q2'26 (03 Segments B45).</t>
  </si>
  <si>
    <t>H1'26 anchors (filed, 03 Segments and 09 Cash Flow)</t>
  </si>
  <si>
    <t>Treatment</t>
  </si>
  <si>
    <t>Google Services operating margin, H1'26</t>
  </si>
  <si>
    <t>Reported segment margin, after the segment's own H1'26 depreciation.</t>
  </si>
  <si>
    <t>Google Cloud operating margin, H1'26</t>
  </si>
  <si>
    <t>Reported segment margin. Cloud carries more depreciation than Services, so its margin before depreciation is higher; the split is not disclosed and no adjustment is made.</t>
  </si>
  <si>
    <t>Other Bets + Alphabet-level, % of revenue, H1'26</t>
  </si>
  <si>
    <t>Negative: these lines are losses.</t>
  </si>
  <si>
    <t>H1'26 depreciation above the base-period rate, % of revenue</t>
  </si>
  <si>
    <t>Converts the reported H1'26 margin to the pre-ramp basis used in rows 27-29, so each segment's depreciation is held at its H1'26 share of revenue and only the excess is charged as the ramp.</t>
  </si>
  <si>
    <t>Services margin change by FY2030E (mix path)</t>
  </si>
  <si>
    <t>Cloud margin change by FY2030E (mix path)</t>
  </si>
  <si>
    <t>Other Bets + Alphabet-level change by FY2030E (mix path)</t>
  </si>
  <si>
    <t>Google Services revenue share</t>
  </si>
  <si>
    <t>Google Cloud revenue share</t>
  </si>
  <si>
    <t>Google Services operating margin path</t>
  </si>
  <si>
    <t>Google Cloud operating margin path</t>
  </si>
  <si>
    <t>Other Bets + Alphabet-level, % of revenue</t>
  </si>
  <si>
    <t>MIX-WEIGHTED PRE-RAMP MARGIN (row 118 x 120 + row 119 x 121 + row 122 + 15 Assumptions C126)</t>
  </si>
  <si>
    <t>Typed pre-ramp path (15 Assumptions rows 27-29)</t>
  </si>
  <si>
    <t>Gap: mix-weighted less typed</t>
  </si>
  <si>
    <t>Anchored to H1'26 actual, where the equivalent was 35.3% (operating margin 35.0% plus depreciation at 5.9% of revenue, less 5.66%). Expands 0.5pp a year, a third of the roughly 1.5pp a year from FY2024 to TTM Jun'26, so most of the depreciation ramp still passes through to reported margin. Cross-check 2026-10-07: 17 Model rows 117-125 show this path against a mix-weighted path built from the model's own segment mix (switch at C117).</t>
  </si>
  <si>
    <t>B4: mix-weighted margin at H1'26 shares reproduces the H1'26 pre-ramp margin</t>
  </si>
  <si>
    <t>Re-derived from consolidated H1'26 operating income, bypassing the segment rows</t>
  </si>
  <si>
    <t>B4: 16 Scenarios FY2030E pre-ramp margin follows the source switch</t>
  </si>
  <si>
    <t>Typed path when C117 = 0, mix-weighted when 1</t>
  </si>
  <si>
    <t>B4: hidden base engine matches 17 Model on the FY2030E mix-weighted margin when both are on base</t>
  </si>
  <si>
    <t>Guards the four model copies on the new mix rows</t>
  </si>
  <si>
    <t>Beta option in use (1 raw, 2 Blume-adjusted, 3 bottom-up industry, 4 custom)</t>
  </si>
  <si>
    <t>Option 1: raw 5-year monthly beta</t>
  </si>
  <si>
    <t>Yahoo Finance, retrieved Sep 22 2026 (11 Valuation C59).</t>
  </si>
  <si>
    <t>Option 2: Blume-adjusted beta (0.67 x raw + 0.33)</t>
  </si>
  <si>
    <t>Blume (1975) adjustment toward 1.0, as used by Bloomberg's adjusted beta.</t>
  </si>
  <si>
    <t>Option 3 input: unlevered beta corrected for cash, Advertising</t>
  </si>
  <si>
    <t>Damodaran, Betas by Sector (US), data as of January 2026: Advertising, 52 firms, unlevered beta corrected for cash 1.01. pages.stern.nyu.edu/~adamodar/New_Home_Page/datafile/Betas.html</t>
  </si>
  <si>
    <t>Option 3 input: unlevered beta corrected for cash, Software (System &amp; Application)</t>
  </si>
  <si>
    <t>Same source: Software (System &amp; Application), 309 firms, 1.25. Software (Internet) is 1.59 on 29 firms; System &amp; Application is the closer match for Google Cloud's infrastructure and platform revenue.</t>
  </si>
  <si>
    <t>Option 3: bottom-up beta (H1'26 revenue-weighted, relevered at market D/E)</t>
  </si>
  <si>
    <t>Services weighted as Advertising, Cloud as Software, by H1'26 segment revenue (03 Segments). Cash-corrected because net cash is valued separately in the equity bridge. Relevered with Hamada at market D/E.</t>
  </si>
  <si>
    <t>Option 4: custom beta</t>
  </si>
  <si>
    <t>BETA USED</t>
  </si>
  <si>
    <t>Read by 11 Valuation C60 and 20 DCF Valuation H10.</t>
  </si>
  <si>
    <t>Risk-free + beta used (15 Assumptions C137) x ERP</t>
  </si>
  <si>
    <t>Yahoo Finance, retrieved Sep 22 2026. Raw beta; the selector at 15 Assumptions C130 chooses which beta the DCF uses</t>
  </si>
  <si>
    <t>SENSITIVITY, ALL THREE SCENARIOS: WACC 8.0% TO 12.0% (added 2026-10-07, entry 57)</t>
  </si>
  <si>
    <t>Each grid values one scenario engine with the same method as the headline: fade-stage cash flows held, terminal growth across the columns. Rows 140-180 repeat the calculation on a fine WACC step at the headline terminal growth to find the break-even WACC.</t>
  </si>
  <si>
    <t>BASE: WACC / terminal growth</t>
  </si>
  <si>
    <t>BEST: WACC / terminal growth</t>
  </si>
  <si>
    <t>WORST: WACC / terminal growth</t>
  </si>
  <si>
    <t>BREAK-EVEN WACC: VALUE / SHARE ON A FINE WACC STEP (added 2026-10-07, entry 57)</t>
  </si>
  <si>
    <t>WACC</t>
  </si>
  <si>
    <t>Break-even WACC (value = reference price)</t>
  </si>
  <si>
    <t>Value re-priced directly at that WACC (check)</t>
  </si>
  <si>
    <t>Helper: linear estimate between the bracketing fine-step rows</t>
  </si>
  <si>
    <t>Helper: value re-priced at the linear estimate</t>
  </si>
  <si>
    <t>Helper: secant refinement toward the price</t>
  </si>
  <si>
    <t>Linear interpolation between the two fine-step rows that bracket the reference price (row 186), refined by one secant step using the value re-priced at that estimate (rows 187-188); row 183 re-prices the scenario at the interpolated WACC, and DCF checks 15-17 require it to land within $1 of the price.</t>
  </si>
  <si>
    <t>Base: value at the break-even WACC is within $1 of the price</t>
  </si>
  <si>
    <t>Best: value at the break-even WACC is within $1 of the price</t>
  </si>
  <si>
    <t>Worst: value at the break-even WACC is within $1 of the price</t>
  </si>
  <si>
    <t>Grid formula at the headline WACC and growth reproduces the Base headline</t>
  </si>
  <si>
    <t>B5: beta used equals the selected option</t>
  </si>
  <si>
    <t>Re-derived from 11 Valuation C59 and the option inputs</t>
  </si>
  <si>
    <t>B5: cost of equity uses the beta used</t>
  </si>
  <si>
    <t>CAPM rebuilt outside 11 Valuation</t>
  </si>
  <si>
    <t>Equity stakes</t>
  </si>
  <si>
    <t>Marketable equity securities, inside marketable securities (row 7)</t>
  </si>
  <si>
    <t>filed, Q2 2026 10-Q financial instruments note (R12)</t>
  </si>
  <si>
    <t>Debt securities, inside marketable securities (government 51,822, corporate 26,157, MBS/ABS 21,521)</t>
  </si>
  <si>
    <t>Marketable equity securities in other non-current assets</t>
  </si>
  <si>
    <t>Non-marketable securities (balance-sheet line)</t>
  </si>
  <si>
    <t>of which non-marketable equity securities under the measurement alternative, carrying value</t>
  </si>
  <si>
    <t xml:space="preserve">   initial cost</t>
  </si>
  <si>
    <t xml:space="preserve">   cumulative upward adjustments</t>
  </si>
  <si>
    <t xml:space="preserve">   cumulative downward adjustments, including impairments</t>
  </si>
  <si>
    <t>Unrealized gain in the carrying value (row 44 less row 45)</t>
  </si>
  <si>
    <t>Deferred tax on that gain at '15 Assumptions' C85</t>
  </si>
  <si>
    <t>DERIVED; the 10-Q does not split the deferred tax liability (row 34) by holding</t>
  </si>
  <si>
    <t>Non-marketable equity securities, net of deferred tax (to 20 DCF Valuation row 25)</t>
  </si>
  <si>
    <t>Jun'26 cash and securities less debt; includes marketable equity, see row 27</t>
  </si>
  <si>
    <t>B6: non-marketable equity carrying value = initial cost + upward + downward adjustments (04 memo)</t>
  </si>
  <si>
    <t>Ties the R12 carrying-value table to itself</t>
  </si>
  <si>
    <t>B6: marketable equity + debt securities = marketable securities on the balance sheet</t>
  </si>
  <si>
    <t>Ties the R12 split to 04 Balance Sheet G7 (R2)</t>
  </si>
  <si>
    <t>SINGLE-LEVER BREAK-EVENS (base case, all other inputs at base)</t>
  </si>
  <si>
    <t>Lever</t>
  </si>
  <si>
    <t>Base value</t>
  </si>
  <si>
    <t>Break-even</t>
  </si>
  <si>
    <t>Distance</t>
  </si>
  <si>
    <t>Reference</t>
  </si>
  <si>
    <t>Reference basis</t>
  </si>
  <si>
    <t>WACC (live, 20 DCF Valuation C182)</t>
  </si>
  <si>
    <t>WACC at the bottom-up beta (15 Assumptions C135)</t>
  </si>
  <si>
    <t>Alphabet's TTM ROIC on average invested capital (11 Valuation C38)</t>
  </si>
  <si>
    <t>Cloud cents per capex $, flat FY2027E-FY2030E</t>
  </si>
  <si>
    <t>FY2024-FY2025 average (17 Model row 114)</t>
  </si>
  <si>
    <t>Pre-ramp margin expansion, points a year</t>
  </si>
  <si>
    <t>Pre-ramp equivalent, FY2024 to TTM Jun'26, per year</t>
  </si>
  <si>
    <t>Step</t>
  </si>
  <si>
    <t>Change in base</t>
  </si>
  <si>
    <t>What changes</t>
  </si>
  <si>
    <t>Step (base case)</t>
  </si>
  <si>
    <t>Review target</t>
  </si>
  <si>
    <t>This engine</t>
  </si>
  <si>
    <t>Difference</t>
  </si>
  <si>
    <t>WHAT THE PRICE NEEDS (live read-through)</t>
  </si>
  <si>
    <t>BREAK-EVEN WACC BY SCENARIO (live, 20 DCF Valuation rows 140-188)</t>
  </si>
  <si>
    <t>Headline WACC</t>
  </si>
  <si>
    <t>Method: each break-even is found by bisection on the workbook's own engines, so the reverse DCF uses exactly the forward model's logic. The script restores every input it touches and checks that the headline returns to its as-built value before it writes anything. Not investment advice.</t>
  </si>
  <si>
    <t>As built</t>
  </si>
  <si>
    <t>Current base, best and worst</t>
  </si>
  <si>
    <t>+ Cloud 30 cents per capex dollar</t>
  </si>
  <si>
    <t>15 Assumptions D74:G74 = 0.30 (history 29.5-31.4)</t>
  </si>
  <si>
    <t>+ pre-ramp margin +1pp a year</t>
  </si>
  <si>
    <t>15 Assumptions D27:G27 step 1.0pp a year from C27 (was 0.5pp)</t>
  </si>
  <si>
    <t>+ core tax (B1)</t>
  </si>
  <si>
    <t>Already in the base since entry 53: core rate 15 Assumptions C10</t>
  </si>
  <si>
    <t>+ return on new capital 20%</t>
  </si>
  <si>
    <t>15 Assumptions C80 = 20% (was 15%)</t>
  </si>
  <si>
    <t>+ WACC at beta 1.0</t>
  </si>
  <si>
    <t>Beta option 4 (custom) = 1.0</t>
  </si>
  <si>
    <t>+ WACC at beta 0.8</t>
  </si>
  <si>
    <t>Beta option 4 (custom) = 0.8</t>
  </si>
  <si>
    <t>Cloud 30 cents only</t>
  </si>
  <si>
    <t>Pre-ramp margin +1pp a year only</t>
  </si>
  <si>
    <t>Tax 16.5% only</t>
  </si>
  <si>
    <t>Return on new capital 20% only</t>
  </si>
  <si>
    <t>All four above</t>
  </si>
  <si>
    <t>All four + beta 1.0 (WACC 9.26%)</t>
  </si>
  <si>
    <t>All four + beta 0.8 (WACC 8.40%)</t>
  </si>
  <si>
    <t>Capex is set as a share of revenue on '15 Assumptions' rows 32 to 34, and from FY2027E Cloud revenue grows by a stated return on the prior year's capex (rows 74 to 76), so the build now earns revenue through an explicit input. Incremental ROIC above follows from that input and the margin path. Rows 75 and 76 describe the old method, terminal value on FY2030E; with the fade on, the return on new capital after FY2030E is the input shown at row 34. The fade-stage controls added 2026-10-07 are at rows 80-91.</t>
  </si>
  <si>
    <t>All 30 visible sheets use Arial, gridlines off, an 18pt blue title over a navy rule, navy table headers, pale-blue section bands and restrained notes.</t>
  </si>
  <si>
    <t>46. A1. MODEL SUMMARY B25 NOW DESCRIBES THE OUTPUT, NOT THE INPUT - October 7, 2026</t>
  </si>
  <si>
    <t>19 Model Summary B25 compared 16 Scenarios C25 and G25, the margin before the depreciation ramp, which is an input that rises 35.3% to 37.3% in the base case, and said operating margin 'expands' and that 'the depreciation load is absorbed rather than passed through'. The model's output, 17 Model row 25, falls from 35.0% (FY2026E) to 28.7% (FY2030E). The sentence said the opposite of what the model shows.</t>
  </si>
  <si>
    <t>B25 is rebuilt as live text. It states the input path (16 Scenarios row 25) and the output path (17 Model L25 to P25), takes its direction word from SIGN('17 Model'!P25-L25), and states how much of the FY2026E-FY2030E depreciation ramp (17 Model row 26 as a share of revenue) the pre-ramp expansion absorbs and how much passes through. B24's hard-typed $332.13 now reads 11 Valuation C6.</t>
  </si>
  <si>
    <t>No valuation change (157.37 / 283.71 / 66.58 before and after). Base now reads: reported margin compresses from 35.0% to 28.7%; the ramp adds 8.4 points of revenue in depreciation, the 2.0 points of pre-ramp expansion absorb 24% and 6.4 points pass through. Worst: the pre-ramp margin also falls, so the whole ramp passes through and reported margin falls 15.2 points.</t>
  </si>
  <si>
    <t>26 Model Audit check 57: the direction word in B25 matches SIGN('17 Model'!P25-L25). Ties in all three cases.</t>
  </si>
  <si>
    <t>None.</t>
  </si>
  <si>
    <t>47. A2. EPIC RANKING TEXT GENERATED FROM THE LIVE TOTALS - October 7, 2026</t>
  </si>
  <si>
    <t>13 EPIC Ranking C36 said 'H (19)' while column G shows 17; the score was re-rated 2026-09-21 and the note was not.</t>
  </si>
  <si>
    <t>C36 now names the top three and their scores from column G with AGGREGATE, ties listed in row order. The sweep made the hard-typed scores live in B17 (H), B21 (C), B22 (B), B23 (D), B24 (G), B25 (F) and B26 (the tie at 17), plus the figures in B17 (FY2027 EPS and its change), B20 (Q2 gain, reported and core EPS), B22 (Cloud growth), B25 (preferred and its dividend) and B26 (FY2027 margin, which said 'near 31%' and now reads the base engine's 33.4%).</t>
  </si>
  <si>
    <t>No valuation change. C36 reads 'H (17), B (17) and C (17)'.</t>
  </si>
  <si>
    <t>No new check named in the brief; the text cannot drift from column G.</t>
  </si>
  <si>
    <t>B18 is a SUPERSEDED note and keeps its original figures as a record.</t>
  </si>
  <si>
    <t>48. A3. 05 CAPITAL STRUCTURE RAISE FIGURE LINKED - October 7, 2026</t>
  </si>
  <si>
    <t>05 Capital Structure B36 said the '~80,000 raise'; C9 (TOTAL RAISED) is 49,500 as filed. The note predates the 2026-09-24 correction.</t>
  </si>
  <si>
    <t>B36 reads C9 and says 'common plus preferred, as filed'; the disclosure point is kept. The sweep made D25, B29, B31, B34 and B35 live (raise components, preferred dividend, net cash and its debt lines, the ex-gain other-income figures).</t>
  </si>
  <si>
    <t>No valuation change. B36 reads '49,500 raise'.</t>
  </si>
  <si>
    <t>None named.</t>
  </si>
  <si>
    <t>D9 'vs the $84,750 headline figure' is a provider figure with no cell; left as typed.</t>
  </si>
  <si>
    <t>49. A4. 07 CONSENSUS STALE FIGURES LINKED - October 7, 2026</t>
  </si>
  <si>
    <t>B42 said the implied net margin was 50.9% while C9 calculates 50.76%. B54 cited share counts of 12,265 and 12,305; the workbook uses 12,274 (H1'26 diluted) and 12,309 (Q2'26 diluted). B54 also said 'the ATM drawn', which the Q2 10-Q contradicts. B49 divided by a typed 9.13 for FY2025 core EPS, which the 2026-09-24 corrections had moved.</t>
  </si>
  <si>
    <t>B42 reads C9 (and is reframed under entry 50). B54 reads 05 Capital Structure C14 and C16 and now says the ATM was authorised but undrawn at Jun 30. New rows 63-64 derive consensus FY2026 EPS excluding the H1'26 marks (20.60 less the marks per share after tax); B48 and 00 Contents read it instead of a typed 11.57. B49 reads 06 Core EPS Bridge E12. D8, D12, D15 and B43 are live. B47 is marked SUPERSEDED, consistent with 13 EPIC Ranking B18, with its dispersion figures live.</t>
  </si>
  <si>
    <t>No valuation change. Implied net margin shows 50.8%. Consensus ex-marks is 11.57 at stage A and 11.85 after entry 53, because the marks are now taxed at the gains rate.</t>
  </si>
  <si>
    <t>50. A5. 'CONSENSUS IS WRONG' FRAMING REPLACED WITH THE SCREENING-ARTIFACT FRAMING - October 7, 2026</t>
  </si>
  <si>
    <t>00 Contents C14 called the implied-margin calculation 'the independent proof', B42 ('The one story') leaned on it, and 07 Consensus B42 headed it 'THE PROOF'. 13 EPIC Ranking row 17 already concedes that consensus is GAAP-basis and must include the H1'26 marks, that consensus ex-marks is about the model's core, and that FY2027 consensus drops the marks; GOOGL also fell 1.6% over the ten weeks in which reported EPS quadrupled (12 Peers).</t>
  </si>
  <si>
    <t>Rewritten as live text: 00 Contents C14 and B43 (was B42) and 07 Consensus B42; 07 Consensus title B2 drops 'PROOF'. The claim is now that the reported multiple is a screening artifact that misleads anyone striking a multiple off GAAP EPS, and that consensus and the market are not mis-specified. Kept: the 50.8% implied margin, the core versus reported gap, consensus ex-marks against the model core, FY2027 consensus dropping the marks, and the Q2 call where nobody asked about the gain.</t>
  </si>
  <si>
    <t>No valuation change.</t>
  </si>
  <si>
    <t>51. A6. DCF READ-THROUGH STATES THE DISCOUNT RATE IT DEPENDS ON - October 7, 2026</t>
  </si>
  <si>
    <t>20 DCF Valuation B58 said 'The current price exceeds even the Best-case DCF'. That holds only at the headline WACC; a lower WACC puts the Best case above the price.</t>
  </si>
  <si>
    <t>The sentence (now B60 after the bridge rows were inserted) keeps its logic and adds, live, the WACC at which the Best case and the Base case reach the price (row 182, from the fine WACC table built in entry 57), and points to the 8%-12% grids at rows 105-136.</t>
  </si>
  <si>
    <t>No valuation change. At the final state it reads: price exceeds Best by $3.74 at the 10.26% WACC; Best reaches the price at 10.19% and Base at 7.55%.</t>
  </si>
  <si>
    <t>DCF checks 15-17 (entry 57) re-price each scenario at its break-even WACC.</t>
  </si>
  <si>
    <t>52. A7. GLOBAL SWEEP OF HARD-TYPED FIGURES IN NOTES - October 7, 2026</t>
  </si>
  <si>
    <t>Notes quoting figures the workbook calculates were the main source of stale numbers, for example 15 Assumptions E57 quoted working-capital residuals of -7,278 / -10,244 / +11,074 / +37,295 against 17 Model's -6,063 / -9,201 / +10,534 / +37,068, H29 still described the retired 290,000 capex path, and 00 Contents C20 said 16.6x.</t>
  </si>
  <si>
    <t>Converted to live text or corrected. 00 Contents: C9, C14, C16, C20, C37, C38, B43 (was B42), B48, B49, B53 (was B52, live check counts), B69 (was B68, '43 of the 46 checks' removed). 01 Income Statement: H19, B25, B26. 02 Quarterly: B43, B44. 03 Segments: B43, B44, B45, B46. 04 Balance Sheet: B25, B26, B28, B29, B30. 05 Capital Structure: B29, B31, B34, B35, B36, D25. 06 Core EPS Bridge: B24, B25. 07 Consensus: B2, B42, B43, B47, B48, B49, B54, D8, D12, D15. 08 PPE and Depreciation: B35, B36, B38, B39, B40, D27, D29. 09 Cash Flow: B26, B27, B29, B30, B33. 10 Guidance and Quotes: B32. 11 Valuation: B30, D11, D13, D18. 12 Peers: B24, B25, B26, B27, B28. 13 EPIC Ranking: B17, B20-B26, C36. 15 Assumptions: B51, E36, E57, E80, H29, H45. 16 Scenarios: B10, B11, B12, E31. 19 Model Summary: B24, B25. 20 DCF Valuation: B42 (was B40), B39 (was B37, a hard-typed 0.1023 WACC row, now =H18), B78 (row references). 26 Model Audit: B3 (tolerance text), C44, G48.</t>
  </si>
  <si>
    <t>Every converted note recalculates; the error scan finds no #VALUE! or #REF! in any note.</t>
  </si>
  <si>
    <t>53. B1. TAX ON EQUITY GAINS SEPARATED FROM THE CORE TAX RATE - October 7, 2026</t>
  </si>
  <si>
    <t>06 Core EPS Bridge row 9 applied the reported period effective rate to normalized income. That rate blends operating income with large equity gains taxed near the 21% federal rate, so core tax was overstated and core EPS understated. The forecast rate (15 Assumptions C10, 18.5%) carried forward a TTM rate inflated by the gains.</t>
  </si>
  <si>
    <t>New input 15 Assumptions C85: tax rate on equity gains, 21%. The Q2 2026 10-Q tax note (R23, R81, R82) discloses no rate; the net deferred tax liability rose 29,565 in H1'26, 21.7% of the 135,946 of gains (04 Balance Sheet rows 34-37, filed R2). 06 Core EPS Bridge rows 31-38 rebuild core tax as reported tax less gain x C85 for every period; rows 9 and 10 now read that build. 17 Model and the three hidden engines: H45:K45 = reported tax less gain x C85; forecast reported tax (row 32) = core pretax x C10 + gain x C85; the deferred-tax add-back on the gain (row 73) uses C85. C10 = the average core rate from the rebuilt history (C86: FY2023 13.9%, FY2024 16.3%, FY2025 16.0%, H1'26 16.0%, average 15.55%) unless C87 overrides it. 07 Consensus C64, 11 Valuation B30 and 15 Assumptions B51 use C85 for after-tax marks. 26 Model Audit check 30 uses C85.</t>
  </si>
  <si>
    <t>Value per share 164.05 base, 294.71 best, 69.88 worst (was 157.37 base, 283.71 best, 66.58 worst). H1'26 core EPS 5.49 (was 5.28); TTM core EPS 10.33 (was 10.07); FY2026E base core EPS 11.90 (was 11.48), forward core P/E 27.9x (was 28.9x). WACC 10.26% (was 10.25%) through the lower tax shield.</t>
  </si>
  <si>
    <t>26 Model Audit 58 (core tax + gain tax = reported tax, every period), 59 (17 Model historical core tax = the 06 rebuild) and 60 (core rate inside 10%-22% in every period and in the forecast). All tie in all three cases.</t>
  </si>
  <si>
    <t>54. B2. FADE STAGE: REINVESTMENT CLIFF REMOVED; TERMINAL MARGIN MADE A STATED, SWITCHABLE CHOICE - October 7, 2026</t>
  </si>
  <si>
    <t>Base FCFF fell from 108.4B (FY2030E) to 51.1B (FY2031E): net reinvestment jumped from 45.8% of NOPAT, the FY2030E rate, to growth / return on new capital = 77% in the first fade year, with nothing operational behind it. The FY2030E operating margin was also held for ten fade years and the terminal value without a stated reason.</t>
  </si>
  <si>
    <t>15 Assumptions C90 (1, on): net reinvestment starts FY2031E at the FY2030E rate, (capex - depreciation - working capital) / NOPAT (17 Model L97), and fades linearly to terminal growth / return on new capital over the fade length; 0 restores the old method. C91 (0, off): 1 fades the operating margin linearly from FY2030E to the terminal margin in row 106. Rows 92-109 derive the terminal margin as formulas: steady-state depreciation / capex from growth, the blended life and the in-service lag (row 99); the capex intensity at which capex - depreciation equals (g / return) x NOPAT (row 100); terminal margin = FY2030E pre-ramp margin + base depreciation rate - steady-state depreciation (row 104). Overrides at rows 101 and 105. 16 Scenarios and the hidden Drivers resolve it at row 33; 17 Model and the three engines carry it in rows 92, 94, 96 and 97. 20 DCF Valuation rows 80-91 show the fade-stage controls, including the implied terminal ROIC. To make room for entry 58, 20 DCF Valuation rows 25 and 27 were inserted (value per share moved from row 27 to row 29) and the G:I assumptions block was moved back to its original rows.</t>
  </si>
  <si>
    <t>Value per share 181.62 base, 319.58 best, 80.38 worst (was 164.05 base, 294.71 best, 69.88 worst). FY2031E / FY2030E FCFF 1.12 base, 1.14 best, 1.08 worst. With both switches at 0 the values equal entry 53's exactly. The derived terminal margin is 20.8% base, 29.2% best and 13.4% worst, BELOW the FY2030E margin in every case: FY2030E depreciation (14.3% of revenue) is still catching up with 25% capex intensity, so FY2030E is not the trough. Switching C91 to 1 at the derived margins gives 145.56 / 282.12 / 64.59. A 32% base terminal margin gives 196.90 and 35% gives 210.66.</t>
  </si>
  <si>
    <t>26 Model Audit 61 (FY2031E reinvestment re-derived), 62 (FY2040E NOPAT re-derived under either switch) and 63 (hidden base engine = 17 Model on FY2040E FCFF). DCF checks 12-14: FY2031E / FY2030E FCFF inside 0.85-1.25 in each scenario, with the reason shown at row 86. All tie; with C90 = 0 checks 12-14 flag the old cliff, as intended.</t>
  </si>
  <si>
    <t>55. B3. CLOUD BACKLOG AND CENTS-PER-CAPEX CROSS-CHECK - October 7, 2026</t>
  </si>
  <si>
    <t>Base Cloud revenue per dollar of prior-year capex (15 Assumptions D74:G74) is 22.4-25.0 cents against 31.4 (FY2024) and 29.5 (FY2025). The 513.9B Cloud backlog, just over half converting within 24 months, was not compared with the modeled Cloud path.</t>
  </si>
  <si>
    <t>15 Assumptions C112:C114 (RPO 513,900; 50% converting in 24 months; 10% warning threshold). 17 Model and the hidden engines rows 107-115: Cloud revenue in the 24 months after Jun'26 (H2'26E = FY2026E less filed H1; H1'28E = half of FY2028E, pro rata), backlog conversion, implied non-backlog revenue and a warning flag; implied cents per capex dollar for FY2024, FY2025 and each forecast year with the gap to history. H74 states what the below-history inputs imply. D74:G74 unchanged.</t>
  </si>
  <si>
    <t>No valuation change: 181.62 base, 319.58 best, 80.38 worst before and after. Base: 296,051 modeled against 256,950 converting, 39,101 (15%) of new business; the base path sits 7.0 cents a year below the FY2024-FY2025 average. Best 20%. Worst 8.5%, which raises the warning.</t>
  </si>
  <si>
    <t>Flag row on 26 Model Audit (row 87, warning only, not counted).</t>
  </si>
  <si>
    <t>56. B4. MIX-WEIGHTED PRE-RAMP MARGIN CROSS-CHECK AND SWITCH - October 7, 2026</t>
  </si>
  <si>
    <t>The base pre-ramp margin expands a typed 0.5pp a year while Cloud grows from about 15% to about 35% of revenue at a different margin; a typed path cannot respond to the model's own mix.</t>
  </si>
  <si>
    <t>15 Assumptions C117 (switch, 0 = typed path), rows 119-121 (scenario changes in segment margins by FY2030E: base 0, best +2pp Services and +5pp Cloud, worst the reverse) and rows 123-126 (H1'26 anchors: Services 43.5%, Cloud 34.4%, Other Bets and Alphabet-level -6.6% of revenue, depreciation 0.25pp above the base rate). 17 Model and the hidden engines rows 117-125: segment shares, margin paths, the mix-weighted pre-ramp margin, the typed path and the gap. With C117 = 1, 16 Scenarios row 25 and the hidden Drivers read row 123. Segment margins are reported margins; each segment's depreciation is held at its H1'26 share and only the excess is charged as the ramp. Cloud's margin before depreciation is likely higher but the split is not disclosed, so no adjustment is made.</t>
  </si>
  <si>
    <t>No valuation change: 181.62 base, 319.58 best, 80.38 worst before and after. The mix-weighted margin reproduces the H1'26 anchor (35.29%) and falls to 34.0% by FY2030E in base, against 37.3% typed: Cloud's lower reported margin pulls the blend down. With C117 = 1: 156.71 base, 291.81 best, 72.28 worst.</t>
  </si>
  <si>
    <t>26 Model Audit 64 (H1'26 reproduction, re-derived from consolidated operating income), 65 (16 Scenarios follows the switch) and 66 (hidden base engine agrees). All tie.</t>
  </si>
  <si>
    <t>57. B5. BETA SELECTOR, 8%-12% GRIDS FOR ALL THREE CASES, BREAK-EVEN WACC - October 7, 2026</t>
  </si>
  <si>
    <t>The 10.25% WACC rests on the raw 5-year monthly beta of 1.23, the headline conclusion depends on it, and the sensitivity grid stopped at 9% for Base only. The grid's 10.23% row was hard-typed and stale after entry 44.</t>
  </si>
  <si>
    <t>15 Assumptions C130 selects the beta (1 raw 1.23, the default; 2 Blume-adjusted 1.15; 3 bottom-up 1.08 from Damodaran's January 2026 cash-corrected unlevered betas, Advertising 1.01 and Software (System &amp; Application) 1.25, weighted by H1'26 Services and Cloud revenue and relevered at market D/E; 4 custom). 11 Valuation C60 and 20 DCF Valuation H10 read C137. 20 DCF Valuation rows 103-136: 9 x 5 grids, WACC 8.0%-12.0%, for Base, Best and Worst; rows 138-188: a fine WACC table (5.00%-15.00%, 0.25% steps) and the break-even WACC by linear interpolation plus one secant step. B39 (was B37) now reads H18.</t>
  </si>
  <si>
    <t>No valuation change: 181.62 base, 319.58 best, 80.38 worst before and after. Break-even WACC on the final model: 7.55% base, 10.19% best, 5.13% worst. Beta options at the B5 stage: Blume 192.57 / 338.59 / 84.95; bottom-up 204.46 / 359.21 / 89.91; beta 1.0 218.57 base; beta 0.8 262.44 base.</t>
  </si>
  <si>
    <t>DCF checks 15-17 (each scenario re-priced at its break-even WACC lands within $1 of the price) and 18 (grid formula at the headline WACC reproduces the headline). 26 Model Audit 67 (beta used = selected option) and 68 (cost of equity uses it). All tie.</t>
  </si>
  <si>
    <t>58. B6. NON-MARKETABLE EQUITY SECURITIES ADDED TO THE EQUITY BRIDGE - October 7, 2026</t>
  </si>
  <si>
    <t>The pack strips equity-securities gains out of earnings as non-operating, and the bridge added only net cash. Non-marketable equity securities sit outside net cash, so they counted neither in earnings nor in value.</t>
  </si>
  <si>
    <t>04 Balance Sheet rows 39-53 (Q2 2026 10-Q, R12 and R2): marketable equity 87,063 and debt securities 99,500 inside the 186,563 of marketable securities; marketable equity in other non-current assets 14,126; non-marketable securities 131,461, of which 124,259 under the measurement alternative (cost 47,642, upward 85,732, downward -9,115); unrealized gain 76,617; deferred tax at C85 16,090; net 108,169. 20 DCF Valuation row 25 adds it; row 26 is equity value; row 27 discloses, not summed, the marketable equity inside net cash (62% of it). The fade-off memo (row 33), the original Base grid and DCF checks 8-10 include row 25.</t>
  </si>
  <si>
    <t>Value per share 190.43 base, 328.39 best, 89.19 worst (was 181.62 base, 319.58 best, 80.38 worst), +8.81 in every case.</t>
  </si>
  <si>
    <t>DCF check 19 (bridge line = 04 Balance Sheet G50 in all three columns) and checks 8-10 (components sum to equity value). 26 Model Audit 69 (carrying value = cost + adjustments) and 70 (equity + debt securities = marketable securities). Total assets on 04 are unchanged. All tie.</t>
  </si>
  <si>
    <t>59. C1. 29 REVERSE DCF: WHAT THE PRICE ASSUMES - October 7, 2026</t>
  </si>
  <si>
    <t>The brief asks what has to be true for GOOGL to be worth the 332.13 reference price.</t>
  </si>
  <si>
    <t>Validation on the untouched 2026-09-10 workbook reproduces every review target: 157.37, 174.50, 168.87, 161.91, 175.28, 215.58, 262.07, 317.54. On the final model the base case reaches 332.13 at a WACC of 7.55%, a terminal margin of 59.6% (FY2030E 28.7%, derived 20.8%), 52.7 cents of Cloud revenue per capex dollar (history about 30) or 5.3 points a year of pre-ramp expansion (base 0.5); no return on new capital reaches it alone (value tops out near 222). Layered: Cloud 30 cents 213.30, +1pp margin 229.68, core tax already in base, +20% return 239.78, beta 1.0 287.75, beta 0.8 344.74.</t>
  </si>
  <si>
    <t>26 Model Audit 71: the static as-built base value equals the live headline; it fails after any model change until the script is rerun.</t>
  </si>
  <si>
    <t>60. C2. NEW AUDIT CHECKS AND LIVE CHECK COUNTS - October 7, 2026</t>
  </si>
  <si>
    <t>Every fix in entries 46-59 needs a control, and 00 Contents quoted check counts that had gone stale (46 model checks when there were 56).</t>
  </si>
  <si>
    <t>26 Model Audit section I, checks 57-71, plus a counted summary at row 90 and an uncounted warning row 87. 20 DCF Valuation checks 12-19 at rows 95-102, with the header at row 43 counting live. 00 Contents B53 (the four control layers) and C37/C38 count the checks live.</t>
  </si>
  <si>
    <t>25 Pack Audit 26 of 26, 26 Model Audit 71 of 71, 18 Balance Sheet 8 of 8, 20 DCF Valuation 19 of 19, in Base, Best and Worst. Error scan: no #REF!, #DIV/0! or #VALUE! anywhere; the only #N/A is the deliberate 17 Model L85 (P/FCF on negative FY2026E FCF) in base and worst.</t>
  </si>
  <si>
    <t>As above.</t>
  </si>
  <si>
    <t>Most checks still compare a formula with an independent re-derivation of itself, so 'all tie' means the wiring is consistent, not that the assumptions are right.</t>
  </si>
  <si>
    <t>Core effective tax rate, average of FY2024, FY2025 and H1'26</t>
  </si>
  <si>
    <t>Set to 3 (bottom-up) on 2026-10-07, entry 61: the raw 1.23 is high for an AA+ issuer with net cash, and the bottom-up beta is the sourced, standard method. 1 restores the raw beta used from 2026-09-22.</t>
  </si>
  <si>
    <t>Best starts at 33 cents, above the base and the history, and rises to 37.4 cents as utilisation of the build improves (raised 2026-10-07 so best stays above base).</t>
  </si>
  <si>
    <t>Set to 1 on 2026-10-07 (entry 61). With the reinvestment fade on (C90), the terminal year reinvests g / return on new capital; holding the FY2030E margin at the same time implies far less depreciation than that reinvestment produces at the model's asset lives. Row 104 is the margin consistent with both. It is driven by the return on new capital (C80): at 15% base it is about 21%, at 25% about 26%. 0 restores the held FY2030E margin.</t>
  </si>
  <si>
    <t>filed, R12; in the 20 DCF bridge at fair value since 2026-10-07</t>
  </si>
  <si>
    <t>Equity-method and other non-marketable securities (row 43 less row 44), at carrying value</t>
  </si>
  <si>
    <t>DERIVED; in the 20 DCF bridge since 2026-10-07</t>
  </si>
  <si>
    <t>Equity stakes outside net cash, to 20 DCF Valuation row 25 (rows 42 + 50 + 51)</t>
  </si>
  <si>
    <t>Add: equity stakes outside net cash (non-marketable net of deferred tax, plus other)</t>
  </si>
  <si>
    <t>Equity-stakes line equals 04 Balance Sheet G54 in all three columns</t>
  </si>
  <si>
    <t>Terminal operating margin (FY2040E, 15 Assumptions C91 = 1)</t>
  </si>
  <si>
    <t>FY2030E reported operating margin (base engine)</t>
  </si>
  <si>
    <t>61. DECISIONS TAKEN ON THE OPEN ITEMS FROM ENTRIES 53-58 - October 7, 2026</t>
  </si>
  <si>
    <t>Value per share 189.25 base, 334.72 best, 81.67 worst (was 190.43, 328.39, 89.19). Step by step in base: tax -1.54, beta +22.71, Cloud +25.95, terminal margin -50.05, equity stakes about +1.74. Best now exceeds the 332.13 price by 2.59. Break-even WACC 6.99% base, 9.65% best, below 5% worst. The terminal margin is driven by the return on new capital: at 25% instead of 15% the base margin is about 26% and base value about 237.</t>
  </si>
  <si>
    <t>Interest and the rest, stripped of the mark-to-market gain. FCFF is built on operating income, so this line moves EPS, not the DCF value. 3,000 is above the H1'26 run-rate excluding gains (about -500 a year, 10-Q R68) and below the 5,000-12,000 consensus implies; it assumes interest income on the larger cash pile recovers. A risk to EPS, not to value.</t>
  </si>
  <si>
    <t>3.0%: below the 4.96% 10-year Treasury (stable growth should not exceed the risk-free rate) and below long-run US nominal GDP growth of about 4%. 2.5% and 3.5% move base value by -$5 and +$6.</t>
  </si>
  <si>
    <t>62. A WRITTEN JUSTIFICATION FOR EVERY VALUE-DRIVING INPUT - October 7, 2026</t>
  </si>
  <si>
    <t>Every input the value rests on needs a source or a stated reason next to it, and the size of its effect, so a reviewer can see what is filed, what is derived and what is judgment. The check found one broken note: 15 Assumptions E80 quoted '10824822.3%' because it was rewritten in entry 54 with a reference from before the 20 DCF Valuation rows were inserted.</t>
  </si>
  <si>
    <t>No valuation change: 189.25 base, 334.72 best, 81.67 worst.</t>
  </si>
  <si>
    <t>All controls tie in all three cases; text scan finds no implausible figure in any note.</t>
  </si>
  <si>
    <t>Judgment inputs remain judgments: the return on new capital, the short-lived share, the fade length, the margin path and the scenario deltas. The register ranks them by effect on value.</t>
  </si>
  <si>
    <t>EPIC factor ranking: Exceeds materiality, Probably occurs, I can forecast, Consensus gap; totals are live and feed the research agenda.</t>
  </si>
  <si>
    <t>What the price assumes: single-lever break-evens, layered levers and validation against the earlier model state. Static tables must be refreshed after any model change.</t>
  </si>
  <si>
    <t>•  REVISION DATA CORRECTION: verified 30-day revisions were FY2026 4 up / 1 down and FY2027 9 up / 1 down. An earlier secondary-source count was removed.</t>
  </si>
  <si>
    <t>•  DISPERSION INTERPRETATION: narrowing reflects booked H1 marks that analysts must include; it is not evidence that consensus is mis-specified.</t>
  </si>
  <si>
    <t>•  FY2027 consensus is verified at rows 34-39; the earlier two-house stopgap has been retired.</t>
  </si>
  <si>
    <t>•  The FY2027 EPS decline largely reflects the roll-off of FY2026 securities gains rather than an assumed operating collapse.</t>
  </si>
  <si>
    <t>Scores 1-5 per dimension. Critical factors are the top three. EPIC = Exceeds materiality / Probably occurs / I can forecast / Consensus gap - full explanation at row 28 below.</t>
  </si>
  <si>
    <t>Consensus gap</t>
  </si>
  <si>
    <t>•  Re-ranked 2026-09-10 after Q2 2026. Scores are 1-5 on each dimension and are reviewed periodically as new evidence arrives.</t>
  </si>
  <si>
    <t>•  DISPERSION NOTE: narrowing reflects booked marks that every analyst must include; it does not independently support a high consensus-gap score. The current assessment is in row 17.</t>
  </si>
  <si>
    <t>C - Consensus gap</t>
  </si>
  <si>
    <t>How large is the difference between the evidence-based view and the market or consensus view? A 5 requires a clear, well-supported gap; a 1 indicates broad alignment.</t>
  </si>
  <si>
    <t>Inactive sensitivity input while C117 = 0. Base holds the H1'26 Services margin; Best and Worst move it by 2 percentage points.</t>
  </si>
  <si>
    <t>Inactive sensitivity input while C117 = 0. Cloud margin rose 11.9 points in the year to Q2'26; Base holds the H1'26 margin and Best/Worst move it by 5 points.</t>
  </si>
  <si>
    <t>Refresh the static reverse-DCF tables after any model change; this check fails when the stored snapshot no longer matches the live headline.</t>
  </si>
  <si>
    <t>Public record of how this workbook evolved: methodology changes, data corrections, model improvements, validation results and unresolved items since the review sessions of September 11 and September 15, 2026. Historical 'still open' and 'superseded' labels describe status at that date; the latest entries govern the current state.</t>
  </si>
  <si>
    <t>Request: review the source register and remove unnecessary, duplicative or low-quality citations rather than merely flagging them.</t>
  </si>
  <si>
    <t>The wording on '00 Contents', '07 Consensus' and related thesis text was flagged for final analyst review before publication.</t>
  </si>
  <si>
    <t>Analyst decision at the time: whether to override C10 through C87. Q2'26 alone shows a 14.5% core rate; the default uses full years and H1'26.</t>
  </si>
  <si>
    <t>Analyst decision at the time: terminal-margin treatment. The internally consistent default pairs terminal reinvestment with the derived margin.</t>
  </si>
  <si>
    <t>Analyst decision at the time: the Cloud cents-per-capex path. Moving Base D74:G74 to 0.30 was worth about $23 per share on that model state.</t>
  </si>
  <si>
    <t>Analyst decision at the time: the margin-source switch and segment-margin deltas. The deltas were inactive sensitivity inputs while the switch remained off.</t>
  </si>
  <si>
    <t>Analyst decision at the time: beta selection.</t>
  </si>
  <si>
    <t>Analyst decision at the time: whether to add marketable and equity-method holdings outside net cash to the equity bridge.</t>
  </si>
  <si>
    <t>Entries 53-58 left seven choices open with prior values as defaults. A documented, common-sense decision was requested for each.</t>
  </si>
  <si>
    <t>Proxy for data-centre and office buildings, disclosed as 7 to 40 years (midpoint 23.5); 20 is slightly short of the midpoint, so slightly conservative. 15 and 30 years move base value by -$3 and +$3. Sensitivities and confidence: the assumptions rationale.</t>
  </si>
  <si>
    <t>Full audit of the workbook on 2026-09-17, nine passes, recorded in the supporting audit record. Three defects in the forward model changed every forecast figure and are corrected here. The research pack, sheets 01-13, was NOT touched: it was checked against the filed Q2 2026 10-Q and about 50 of 60 externally checkable figures tied exactly.</t>
  </si>
  <si>
    <t>Any typed prose elsewhere in the workbook that names a cell on 17 Model at row 73 or below is now off by one. Formula references updated themselves; typed text did not. Known instances are listed in the supporting audit record.</t>
  </si>
  <si>
    <t>There is still no DCF, WACC, terminal value, equity bridge or price target anywhere in the workbook, so no lean can be locked and the FaVeS box cannot be filled. 54 of the 72 audit checks are tautologies that cannot fail, and 26 Model Audit check 31 passes only because its 0.020000 tolerance is wider than a real 0.019278 disagreement between the model and the pack on TTM EPS. Consensus FY2027 EPS of 14.84, minus 28.0%, also needs reflecting in the thesis framing. See the supporting audit record.</t>
  </si>
  <si>
    <t>Left as typed because no cell holds them: provider and call figures (interest income 1,430, expense 1,278, the 'other' line -973, 519,500 total RPO, June PEG 1.70 and ROIC 28.3%, the $84,750 headline). 12 Peers B25 and the table still carry Amazon TTM FCF of -11,630 on 173,030 of capex, which the prior audit notes corrected on 2026-09-17 to -7.6B on 169B net capex; the table is a provider pull and was not re-sourced. 12 Peers labels the window 'ten weeks'; the README says eleven weeks from Jun 26.</t>
  </si>
  <si>
    <t>New sheet 29 Reverse DCF, listed on 00 Contents row 41. Single-lever break-evens (WACC live from 20 DCF Valuation row 182; terminal margin, return on new capital, Cloud cents and pre-ramp expansion STATIC), the layered table and the pre-Part-B validation are generated by the reverse-DCF refresh process, which drives the workbook's own engines by bisection, restores every input and pastes values under a STATIC banner. A live read-through and a live break-even WACC table close the sheet.</t>
  </si>
  <si>
    <t>25 Pack Audit 26 of 26, 26 Model Audit 71 of 71 (check 71 after rerunning the reverse-DCF refresh process), 18 Balance Sheet 8 of 8, 20 DCF Valuation 19 of 19, in all three cases. DCF check 19 now tests 04 Balance Sheet G54.</t>
  </si>
  <si>
    <t>The return on new capital after FY2030E (15 Assumptions C80, 15% base) is now the single largest judgment in the value and still has no written rationale (the prior review notes). The B4 segment-margin deltas remain placeholders while the switch is off.</t>
  </si>
  <si>
    <t>15 Assumptions E80 rebuilt as the rationale for the 15% return on new capital (build return, spread over WACC, TTM ROIC, peer range), with its correct live references. Rationale and sensitivity added to E37 (short-lived share), E41 (long life), E79 (fade length), H14 (segment growth against consensus), H32 (capex against consensus), H45 (SBC does not move value), H46 (other income moves EPS, not value), H76 (worst Cloud path), H119:H120 (placeholders inactive); 20 DCF Valuation I19 (terminal growth) and I9 (ERP); 11 Valuation D32 marks the PEG growth rate as unsourced. Full register with every input, its basis, sensitivity and confidence: the assumptions rationale.</t>
  </si>
  <si>
    <t>Archive - not used in workbook exhibits</t>
  </si>
  <si>
    <t>•  ARCHIVE POLICY: 32 research-only links are retained for historical traceability but do not support workbook exhibits. Public-facing analysis relies on active sources classified under the source-quality policy.</t>
  </si>
  <si>
    <t>•  The two Tier 5 rows retained are earnings-call transcripts kept because they provide a free verbatim record of management remarks; quoted statements are cross-checked against filed materials.</t>
  </si>
  <si>
    <t>•  Source-quality policy: prefer primary filings and decisions, institutional research, established data providers and high-quality news. Archived links and low-quality aggregators must not support published conclusions.</t>
  </si>
  <si>
    <t>No URL, domain, quality tier, HTTP status or 'Cited in' tag was altered. Tier 5 and tier 6 rows were left in place - per the source-quality policy they are cited for the record and must not reach a published exhibit without a tier 1-3 citation behind them. Link re-checking needs live HTTP requests, which cannot be done from Excel; the September 10 2026 check still stands.</t>
  </si>
  <si>
    <t>(1) Core tax: 15 Assumptions C86 averages FY2024, FY2025 and H1'26 (16.1%); FY2023's 13.9% is older and below every later period, which sit within half a point. (2) Beta: C130 = 3, the bottom-up 1.08 (WACC 9.61%); the raw 1.23 is high for an AA+ issuer with net cash. (3) Cloud cents: base D74:G74 = 0.30, the FY2024-FY2025 history; the old 22.4-25.0 only reproduced an old growth path. Best D75:G75 raised to 0.33-0.374 so best stays above base; worst unchanged. (4) Terminal margin: C91 = 1, fading to the derived margin (row 104: 20.9% base, 29.3% best, 13.4% worst). The reinvestment fade and a held FY2030E margin cannot both hold at the model's asset lives; the derived margin is the consistent pair. (5) Mix-weighted margin: C117 stays 0; the typed path is what Cloud's margin rising to about 40% by FY2030E gives, in line with its trend. (6) Narrative wording (00 Contents C14 and B43, 07 Consensus B42) kept. (7) Equity stakes: the 14,126 of marketable equity in other non-current assets (fair value) and the 7,202 of equity-method and other non-marketable securities (carrying value) join the bridge; 04 Balance Sheet G54 sums rows 42, 50 and 51 and 20 DCF Valuation row 25 reads it. Also: 12 Peers J9:K9 now carry Amazon's verified TTM FCF of -7,604 on 169,007 of net capex (Q2 8-K, the supporting audit record) instead of the gross 173,030.</t>
  </si>
  <si>
    <t>63. PUBLIC-RELEASE REVIEW AND AI DISCLOSURE — October 8, 2026</t>
  </si>
  <si>
    <t>Prepared the workbook for public circulation by removing internal-only wording, clarifying historical status labels and making the role of generative AI explicit.</t>
  </si>
  <si>
    <t>AI disclosure</t>
  </si>
  <si>
    <t>Added a concise disclosure at '00 Contents'!B45:J45 and a fuller methodology disclosure at '28 Change Log'!B4:C4. The analyst remains responsible for assumptions, sources, calculations, judgments and conclusions; AI-assisted checks are not independent assurance.</t>
  </si>
  <si>
    <t>Public-facing language</t>
  </si>
  <si>
    <t>Removed personal instructions, internal project paths, raw profanity preserved in an old request, obsolete provisional notes on live analysis sheets and loaded wording in the EPIC framework. 'Consensus is poor' is now the more neutral 'Consensus gap'.</t>
  </si>
  <si>
    <t>Source register</t>
  </si>
  <si>
    <t>Classified 32 research-only links as archived and not used in workbook exhibits. '00 Contents' now reports 179 active sources, 32 archived links and zero dead links; two Tier 5 transcript sources remain with an explicit rationale.</t>
  </si>
  <si>
    <t>No numeric assumption, operating formula, scenario setting or valuation output changed. Active scenario remains BEST CASE. Pack Audit 26/26, Model Audit 71/71, Balance Sheet 8/8 and DCF Audit 19/19 continue to tie; DCF values remain Base $189.25, Best $334.72 and Worst $81.67.</t>
  </si>
  <si>
    <t>Enterprise value (market cap less net cash and equity stakes outside net cash, plus preferred)</t>
  </si>
  <si>
    <t>Operating EV: the equity stakes at '04 Balance Sheet'!G54 are non-operating, as in the 20 DCF bridge (changed 2026-10-13)</t>
  </si>
  <si>
    <t>n/a</t>
  </si>
  <si>
    <t>The provider does not disclose the growth rate behind its PEG. The 8.1% shown here before was backed out of the published 1.99 and was removed on 2026-10-13.</t>
  </si>
  <si>
    <t>S&amp;P Global via StockAnalysis, Sep 15 2026. Nets out EXCESS cash only, not all cash, so its invested capital is larger and it sits below the C38 build. Peer column uses this for like-for-like comparability.</t>
  </si>
  <si>
    <t>% change since Jun 26</t>
  </si>
  <si>
    <t>CONSENSUS UPDATE - October 12, 2026 (StockAnalysis, S&amp;P Global poll)</t>
  </si>
  <si>
    <t>FY2026 revenue - consensus</t>
  </si>
  <si>
    <t>52 analysts, range 489,800-519,800</t>
  </si>
  <si>
    <t>Provider forward P/E</t>
  </si>
  <si>
    <t>64. PRICE REFRESH, SCENARIO SWITCH AND REVIEW CORRECTIONS - October 13, 2026</t>
  </si>
  <si>
    <t>A review of the model and deck against the CFA Institute research-report criteria found a month-old reference price, the workbook saved on the Best case, an enterprise value that did not net the equity stakes the DCF treats as non-operating, a PEG resting on an unsourced growth rate, and three note errors carried from the September audit.</t>
  </si>
  <si>
    <t>(1) Reference price 332.13 to 354.72 (StockAnalysis, Oct 13 2026 2:16pm EDT) at 11 Valuation C6 and 15 Assumptions C7; peer prices and multiples on 12 Peers rows 7-11 refreshed from the same pages at 2:15pm, with TTM cash-flow and ROIC columns unchanged. (2) Scenario switch 16 Scenarios D6 set back to 1 (Base). (3) 11 Valuation C8: enterprise value now also deducts the equity stakes outside net cash (04 Balance Sheet G54), so EV / EBITDA is on operating EV. (4) 11 Valuation C32:C33: the backed-out 8.1% growth rate is removed and the PEG is the provider figure, 1.91. (5) 07 Consensus: price targets and ratings refreshed to Oct 12; rows 66-72 added. The provider's FY2026 EPS consensus is now 11.82 and no longer carries the H1 marks; rows 6-39 keep the Sep 8 GAAP-basis figures as a dated record, and 11 Valuation row 15 adds the forward multiple on the current basis. (6) Notes corrected: 12 Peers and 00 Contents said ten weeks from Jun 27 where the window is eleven weeks from the Jun 26 close; 12 Peers B28 said Alphabet out-earns Microsoft on ROIC when it does not; 11 Valuation D39 said the provider ROIC sits above the derived build when it sits below. 12 Peers F14:G20 adds performance to Oct 13. (7) 29 Reverse DCF regenerated at the new price.</t>
  </si>
  <si>
    <t>Value per share 189.19 base, 334.63 best, 81.65 worst (was 189.25, 334.72, 81.67); the small move is the share-count and WACC-weight effect of the higher price. Against 354.72 that is -47%, -6% and -77%, so no case now reaches the price. Multiples at 354.72: 17.8x trailing reported, 34.3x trailing core, 30.0x forward on both base-case core EPS and the provider's current consensus. EV / EBITDA 23.6x. Break-evens for the base case: WACC 6.75%, terminal margin 48.9%, Cloud at 67 cents per capex dollar, 7.5 points a year of pre-ramp expansion, or a 201% return on new capital. Capex test, not adopted: FY2027E capex at the FactSet consensus of 257,000 with later years unchanged gives 188.67 and FY2027E free cash flow of -5,693; holding intensity higher for longer (43%, 37%, 31%, 25%) gives 193.49.</t>
  </si>
  <si>
    <t>25 Pack Audit 26 of 26, 26 Model Audit 71 of 71, 18 Balance Sheet 8 of 8 and 20 DCF Valuation 19 of 19 in Base, Best and Worst after the reverse-DCF refresh. The only error cell is the deliberate 17 Model L85 (P/FCF on negative FY2026E free cash flow) in base and worst. The reverse-DCF script reproduced all eight review targets on the pre-change file.</t>
  </si>
  <si>
    <t>Discounting is end-of-period (exponents 0.5 to 14.5 from June 30 2026); a mid-period convention would add roughly $4 to $8 a share and was not adopted. Base-case FY2027E capex of about 214,000 is 6% above FY2026E while management guides to a significant increase and the Street carries 257,000 to 298,000; the scenario paths were left for the analyst to reset. Consensus FY2027 and FY2028 figures are still the September pulls. All of this refreshes on the Q3 2026 print, expected October 28.</t>
  </si>
  <si>
    <t>vs prior</t>
  </si>
  <si>
    <t>Each dimension is 1-5, so TOTAL runs 4 to 20. Column G is now a live =SUM(C:F) formula - change a score and the total follows. Column H shows the move against the prior ranking.</t>
  </si>
  <si>
    <t>•  REGULATORY, resolved: (1) Sept 2 2026 - Judge Brinkema DECLINED to order divestiture of AdX or DFP, rejecting DOJ's structural remedies for behavioural ones. With Mehta's Sept 2025 refusal on Chrome and Android, BOTH US structural break-up threats have now failed at district-court level. (2) July 23 2026 - the European Commission fined Google EUR 890M under the DMA (EUR 460M search self-preferencing + EUR 430M Play Store steering). That is roughly 2% of one quarter's operating income. Financially immaterial.</t>
  </si>
  <si>
    <t>•  FIRST NAMED POST-Q2 SELL-SIDE ACTIONS: BMO Capital 455 to 465 (raised), Barclays 405 to 425 (raised), PIPER SANDLER 445 to 395 (CUT). Piper's is the first target cut recorded since HSBC's before the Q2 print, and it comes from a house that had been raising into the earlier selloff.</t>
  </si>
  <si>
    <t>Wording</t>
  </si>
  <si>
    <t>Later on October 13: references that compared figures with the first data pull in June were reworded on 07 Consensus (D29, B43, B46), 10 Guidance and Quotes B30, 12 Peers B28, 13 EPIC Ranking (H5, C35) and 24 Peers and Priorities D14. The EPIC column now reads 'vs prior'. Dates of filed events (the June 30 balance sheet, the June 2026 raise) are unchanged. No number changed.</t>
  </si>
  <si>
    <t>Best: the FY2027E step-up still happens, at 39% of faster-growing revenue, and intensity then falls fastest, to 20% by FY2030E, as utilisation of the build improves. This is the free-cash-flow recovery case. Reset 2026-10-13 (entry 65) from 32% / 26% / 21% / 18%, which held FY2027E capex flat against guidance of a significant increase.</t>
  </si>
  <si>
    <t>Worst: demand disappoints after the FY2027E build is committed, so intensity peaks at 46% of slower revenue in FY2027E and management moderates with a one-year lag, to 27% by FY2030E. Reset 2026-10-13 (entry 65) from 40% / 35% / 30% / 26% so the worst case still spends more per dollar of revenue than the base.</t>
  </si>
  <si>
    <t>StockAnalysis, Oct 12 2026. Was 612,190 in Sep.</t>
  </si>
  <si>
    <t>MarketScreener, retrieved Oct 13 2026; on revenue 499,293. Was 171,734 on Sep 21.</t>
  </si>
  <si>
    <t>MarketScreener, provider-stated, Oct 13 2026</t>
  </si>
  <si>
    <t>MarketScreener, retrieved Oct 13 2026; on revenue 618,791 and GAAP EPS 15.03. Was 216,725 on Sep 21.</t>
  </si>
  <si>
    <t>MarketScreener, provider-stated, Oct 13 2026. EBT of 227,265 implies about 8,900 of pretax non-operating income.</t>
  </si>
  <si>
    <t>MarketScreener, retrieved Oct 13 2026 (GAAP). Was 17.80 on Sep 22.</t>
  </si>
  <si>
    <t>MarketScreener, retrieved Oct 13 2026</t>
  </si>
  <si>
    <t>MarketScreener, Oct 13 2026; FY2027 is negative 37,003 (row 75)</t>
  </si>
  <si>
    <t>•  PRICE TARGETS: MarketBeat showed 420.19 across 54 analysts (range 255-515) in September against StockAnalysis's 428.07, so the 360.92 figure flagged earlier was the outlier and is not used. The current StockAnalysis mean is at C15.</t>
  </si>
  <si>
    <t>StockAnalysis, Oct 12 2026. FY2027 EPS of 15.24 is from the same page's summary line (row 34).</t>
  </si>
  <si>
    <t>FY2027 free cash flow - consensus</t>
  </si>
  <si>
    <t>MarketScreener, Oct 13 2026</t>
  </si>
  <si>
    <t>FY2027 capex - consensus</t>
  </si>
  <si>
    <t>LIKE-FOR-LIKE: MARKET VALUE TO AFTER-TAX OPERATING INCOME - non-operating income removed from every name (added 2026-10-13, entry 65)</t>
  </si>
  <si>
    <t>Operating income, TTM</t>
  </si>
  <si>
    <t>Pretax income, TTM</t>
  </si>
  <si>
    <t>Non-operating share of pretax %</t>
  </si>
  <si>
    <t>After-tax operating income</t>
  </si>
  <si>
    <t>Market cap / after-tax operating income</t>
  </si>
  <si>
    <t>EV / EBIT (provider)</t>
  </si>
  <si>
    <t>Five-year average forward P/E</t>
  </si>
  <si>
    <t>Peer median forward P/E</t>
  </si>
  <si>
    <t>MSFT, META, AMZN, AAPL and NVDA on the provider basis (12 Peers column F)</t>
  </si>
  <si>
    <t>Peer median EV / EBITDA</t>
  </si>
  <si>
    <t>12 Peers column G</t>
  </si>
  <si>
    <t>Value per share by method ($)</t>
  </si>
  <si>
    <t>On model EPS</t>
  </si>
  <si>
    <t>Peer median EV / EBITDA x TTM EBITDA, plus net cash and equity stakes, less preferred</t>
  </si>
  <si>
    <t>Memo: equity stakes per share, which the P/E methods leave out ($)</t>
  </si>
  <si>
    <t>Stakes outside net cash plus marketable equity inside it; their gains are not in core earnings</t>
  </si>
  <si>
    <t>Memo: the two P/E multiples on FY2026E core EPS, the basis used before 2026-10-13 ($)</t>
  </si>
  <si>
    <t>Price date</t>
  </si>
  <si>
    <t>Value per share as built: June 30 2026 valuation date, end-of-period discounting (20 DCF Valuation row 29)</t>
  </si>
  <si>
    <t>With mid-period discounting of the forecast and fade cash flows (terminal value unchanged)</t>
  </si>
  <si>
    <t>Rolled from June 30 to the price date at the cost of equity: VALUE AT THE PRICE DATE</t>
  </si>
  <si>
    <t>Against the reference price</t>
  </si>
  <si>
    <t>Dividends per share, next twelve months ($)</t>
  </si>
  <si>
    <t>STATIC: value at the price date with the FY2030E margin held (15 Assumptions C91 = 0)</t>
  </si>
  <si>
    <t>Return on the whole capital base implied in the terminal year</t>
  </si>
  <si>
    <t>TTM ROIC on average invested capital (row 38)</t>
  </si>
  <si>
    <t>The model's row 29 values cash flows at June 30 2026 as if each arrived at period end; the price is three and a half months later. Rows 89-90 put the value on the price's date without rebuilding the DCF grids. Row 97: in a steady state, net reinvestment of growth / return x NOPAT makes the return on all capital equal the return on new capital, so the derived terminal margin carries that return for the whole business, against row 98 today. Row 96 is the value if the FY2030E margin is held instead.</t>
  </si>
  <si>
    <t>Step (each static step is added to the ones above it)</t>
  </si>
  <si>
    <t>Against the price</t>
  </si>
  <si>
    <t>Base DCF as built (row 88)</t>
  </si>
  <si>
    <t>Mid-period discounting and the roll to the price date (row 90)</t>
  </si>
  <si>
    <t>STATIC + FY2030E operating margin held to FY2040E (C91 = 0)</t>
  </si>
  <si>
    <t>STATIC + return on new capital of 25% after FY2030E (base 15%)</t>
  </si>
  <si>
    <t>STATIC + pre-ramp margin expansion of 1.0pp a year (base 0.5pp)</t>
  </si>
  <si>
    <t>Relative valuation, lowest method (rows 78-80)</t>
  </si>
  <si>
    <t>Relative valuation, highest method (rows 78-80)</t>
  </si>
  <si>
    <t>Reference price</t>
  </si>
  <si>
    <t>Static rows were generated with as-built base value ($):</t>
  </si>
  <si>
    <t>Input moved alone</t>
  </si>
  <si>
    <t>Lower value</t>
  </si>
  <si>
    <t>Higher value</t>
  </si>
  <si>
    <t>Terminal margin held at FY2030E instead of derived</t>
  </si>
  <si>
    <t>Return on new capital after FY2030E, 10% / 25%</t>
  </si>
  <si>
    <t>Fade length, 5 years</t>
  </si>
  <si>
    <t>Beta, raw 1.23</t>
  </si>
  <si>
    <t>Equity risk premium, 5.0% / 4.0%</t>
  </si>
  <si>
    <t>Pre-ramp margin path, flat / +1.0pp a year</t>
  </si>
  <si>
    <t>Short-lived share of new assets, 80% / 45%</t>
  </si>
  <si>
    <t>FY2027E capex at 302,822 (MarketScreener consensus)</t>
  </si>
  <si>
    <t>Source: '08 PPE and Depreciation'. This split is THE SINGLE MOST SENSITIVE ASSUMPTION and should be scenarioed, not point-estimated. The split is NOT disclosed. Evidence: the in-service base implies about a third short-lived at these lives (in-service gross PP&amp;E / annual depreciation is about 11 years, land included), while the AI build is server-heavy, so 60% assumes the new assets skew to servers. Still a judgment. 45% and 80% move base value by +$9 and -$9. Sensitivities and confidence: the assumptions rationale.</t>
  </si>
  <si>
    <t>Years over which revenue growth fades linearly from its FY2030E rate to terminal growth. After the fade ends growth holds at the terminal rate, so FY2040E is a steady state for any value from 1 to 10. Why 10: it is the usual high-growth-to-stable transition in a three-stage DCF (Damodaran), and FY2030E revenue growth is still about 12.5%, so a 5-year fade would cut growth by about 2 points a year. 5 years lowers base value by about $33. Sensitivities and confidence: the assumptions rationale.</t>
  </si>
  <si>
    <t>About 35% below the FY2024-FY2025 history of about 30 cents: the demand-disappoints case in which the build outruns Cloud demand. Moving base itself to 25 cents costs about $17 a share. Sensitivities and confidence: the assumptions rationale.</t>
  </si>
  <si>
    <t>Damodaran implied ERP, July 2026 update. 4.0% and 5.0% move base value by +$16 and -$19</t>
  </si>
  <si>
    <t>65. AUDIT RESPONSE: CAPEX PATHS, FORWARD-MULTIPLE BASIS, LIKE-FOR-LIKE PEERS, PRICE-DATE VALUE AND TARGET - October 13, 2026</t>
  </si>
  <si>
    <t>An outside audit of the deck and workbook found seven problems: forward P/E multiples applied to FY2026E earnings in mid-October; a peer comparison that adjusted only Alphabet for investment gains; a DCF resting on a derived terminal margin with no reconciliation to the other methods; an overstated claim that no scenario reaches the price; base-case FY2027E capex below guidance and the Street; a headline about the multiple instead of the return on capital; and loose ends (no rating, stale text, mixed data vintages).</t>
  </si>
  <si>
    <t>(1) 15 Assumptions rows 32-34: capex intensity FY2027E-FY2030E reset to 43.3% / 37% / 31% / 25% base (FY2027E about 257,000, the FactSet figure), 39% / 32% / 25% / 20% best and 46% / 40% / 33% / 27% worst; notes rewritten. (2) 07 Consensus: FY2027 and FY2028 EPS, revenue, EBIT, margin and FCF re-pulled Oct 12-13 (StockAnalysis FY2027 EPS 15.24, was 14.84; MarketScreener EBIT 218,330 and 265,388); rows 73-76 added. Row 74 shows the provider's 26.18x forward P/E equals the price over half of FY2026 plus half of FY2027 consensus EPS, so it is a next-four-quarter multiple. (3) 12 Peers: GOOGL forward P/E (F6) now the provider's, like the peers; rows 30-38 add market value to after-tax operating income for all six; READ 1 and READ 5 rewritten. (4) 11 Valuation rows 70-124: relative valuation on next-four-quarter EPS; value with mid-period discounting rolled to the price date; twelve-month target and rating; value with the FY2030E margin held; a reconciliation from the DCF to the multiples; one-at-a-time sensitivities (static, with a staleness check at D111). (5) Sensitivity figures quoted in notes on 15 Assumptions (E37, E79, E80, H76) and 20 DCF Valuation I9 updated; E80 now states that the derived terminal margin carries the return on new capital for the whole business. (6) 29 Reverse DCF regenerated.</t>
  </si>
  <si>
    <t>Value per share as built 193.49 base, 348.21 best, 77.23 worst (was 189.19, 334.63, 81.65). At the price date with mid-period discounting: 202.44, 364.72 and 80.49 against 354.72, so the best case is now +2.8% against the price and the claim that no case reaches it is withdrawn. Base-case twelve-month target 221.25, an expected total return of -37%: Sell. FY2027E base capex 257,200 and free cash flow -5,892. Forward multiples on next-four-quarter EPS give 315 to 348 on model earnings and 336 to 371 on consensus, so the peer-median multiple on consensus earnings is above the price. On market value to after-tax operating income GOOGL is the third dearest of six, behind Apple and Amazon; Amazon's pretax income is 46% non-operating. Holding the FY2030E margin gives 253.03 at the price date; with a 25% return, Cloud at 35 cents and 1.0pp of margin expansion as well, 328.53.</t>
  </si>
  <si>
    <t>25 Pack Audit 26 of 26, 26 Model Audit 71 of 71, 18 Balance Sheet 8 of 8 and 20 DCF Valuation 19 of 19 in Base, Best and Worst after the reverse-DCF refresh. These are consistency checks on the wiring, not evidence that the assumptions are right. Error cells: 17 Model L85 and now M85 (P/FCF on negative FY2026E and FY2027E free cash flow), by design.</t>
  </si>
  <si>
    <t>Services segment growth, 1pp lower / higher a year, FY2027E-FY2030E</t>
  </si>
  <si>
    <t>Search growth alone, 1pp lower a year, FY2027E-FY2030E</t>
  </si>
  <si>
    <t>•  Goodwill rose 33,380 -&gt; 57,774 at Mar 2026, an increase of 24,394, as the Wiz and Intersect acquisitions closed in Q1 2026 (57,828 at Jun 2026). Corrected 2026-10-13: this note put the Wiz goodwill at about 33,000, which is close to the purchase price, not the goodwill.</t>
  </si>
  <si>
    <t>Average of the provider's forward P/E at fiscal year-ends 2021 to 2025 (26.61, 17.89, 21.69, 22.05, 29.41; StockAnalysis ratios page, Oct 13 2026). Replaced 24.8x on 2026-10-13: that figure was read from the provider in September and can no longer be found on its pages.</t>
  </si>
  <si>
    <t>The DCF grids on 20 DCF Valuation remain end-of-period from June 30 2026; the price-date value is a memo on 11 Valuation, not a rebuild. The derived terminal margin stays the base; the held-margin value is shown beside it. Peer operating figures are provider data, checked the same day against each peer's SEC XBRL filings: all five tie within 0.3%. Services growth sensitivity re-run: 1pp a year moves base value by about $8, Search alone by about $5 (11 Valuation rows 125-126). The five-year average forward P/E is now 23.5x, the average of the provider's five fiscal year-end figures, replacing a 24.8x September reading that could not be re-sourced; the relative range is 299 to 371. A final check the same day: 209 source links requested with none dead (15 refuse automated requests), all three engines and the DCF reproduced independently from the inputs to 1e-13, the four model copies identical apart from the P/FCF display row, and no #REF!, circular reference or external link. FactSet capex consensus (257,000) is a September figure; MarketScreener is now 302,822. Q3 2026 results are expected Oct 28 (not confirmed by Alphabet).</t>
  </si>
  <si>
    <t>22 Earnings Quality</t>
  </si>
  <si>
    <t>23 Growth and Mix</t>
  </si>
  <si>
    <t>24 Cash and Margins</t>
  </si>
  <si>
    <t>25 Peers and Priorities</t>
  </si>
  <si>
    <t>26 Pack Audit</t>
  </si>
  <si>
    <t>27 Model Audit</t>
  </si>
  <si>
    <t>28 Sources</t>
  </si>
  <si>
    <t>29 Change Log</t>
  </si>
  <si>
    <t>21 Reverse DCF</t>
  </si>
  <si>
    <t>•  SOURCE QUALITY: '28 Sources' applies a documented source-quality policy. Tier 5 items are retained only where no free primary transcript exists; archived links do not support workbook exhibits.</t>
  </si>
  <si>
    <t>HOW THE TWO LAYERS RELATE - READ BEFORE EDITING SHEETS 01-13. The model sheets do not copy the pack, they LINK to it live. Sheets 01, 03, 05, 06, 08, 09 and 11 are precedents for the forecast: most of the checks on '27 Model Audit' reach back into them. Inserting or deleting rows on those sheets will silently repoint formulas and break the forecast, because the links are cell-address based. Add new content BELOW existing blocks rather than inserting rows inside them. The pack remains the single source of truth for all history; the model sheets add no new facts, only forward assumptions.</t>
  </si>
  <si>
    <t>MEMO ADDED 2026-10-07: DEFERRED TAX AND EQUITY STAKES (Q2 2026 10-Q; 29 Change Log entries 53 and 58)</t>
  </si>
  <si>
    <t>CORE TAX REBUILT 2026-10-07: reported tax less the tax on the equity-securities gain (29 Change Log entry 53)</t>
  </si>
  <si>
    <t>•  Use the verified consensus block above for comparisons. Earlier provisional estimates are preserved only in '29 Change Log'.</t>
  </si>
  <si>
    <t>FORWARD EARNINGS BASIS AND RELATIVE VALUATION - added 2026-10-13, see 29 Change Log entry 65</t>
  </si>
  <si>
    <t>RECONCILIATION INPUTS ADDED 2026-09-17 - see 29 Change Log entry 24</t>
  </si>
  <si>
    <t>CAPEX RETURN AND FADE STAGE - added 2026-09-24, see 29 Change Log entry 42</t>
  </si>
  <si>
    <t>TAX ON EQUITY-SECURITIES GAINS AND THE CORE RATE - added 2026-10-07, see 29 Change Log entry 53</t>
  </si>
  <si>
    <t>FADE STAGE: REINVESTMENT AND MARGIN PATHS - added 2026-10-07, see 29 Change Log entry 54</t>
  </si>
  <si>
    <t>CLOUD BACKLOG CROSS-CHECK - added 2026-10-07, see 29 Change Log entry 55</t>
  </si>
  <si>
    <t>MIX-WEIGHTED PRE-RAMP MARGIN - added 2026-10-07, see 29 Change Log entry 56</t>
  </si>
  <si>
    <t>BETA SELECTION - added 2026-10-07, see 29 Change Log entry 57</t>
  </si>
  <si>
    <t>Used by the reverse DCF (21 Reverse DCF) to test beta 1.0 and 0.8.</t>
  </si>
  <si>
    <t>FADE-STAGE CONTROLS (added 2026-10-07, 29 Change Log entry 54)</t>
  </si>
  <si>
    <t>I. CHECKS ADDED 2026-10-07 (29 Change Log entries 46 to 60)</t>
  </si>
  <si>
    <t>C1: the static reverse-DCF tables on 21 Reverse DCF are current (as-built base = live headline)</t>
  </si>
  <si>
    <t>Static as-built base value (read by 27 Model Audit check 71)</t>
  </si>
  <si>
    <t>22 — EARNINGS QUALITY</t>
  </si>
  <si>
    <t>23 — GROWTH AND MIX</t>
  </si>
  <si>
    <t>24 — CASH AND MARGINS</t>
  </si>
  <si>
    <t>25 — PEERS AND RESEARCH PRIORITIES</t>
  </si>
  <si>
    <t>26 — PACK AUDIT</t>
  </si>
  <si>
    <t>27 — MODEL AUDIT</t>
  </si>
  <si>
    <t>28 — SOURCES</t>
  </si>
  <si>
    <t>29 — CHANGE LOG</t>
  </si>
  <si>
    <t>21 — REVERSE DCF: WHAT THE PRICE ASSUMES</t>
  </si>
  <si>
    <t>66. REVERSE DCF MOVED INTO PART 5 AND SHEETS RENUMBERED - October 14, 2026</t>
  </si>
  <si>
    <t>The reverse DCF was appended at the end of the workbook after the controls, although it belongs with the valuation in Part 5 (The Forward Model).</t>
  </si>
  <si>
    <t>29 Reverse DCF' renamed '21 Reverse DCF' and moved directly after '20 DCF Valuation'. Downstream sheets renumbered: 21-24 Earnings Quality / Growth and Mix / Cash and Margins / Peers and Priorities became 22-25; 25 Pack Audit, 26 Model Audit, 27 Sources and 28 Change Log became 26-29. Sheet titles in B2, the 00 Contents table of contents (Reverse DCF now row 31 under Part 5), live text notes and descriptive references on 00 Contents, 04, 06, 07, 11, 15, 20, 21 and 27 updated. Change-log entries 1-65 left as written; they describe the numbering in force at the time.</t>
  </si>
  <si>
    <t>Formula references were rewritten by Excel during the rename. No number, assumption or formula logic changed.</t>
  </si>
  <si>
    <t>67. CHARTS ON SHEETS 22-25 REDESIGNED - October 14, 2026</t>
  </si>
  <si>
    <t>The nine charts on 22-25 used default styling with a data label on every point, so the numbers and words overlapped.</t>
  </si>
  <si>
    <t>One palette (navy, orange for GOOGL and operating income, grey for reported and peer figures), Arial, light gridlines, legends at the top. Titles now give the unit. Data labels only on key points: TTM Jun'26 and FY2030E on line charts, and every bar on bar charts, which are short series. $M values are shown as $B using a number format. Operating Scale became a combination chart (revenue columns, operating income line), and Depreciation Ramp became a column chart. Peer bubbles are labeled with tickers, and the legend was removed. The charts were resized to a matching 410 x 300 grid.</t>
  </si>
  <si>
    <t>Formatting only. The charts still read the same source ranges, and no number or formula changed.</t>
  </si>
  <si>
    <t>68. LINE CHARTS SMOOTHED - October 14, 2026</t>
  </si>
  <si>
    <t>Requested for readability.</t>
  </si>
  <si>
    <t>Smoothed lines turned on for the line series on 22 Earnings Quality (EPS Quality, PE Distortion), 23 Growth and Mix (operating income line in Operating Scale) and 24 Cash and Margins (Margin Path).</t>
  </si>
  <si>
    <t>Formatting only. The plotted points and source ranges are unchanged. A smoothed curve can bend slightly past the real values between points.</t>
  </si>
  <si>
    <t>Reported less core ($)</t>
  </si>
  <si>
    <t>Forecast flag</t>
  </si>
  <si>
    <t>EPS WATERFALL: reported TTM to FY2030E core ($ per share)</t>
  </si>
  <si>
    <t>Type</t>
  </si>
  <si>
    <t>Running level</t>
  </si>
  <si>
    <t>Base (hidden)</t>
  </si>
  <si>
    <t>Increase</t>
  </si>
  <si>
    <t>Decrease</t>
  </si>
  <si>
    <t>Chart helper: feeds the waterfall chart below. Base is plotted with no fill; Increase, Decrease and Total are the visible bars.</t>
  </si>
  <si>
    <t>REVENUE WATERFALL: FY2025 to FY2030E by segment ($M)</t>
  </si>
  <si>
    <t>69. WATERFALL AND SHADED CHARTS ADDED - October 14, 2026</t>
  </si>
  <si>
    <t>Requested: waterfall and shaded-area visuals.</t>
  </si>
  <si>
    <t>New waterfall charts: 'EPS Waterfall' on 22 Earnings Quality (reported TTM EPS, less after-tax equity gains, core TTM EPS, plus core growth, FY2030E core EPS) and 'Revenue Waterfall' on 23 Growth and Mix (FY2025 revenue, change in each segment, FY2030E revenue). Each is a stacked column chart fed by live helper formulas in M5:T14, with an unfilled base series. Shaded areas: on 22 EPS Quality, the gap between reported and core EPS (helper H6:H14); on EPS Quality, PE Distortion and 24 Margin Path, a grey band marking the forecast years (flag columns 22!I6:I14 and 24!I6:I14).</t>
  </si>
  <si>
    <t>Helper cells are formulas that read the existing tables, so they follow the scenario switch. The revenue waterfall ends at 23 C14 and includes a 'Hedging and other' line, so the steps add up exactly. No model number changed.</t>
  </si>
  <si>
    <t>Reported TTM</t>
  </si>
  <si>
    <t>Equity gains (after tax)</t>
  </si>
  <si>
    <t>Core TTM</t>
  </si>
  <si>
    <t>Core growth</t>
  </si>
  <si>
    <t>Core FY2030E</t>
  </si>
  <si>
    <t>Search</t>
  </si>
  <si>
    <t>YouTube</t>
  </si>
  <si>
    <t>Network</t>
  </si>
  <si>
    <t>Subs/devices</t>
  </si>
  <si>
    <t>Cloud</t>
  </si>
  <si>
    <t>Hedging/other</t>
  </si>
  <si>
    <t>Entry 70 - 2026-10-14</t>
  </si>
  <si>
    <t>Waterfall charts restyled to the shared chart style</t>
  </si>
  <si>
    <t>Charts</t>
  </si>
  <si>
    <t>22 Earnings Quality' EPS Waterfall; '23 Growth and Mix' Revenue Waterfall</t>
  </si>
  <si>
    <t>Arial 9pt, navy titles that state the takeaway, clean plot area, light gridlines and a muted grey axis, legend on top (hidden Base entry), gap width 45, white bold labels inside the bars, Increase green #4C9F70, Decrease orange, Total navy. Short step labels in M6:M10 and M6:M14.</t>
  </si>
  <si>
    <t>Data impact</t>
  </si>
  <si>
    <t>None. The helper formulas are unchanged; only text labels and formatting were edited.</t>
  </si>
  <si>
    <t>MarketScreener, Oct 13 2026 (201,756 for FY2026 and 344,704 for FY2028). FactSet was about 257,000 as of Jul 22, 2026 (CNBC coverage of the Q2 results); no later FactSet figure found.</t>
  </si>
  <si>
    <t>FY2026E lands inside the 195,000-205,000 guidance. FY2027E is set at about 257,000 (43.3% of revenue), the low end of the Street range of 257,000 (FactSet via CNBC, Jul 22 2026) to 302,822 (MarketScreener, Oct 2026), because management guided on the Q2 2026 call to a significant increase in 2027. Intensity then steps down six points a year to 25% by FY2030E. Reset 2026-10-13 (entry 65) from 36% / 32% / 28% / 25%, which put FY2027E only 6% above FY2026E. History: 10.5%, 15.0%, 22.7% and 29.7% from FY2023 to TTM Jun'26.</t>
  </si>
  <si>
    <t>71. FACTSET CAPEX SOURCE DATE CORRECTED - October 16, 2026</t>
  </si>
  <si>
    <t>The FY2027 capex consensus of 257,000 was labelled FactSet, Sep 2026, but the only trace of it is CNBC's coverage of the Q2 results on July 22, 2026, which quoted the FactSet consensus at about $257 billion. No later FactSet figure was found.</t>
  </si>
  <si>
    <t>Source labels corrected on 07 Consensus D76 and 15 Assumptions H32. The figure itself is unchanged; it is three months old and sits at the low end of the October range (MarketScreener 302,822).</t>
  </si>
  <si>
    <t>Text only. No value or formula changed; values on 20 DCF Valuation C29:E29 and the target on 11 Valuation C93 were read before and after.</t>
  </si>
  <si>
    <t>Base value at the price date needed for a Hold at the reference price</t>
  </si>
  <si>
    <t>Base value at the price date needed for a Buy at the reference price</t>
  </si>
  <si>
    <t>72. RATING THRESHOLDS MADE LIVE - October 16, 2026</t>
  </si>
  <si>
    <t>The draft move-to-Hold trigger on the risks slide put the price threshold at about $243, a price within 10% of the $221 target. The rating rule in 11 Valuation row 95 gives a Hold when the expected total return, dividends included, is above -10%, which happens below about $247. The two did not match.</t>
  </si>
  <si>
    <t>New block on 11 Valuation rows 128-133: the price below which the target gives a Hold (row 129) or a Buy (row 130), and the base value the rule needs at the reference price for a Hold (row 131) or a Buy (row 132). All four are live formulas on rows 6, 92 and 93 and the cost of equity. The deck now quotes row 129 on the risks slide.</t>
  </si>
  <si>
    <t>New rows only. Values on 20 DCF Valuation C29:E29 and the target on 11 Valuation C93 were read before and after and did not change.</t>
  </si>
  <si>
    <t>A. Valuation / the multiple</t>
  </si>
  <si>
    <t>D. Margins / depreciation</t>
  </si>
  <si>
    <t>E. Search / ad durability vs AI</t>
  </si>
  <si>
    <t>F. Gemini / AI model position</t>
  </si>
  <si>
    <t>G. Capital allocation</t>
  </si>
  <si>
    <t>H. Antitrust / regulatory</t>
  </si>
  <si>
    <t>Row order is rank order</t>
  </si>
  <si>
    <t>Rows 6-13 are in rank order and lettered A to H by rank (re-lettered 2026-10-16, entry 73). Until then the letters followed the order the factors were first listed in June; old to new: H to A, B and C unchanged, E to D, A to E, G to F, F to G, D to H. Dated notes, the change log and the markdown records before 2026-10-16 use the old letters.</t>
  </si>
  <si>
    <t>The critical factors set the model's scope. A drives '11 Valuation' and '06 Core EPS Bridge'; B and C drive the revenue and capex lines on '17 Model'.</t>
  </si>
  <si>
    <t>EPIC factor A total = sum of its four dimension scores</t>
  </si>
  <si>
    <t>•  Hedging gains (losses) are filed figures: Alphabet reports them as their own line in the revenue-by-type table (Q2 2026 10-Q R39: 106 and (112); FY2025 10-K R44: (127), 211 and 236). Corrected 2026-10-16; this note had called the Q2 figures a derived residual.</t>
  </si>
  <si>
    <t>The tab order had 16 Scenarios before 15 Assumptions, the hidden DCF engines separated from their parent sections, and 26 Pack Audit before visual-analysis sheets 22-25.</t>
  </si>
  <si>
    <t>Visible sheets restored to numerical order 00-29. Hidden DCF Base/Best/Worst Drivers placed after 16 Scenarios; hidden DCF Base/Best/Worst Models placed after 17 Model. Sheet names, titles, formulas and values were not changed.</t>
  </si>
  <si>
    <t>All 30 visible sheet names and B2 title numbers agree. All six helper sheets remain hidden and grouped with their parent sections.</t>
  </si>
  <si>
    <t>Three-scenario unlevered FCFF valuation at WACC, equity bridge, sensitivity and nineteen live checks.</t>
  </si>
  <si>
    <t>NUMBERING. Final numbering was applied on September 22, 2026; Reverse DCF was added on 2026-10-07 and moved into Part 5 on 2026-10-14; the physical tab order was restored on 2026-10-18. All 30 visible sheets run sequentially from 00 Contents through 29 Change Log. The forecast extension is 17 Model, 18 Balance Sheet, 19 Model Summary, 20 DCF Valuation and 21 Reverse DCF; visual analysis is 22-25; controls and provenance are 26-29. Six hidden DCF scenario-engine sheets retain descriptive helper names and are excluded from the reader-facing sequence.</t>
  </si>
  <si>
    <t>Confirmed rows 7-41 already list sheets 01-29 in correct narrative and numerical order. Updated the 20 DCF Valuation description from eleven to nineteen live checks and updated the numbering note in B70 to record the October 18 tab-order repair.</t>
  </si>
  <si>
    <t>Every visible tab from 00 Contents through 29 Change Log is represented in the contents structure; sheet entries 01-29 are in exact ascending order. Hidden scenario-engine sheets remain intentionally excluded.</t>
  </si>
  <si>
    <t>Rows 6-32: FY2026 GAAP-basis consensus as of September 8, 2026, kept as a dated record. Rows 34-39 and 56-76: October 12-13, 2026 (StockAnalysis, MarketScreener). Rows 78-83: a provider check on October 16, 2026. $ millions except per-share.</t>
  </si>
  <si>
    <t>StockAnalysis, Oct 12 2026 (S&amp;P Global poll). The page gave +28.95% on its FY2026 mean of 11.82 (row 67), a provider-stated growth rate. Was 14.84 on Sep 8 (49 analysts, range 13.67-17.21); the range is not shown on the free page. 15.25 on Oct 16 (row 80).</t>
  </si>
  <si>
    <t>•  EPS and revenue consensus in rows 6-32 as of September 8, 2026 (GAAP basis); rows 34-39 and 56-61 re-pulled October 12-13, 2026. Price targets and ratings as of October 12, 2026; ratings total 62. Rows 66-76 carry the October 12-13 update and rows 78-83 the October 16 provider check.</t>
  </si>
  <si>
    <t>DERIVED here = September GAAP-basis consensus (row 6) less the H1'26 marks per share (row 64). Not a published consensus figure; it differs from base-case core EPS (11.82) because the methods differ.</t>
  </si>
  <si>
    <t>FY2026 EPS - consensus mean, October 12, 2026 ($)</t>
  </si>
  <si>
    <t>StockAnalysis (S&amp;P Global poll), Oct 12 2026, as recorded that day: 52 analysts, range 11.38-12.43. The page did not say how the H1'26 marks were treated; the FY2027 growth rate it printed (+28.95%, row 34) works back to this figure. Its match with base-case core EPS is a coincidence, not a check of either. By Oct 16 the mean was 13.14 on a range of 11.38-20.65 (row 79), so analysts differ on whether to include the marks.</t>
  </si>
  <si>
    <t>DERIVED. A comparison of two figures, not a test of the provider's basis: row 63 is derived here from the September GAAP-basis consensus.</t>
  </si>
  <si>
    <t>Oct 12 consensus mean against base-case core EPS</t>
  </si>
  <si>
    <t>DERIVED against the base engine ('DCF Base Model' L48), so it does not move with the scenario switch. A near-match of two independent figures, not a check of either.</t>
  </si>
  <si>
    <t>Oct 12 consensus pair: average of the FY2026 and FY2027 means ($)</t>
  </si>
  <si>
    <t>Price / Oct 12 consensus pair</t>
  </si>
  <si>
    <t>PROVIDER CHECK - October 16, 2026 (StockAnalysis, S&amp;P Global poll; page last updated Oct 16)</t>
  </si>
  <si>
    <t>FY2026 EPS - consensus mean, October 16, 2026 ($)</t>
  </si>
  <si>
    <t>52 analysts, range 11.38-20.65; +21.55% on FY2025's 10.81. The high end sits near the September GAAP-basis figure (20.60, which carries the H1'26 marks) and the low end near the ex-marks level, so the mean blends both treatments.</t>
  </si>
  <si>
    <t>FY2027 EPS - consensus mean, October 16, 2026 ($)</t>
  </si>
  <si>
    <t>StockAnalysis, Oct 16 2026; +16.07% on the FY2026 mean. Range not shown on the free page.</t>
  </si>
  <si>
    <t>Provider forward P/E, October 16, 2026</t>
  </si>
  <si>
    <t>Share price for that forward P/E ($)</t>
  </si>
  <si>
    <t>EPS implied by the provider's forward P/E ($)</t>
  </si>
  <si>
    <t>Forward P/E - Oct 12 consensus FY2026 mean</t>
  </si>
  <si>
    <t>Model core EPS, average of FY2026E and FY2027E, base case ($)</t>
  </si>
  <si>
    <t>DERIVED = equal-weighted average of FY2026E and FY2027E base-case core EPS (hidden base engine, so it does not move with the scenario switch). A blend of two fiscal years, not a quarterly next-four-quarter figure.</t>
  </si>
  <si>
    <t>On the Oct 12 consensus pair</t>
  </si>
  <si>
    <t>Five-year average forward P/E x FY2026-FY2027 blended EPS</t>
  </si>
  <si>
    <t>Peer median forward P/E x FY2026-FY2027 blended EPS</t>
  </si>
  <si>
    <t>Row 82 puts the multiples on FY2026 alone, a fiscal year with under three months left. Rows 78-79 use a FY2026-FY2027 blend, which gives about 8% more on model earnings and 14% more on the consensus pair; the difference comes from choosing a higher, blended denominator. The provider's forward P/Es (rows 74-75) may rest on different earnings definitions from rows 72-73, so these values are approximate. C is the five-year average and D the peer median in row 82 only.</t>
  </si>
  <si>
    <t>STATIC + Cloud revenue added of 35 cents per $ of prior-year capex (base 30)</t>
  </si>
  <si>
    <t>Reading: the base DCF sits far below the multiples because it lets depreciation catch up with the build and earns 15% on new capital. It reaches the range of the multiples only with the FY2030E margin held, a 25% return on new capital, Cloud at 35 cents and twice the margin expansion together. That combination is one modelled way to reconcile the DCF with the multiples and the price, not evidence that the market assumes it; the base case does not.</t>
  </si>
  <si>
    <t>Cloud revenue added per $ of prior-year capex, 25 / 35 cents</t>
  </si>
  <si>
    <t>Search growth alone, 1pp lower a year, FY2027E-FY2030E: at the price date (row 90 basis)</t>
  </si>
  <si>
    <t>73. EPIC FACTORS RE-LETTERED IN RANK ORDER - October 16, 2026</t>
  </si>
  <si>
    <t>The factor letters followed the order the factors were first listed in June (H, B, C, E, A, G, F, D by score), which read as confusing on the deck. They now run A to H by rank.</t>
  </si>
  <si>
    <t>Old to new: H to A (valuation), B and C unchanged, E to D (margins), A to E (Search), G to F (Gemini), F to G (capital allocation), D to H (antitrust). 13 EPIC Ranking: rows 9 and 10 swapped so rows 6-13 run in rank order; labels, notes B17 and B23-B26, B37:C38 updated; C36 follows the labels. 25 Peers and Priorities C18:D19 re-pointed to the swapped rows. 26 Pack Audit C31 label. Change log entries before this one keep the old letters.</t>
  </si>
  <si>
    <t>Every factor total read before and after the swap, by factor name, and they match. No score changed. Values on 20 DCF Valuation C29:E29 and the target on 11 Valuation C93 are unchanged. (Restored 2026-10-18 from the 2026-10-16 backup: the original rows were overwritten when entries 75 and 76 were written.)</t>
  </si>
  <si>
    <t>74. HEDGING NOTE CORRECTED TO CITE THE FILINGS - October 16, 2026</t>
  </si>
  <si>
    <t>The 03 Segments B42 note called the Q2'25 and Q2'26 hedging figures a derived residual to the reported total. Alphabet files them as their own line in the revenue-by-type table.</t>
  </si>
  <si>
    <t>03 Segments B42 rewritten to cite the filings: Q2 2026 10-Q R39 (106 and (112)) and FY2025 10-K R44 ((127), 211 and 236). No figure changed.</t>
  </si>
  <si>
    <t>Every hedging figure on 03 Segments row 15 ties to the filings named. Values on 20 DCF Valuation C29:E29 and the target on 11 Valuation C93 are unchanged. (Rewritten 2026-10-18 from the session record: the original rows were overwritten when entries 75 and 76 were written.)</t>
  </si>
  <si>
    <t>75. SHEET ORDER AND NUMBERING RESTORED - October 18, 2026</t>
  </si>
  <si>
    <t>76. TABLE OF CONTENTS RECONCILED - October 18, 2026</t>
  </si>
  <si>
    <t>The physical tab order was repaired in entry 75, so the contents page was checked against all 30 visible sheets and its supporting descriptions reviewed.</t>
  </si>
  <si>
    <t>77. CONSENSUS ATTRIBUTION AND FORWARD-EARNINGS LABELS CORRECTED - October 18, 2026</t>
  </si>
  <si>
    <t>A review found that the workbook presented the Oct 12 FY2026 consensus mean (11.82) as a figure without the H1'26 marks, and inferred the provider's forward-P/E basis (next four quarters) from a numerical match. Neither was stated by the provider. A check on Oct 16 found a FY2026 mean of 13.14 on a range of 11.38-20.65, so analysts differ on the marks, and a forward P/E of 25.56x at $340.59 that matches neither FY2026 nor the FY2026-FY2027 average. This supersedes those conclusions in entries 64 and 65 (C478, C486, C487), which stay as written. The review also found a direction error in 07 Consensus B54.</t>
  </si>
  <si>
    <t>Labels and sources</t>
  </si>
  <si>
    <t>07 Consensus: B3, D34, B53, B63, D63, B67, D67, D70, B71:D73 and B74 relabelled (Oct 12 mean and consensus pair, basis not stated); B42, B43, B49 reworded; B54 direction corrected (a higher full-year share count raises the implied margin). 11 Valuation: D13, B15, B72:D73, D77, B78:B79, B83, B106, B112, B121 and B133 (a Cloud signal prompts a re-run, not an automatic rating change). 12 Peers B24, 13 EPIC Ranking B17 and B19 (16x replaced by the live forward reported P/E), 00 Contents C14 and B43.</t>
  </si>
  <si>
    <t>Formula rewiring</t>
  </si>
  <si>
    <t>Text formulas only: 07 Consensus D74 and 11 Valuation D15 rewritten. New 07 Consensus rows 78-83 (Oct 16 provider check; C83 derives the EPS implied by the provider's forward P/E). New 11 Valuation row 127: Search 1pp lower a year at the price date, -5.64 (scenario engine; the as-built -5.39 stays on row 126). No formula that feeds a value changed: 11 Valuation C15, C72:C73 and C78:D79 keep their formulas.</t>
  </si>
  <si>
    <t>Assumption changes</t>
  </si>
  <si>
    <t>None. The reference price stays $354.72 (Oct 13); the Oct 16 close is recorded on 07 Consensus row 82 for the Q3 refresh only.</t>
  </si>
  <si>
    <t>Restored</t>
  </si>
  <si>
    <t>Entries 73 and 74 (October 16) had been overwritten by the October 18 tab-order and contents entries, now numbered 75 and 76. Entry 73 is restored from the 2026-10-16 backup; entry 74 is rewritten from the session record.</t>
  </si>
  <si>
    <t>26 Pack Audit 26 of 26, 27 Model Audit 71 of 71, 18 Balance Sheet 8 of 8 and 20 DCF Valuation 19 of 19 in Base, Best and Worst. Error cells only the deliberate 17 Model L85 and M85. Values unchanged: 193.49 / 348.21 / 77.23 as built, 202.44 / 364.72 / 80.49 at the price date, target 221.25, Sell; relative values 299.15, 318.36, 348.23, 370.59. replica_check.py largest difference 2.6e-14; formula_check.ps1: no #REF!, no circular reference, no external link, two new formulas (07 Consensus C83:D83). The Search figure on row 127 reproduces in the scenario engine (-5.6385).</t>
  </si>
  <si>
    <t>StockAnalysis, close Oct 16 2026 (4:00pm EDT)</t>
  </si>
  <si>
    <t>11 — VALUATION AT $340.59</t>
  </si>
  <si>
    <t>Prices at October 16, 2026; filed figures through Q2 2026. $ millions except per-share and ratios.</t>
  </si>
  <si>
    <t>Provider figure: S&amp;P Global via StockAnalysis, Oct 16 2026. Not derived here; the growth basis is not disclosed.</t>
  </si>
  <si>
    <t>StockAnalysis, close Oct 16 2026</t>
  </si>
  <si>
    <t>S&amp;P Global via StockAnalysis, close Oct 16 2026 at $340.59 (it was 26.18x on Oct 13 at $354.72). The basis is not stated; rows 81-83 show it matches neither FY2026 nor the FY2026-FY2027 average.</t>
  </si>
  <si>
    <t>S&amp;P Global via StockAnalysis statistics page, Oct 16 2026; the same figure as row 70. The basis is not stated.</t>
  </si>
  <si>
    <t>Close, Oct 16 2026 (StockAnalysis); also the reference price on 11 Valuation C6.</t>
  </si>
  <si>
    <t>October 16, 2026 (close, StockAnalysis); TTM cash-flow and ROIC columns as of the latest filings. $ millions except per-share and ratios.</t>
  </si>
  <si>
    <t>Relative performance since the June 26 close: eleven weeks to Sep 10, and to Oct 16</t>
  </si>
  <si>
    <t>•  GOOGL forward P/E (F6) is the provider's figure from '07 Consensus' row 70, on the same basis as the five peers. GOOGL ROIC is the provider's (S&amp;P Global via StockAnalysis, Sep 15 2026) and PEG the provider's of Oct 16 2026; both link to '11 Valuation' rows 32-39.</t>
  </si>
  <si>
    <t>Source: StockAnalysis statistics pages (S&amp;P Global data), Oct 16 2026, trailing twelve months to each company's latest reported quarter; GOOGL from the filed statements on sheet 01. Market caps are row 6-11. Column H divides market value by operating income after tax at each company's own effective rate, so interest, investment gains and equity-method results are excluded for all six. Checked 2026-10-13 against each peer's SEC XBRL filings (operating income and pretax income, trailing twelve months): all five tie to the provider within 0.3%. Amazon's filed non-operating income is 81,754 over the period (Q2 2026 Form 10-Q).</t>
  </si>
  <si>
    <t>script check: 7.04%</t>
  </si>
  <si>
    <t>STATIC, generated 2026-10-18 by google-research/scripts/reverse_dcf.ps1. Rerun after any model change; check 71 on 26 Model Audit fails when the static as-built value no longer matches the live headline.</t>
  </si>
  <si>
    <t>LEVERS LAYERED ONE AT A TIME - STATIC, generated 2026-10-18 by google-research/scripts/reverse_dcf.ps1. Rerun after any model change; check 71 on 26 Model Audit fails when the static as-built value no longer matches the live headline.</t>
  </si>
  <si>
    <t>VALIDATION ON THE PRE-PART-B WORKBOOK (GOOGL_Data_2026-09-10.xlsx) - STATIC, generated 2026-10-18 by google-research/scripts/reverse_dcf.ps1. Rerun after any model change; check 71 on 26 Model Audit fails when the static as-built value no longer matches the live headline.</t>
  </si>
  <si>
    <t>RECONCILIATION: FROM THE BASE DCF TO THE MULTIPLES AND THE PRICE - base case, $ per share; static rows generated 2026-10-18</t>
  </si>
  <si>
    <t>ONE-AT-A-TIME SENSITIVITIES - base case as built, $ per share; STATIC, generated 2026-10-18 (same check as row 111)</t>
  </si>
  <si>
    <t>78. REFERENCE PRICE AND PEERS MOVED TO THE OCTOBER 16 CLOSE - October 18, 2026</t>
  </si>
  <si>
    <t>The reference price was the Oct 13 intraday $354.72. At the analyst's request it moves to the Oct 16 close, $340.59, with the five peers on the same snapshot.</t>
  </si>
  <si>
    <t>15 Assumptions C7 and 11 Valuation C6 to 340.59; price date 11 Valuation C87 to Oct 16 2026; provider PEG C33 1.91 to 1.86. 12 Peers rows 7-11 (price, market cap, trailing and forward P/E, EV/EBITDA, PEG, P/FCF) and I32:I37 (EV/EBIT) from the StockAnalysis statistics pages at the Oct 16 close; F14 to Oct 16. 07 Consensus C70 to the provider's 25.56x at that close, with D70, D74, D81 and D82 reworded. Date labels: 00 Contents B3, 11 Valuation B2, B3, D6, D33, B100, B114; 12 Peers B3, B13, B23, B38; 20 DCF Valuation I24.</t>
  </si>
  <si>
    <t>Regenerated</t>
  </si>
  <si>
    <t>21 Reverse DCF by scripts/reverse_dcf.ps1 (check 71 ties). 11 Valuation static rows 96, 104-107, 111 and 116-127 from scripts/sensitivity_tests.py through run_ops.ps1 and the scenario engine (D111 CURRENT). run_ops.ps1 had rolled test values to the price date over a fixed 105 days; it now reads C87 less the valuation date.</t>
  </si>
  <si>
    <t>26 Pack Audit 26 of 26, 27 Model Audit 71 of 71, 18 Balance Sheet 8 of 8 and 20 DCF Valuation 19 of 19 in Base, Best and Worst; error cells only the deliberate 17 Model L85 and M85. replica_check.py ties all three cases as built and at the price date (largest difference 2.6e-14); formula_check.ps1 unchanged from entry 77. Before regenerating, the static rows were reproduced from the pre-refresh file to the cent, which confirmed the mapping; the Services row (125) shifts Search, YouTube, Network and Subscriptions from FY2027E.</t>
  </si>
  <si>
    <t>As built 193.53 / 348.27 / 77.25 (was 193.49 / 348.21 / 77.23: share issuance and WACC weights at the lower price). At the price date 202.63 / 365.07 / 80.57 against 340.59: -41%, +7% and -76%. Target 221.46, expected total return -35%: Sell. Multiples 17.1x trailing reported, 33.0x trailing core, 28.8x forward core, EV / EBITDA 22.6x. Relative methods 299.08 to 359.63 (peer median forward P/E 26.6x). Hold below a price of 247.05; a base value of 279.35 for a Hold and 356.95 for a Buy. Break-even WACC 7.04%.</t>
  </si>
  <si>
    <t>Compiled September 10, 2026; share prices and peer multiples refreshed October 16, 2026. All figures $ millions unless noted. Personal hobby project by Mohammad Ahmadi, for informational and educational purposes only; not investment advice. Model outputs are assumption-dependent. Use at your own risk. Methodology, sources, assumptions and revisions are documented within the file.</t>
  </si>
  <si>
    <t>AI ASSISTANCE DISCLOSURE — Generative AI assisted with research and source gathering, filing checks, workbook construction and formulas, Python scripts (scenario engine, Monte Carlo), charts and slides, consistency checks, change tracking and drafting. I set the key assumptions and judgments and reviewed the work; that review is not a guarantee of accuracy. AI-generated content, citations, code and calculations may contain errors or omissions and should be independently verified. AI assistance is not independent assurance or an audit.</t>
  </si>
  <si>
    <t>•  READ THIS FIRST. Cells and rows flagged DERIVED are my own arithmetic, not filed or provider figures. They have not been audited and must be re-checked before anything is published.</t>
  </si>
  <si>
    <t>•  ALL rows marked DERIVED are my own arithmetic, not filed figures. Re-check before publication.</t>
  </si>
  <si>
    <t>Derived here: September FY2026 consensus EPS less estimated H1'26 marks ($)</t>
  </si>
  <si>
    <t>Oct 12 consensus mean against the figure derived here (row 63)</t>
  </si>
  <si>
    <t>DERIVED = equal-weighted average of the Oct 12 FY2026 mean (row 67) and FY2027 mean (row 34), one provider vintage. My own construction for a forward multiple; not the provider's next-four-quarter EPS, which it does not publish.</t>
  </si>
  <si>
    <t>•  Rows marked CORE are DERIVED here, not provider or filed figures.</t>
  </si>
  <si>
    <t>Inputs staged; terminal growth and debt spread remain my choices.</t>
  </si>
  <si>
    <t>Equal-weighted average of the Oct 12 FY2026 and FY2027 consensus means ('07 Consensus' row 73). My own construction, not the provider's next-four-quarter EPS. Forward multiples go on a FY2026-FY2027 blend because FY2026 has under three months left.</t>
  </si>
  <si>
    <t>DCF AT THE PRICE DATE, TWELVE-MONTH MODEL VALUE AND PERSONAL MODEL LABEL - added 2026-10-13, entry 65</t>
  </si>
  <si>
    <t>TWELVE-MONTH MODEL VALUE: row 90 x (1 + cost of equity), less dividends</t>
  </si>
  <si>
    <t>Model-implied twelve-month total return against the reference price</t>
  </si>
  <si>
    <t>Personal model label (Buy above +15%, Sell below -10%, otherwise Hold); not a trading recommendation</t>
  </si>
  <si>
    <t>MODEL-LABEL THRESHOLDS ON THE BASE CASE - added 2026-10-16, entry 72</t>
  </si>
  <si>
    <t>Price below which the twelve-month model value gives a Hold (model-implied return above -10%)</t>
  </si>
  <si>
    <t>Price below which the twelve-month model value gives a Buy (model-implied return above +15%)</t>
  </si>
  <si>
    <t>Rows 129-130 hold the model value fixed and move the price; rows 131-132 hold the price fixed and ask what base value (row 90) the rule in row 95 needs. Row 129 replaces the earlier draft trigger of a price within 10% of the model value (about $243), which did not count the dividend or the -10% band on the price. The deck uses row 129 on the risks slide and rows 131-132 on the slide on what would change my view. A signal on that slide prompts a re-run of the base case; the label moves only if the re-run model value clears the bands in row 95.</t>
  </si>
  <si>
    <t>Every score here is my assessment, not a filed or provider figure. Evidence for each score appears in the notes above and is reviewed as new information arrives.</t>
  </si>
  <si>
    <t>Optional override. Leave blank to use the row 86 average; enter a rate such as 0.165 only when a documented alternative view is intended. The rate drives forecast core tax, NOPAT and the WACC tax shield.</t>
  </si>
  <si>
    <t>Optional override. A lower intensity raises the terminal margin, but the implied reinvestment then falls below g / return in rows 107-108.</t>
  </si>
  <si>
    <t>Optional override. Use only with a documented terminal-margin view; the derived value in row 104 is the internally consistent default.</t>
  </si>
  <si>
    <t>Manual switch. 0 keeps the documented typed path. 1 uses the mix-weighted path on '17 Model' row 123, combining Services and Cloud margins with Other Bets and Alphabet-level costs.</t>
  </si>
  <si>
    <t>The conclusion is driven by the operating-margin, depreciation and capex paths. Terminal value remains the largest component, so the output should be read with the sensitivity grid and is not investment advice. The value at the price date with mid-period discounting, the twelve-month model value and a reconciliation to the multiples are on 11 Valuation rows 85-112.</t>
  </si>
  <si>
    <t>AI ASSISTANCE DISCLOSURE — Generative AI assisted with research and source gathering, filing checks, workbook construction and formulas, Python scripts (scenario engine, Monte Carlo), charts and slides, consistency checks, change tracking and drafting. I set the key assumptions and judgments and reviewed the work; that review is not a guarantee of accuracy. AI-generated content, citations, code and calculations may contain errors or omissions and should be independently verified. AI-assisted checks are not an independent audit, assurance engagement or investment recommendation. Entries below are dated records and keep the wording of their day.</t>
  </si>
  <si>
    <t>79. VOICE AND DISCLOSURE POLICY APPLIED - October 19, 2026</t>
  </si>
  <si>
    <t>Mohammad adopted a voice and disclosure policy for the whole project: a personal hobby project in the author's own voice, with model labels and model values instead of ratings and targets, and an AI disclosure that lists the actual tasks without guarantees or blanket responsibility claims.</t>
  </si>
  <si>
    <t>00 Contents B3 (personal-project notice), B45 (AI disclosure), B47; 06 Core EPS Bridge B29; 07 Consensus B63, B71, D73; 11 Valuation B31, C65, D72, B85, B93, B94, B95, B128, B129, B130, B133; 13 EPIC Ranking C39; 15 Assumptions E87, H101, H105, E117; 20 DCF Valuation B61; 29 Change Log B4. Text only.</t>
  </si>
  <si>
    <t>Kept</t>
  </si>
  <si>
    <t>External analysts, the Street's price targets, management's quotations, official framework names and every earlier change log entry, which keep the wording of their day.</t>
  </si>
  <si>
    <t>None. No formula, input or value changed; the formula outputs in 11 Valuation row 95 still read BUY / HOLD / SELL.</t>
  </si>
  <si>
    <t>26 Pack Audit 26 of 26, 27 Model Audit 71 of 71, 18 Balance Sheet 8 of 8 and 20 DCF Valuation 19 of 19 in Base, Best and Worst; values unchanged at 193.53 / 348.27 / 77.25 as built; error cells only the known P/FCF #N/A on 17 Model row 85. Applied by scripts/run_ops.ps1 after a dry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</si>
</sst>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0;\(#,##0\);&quot;-&quot;"/>
    <numFmt numFmtId="165" formatCode="#,##0.00;\(#,##0.00\);&quot;-&quot;"/>
    <numFmt numFmtId="166" formatCode="0.0;\(0.0\);&quot;-&quot;"/>
    <numFmt numFmtId="167" formatCode="0.0%"/>
    <numFmt numFmtId="168" formatCode="0.0"/>
    <numFmt numFmtId="169" formatCode="&quot;$&quot;#,##0.00"/>
    <numFmt numFmtId="170" formatCode="0.0\x"/>
    <numFmt numFmtId="171" formatCode="&quot;$&quot;0.00"/>
    <numFmt numFmtId="172" formatCode="#,##0;\(#,##0\)"/>
    <numFmt numFmtId="173" formatCode="mmm\ d\,\ yyyy"/>
    <numFmt numFmtId="174" formatCode="&quot;$&quot;0"/>
    <numFmt numFmtId="175" formatCode="&quot;$&quot;0.0000"/>
    <numFmt numFmtId="176" formatCode="0.00\x"/>
    <numFmt numFmtId="177" formatCode="0.000"/>
    <numFmt numFmtId="178" formatCode="0.0;\-0.0"/>
    <numFmt numFmtId="179" formatCode="\+0.0%;\-0.0%;0.0%"/>
    <numFmt numFmtId="180" formatCode="\+0.0%;\-0.0%"/>
    <numFmt numFmtId="181" formatCode="0.0000"/>
    <numFmt numFmtId="182" formatCode="0.000%"/>
    <numFmt numFmtId="183" formatCode="\+0.00%;\-0.00%"/>
    <numFmt numFmtId="184" formatCode="\+0.0;\-0.0"/>
    <numFmt numFmtId="185" formatCode="\+0.00;\-0.00"/>
    <numFmt numFmtId="186" formatCode="\+&quot;$&quot;0.00;\-&quot;$&quot;0.00"/>
    <numFmt numFmtId="187" formatCode="&quot;$&quot;0.0"/>
    <numFmt numFmtId="188" formatCode="0.0&quot;x&quot;"/>
  </numFmts>
  <fonts count="93" x14ac:knownFonts="1">
    <font>
      <sz val="11"/>
      <color theme="1"/>
      <name val="Calibri"/>
      <family val="2"/>
      <scheme val="minor"/>
    </font>
    <font>
      <sz val="11"/>
      <color rgb="FF000000"/>
      <name val="Calibri"/>
      <family val="2"/>
      <scheme val="minor"/>
    </font>
    <font>
      <sz val="10"/>
      <color theme="1"/>
      <name val="Arial"/>
    </font>
    <font>
      <b/>
      <sz val="10"/>
      <color theme="1"/>
      <name val="Arial"/>
    </font>
    <font>
      <sz val="10"/>
      <color rgb="FF0000FF"/>
      <name val="Arial"/>
    </font>
    <font>
      <sz val="14"/>
      <color rgb="FF002F6C"/>
      <name val="Arial"/>
    </font>
    <font>
      <b/>
      <sz val="10"/>
      <color rgb="FF002F6C"/>
      <name val="Arial"/>
    </font>
    <font>
      <b/>
      <sz val="10"/>
      <color rgb="FFFFFFFF"/>
      <name val="Arial"/>
    </font>
    <font>
      <b/>
      <sz val="11"/>
      <color rgb="FFFFFFFF"/>
      <name val="Arial"/>
    </font>
    <font>
      <sz val="9"/>
      <color theme="1"/>
      <name val="Arial"/>
    </font>
    <font>
      <sz val="9"/>
      <color rgb="FF002F6C"/>
      <name val="Arial"/>
    </font>
    <font>
      <b/>
      <sz val="18"/>
      <color rgb="FF008ED6"/>
      <name val="Arial"/>
    </font>
    <font>
      <i/>
      <sz val="9"/>
      <color theme="1"/>
      <name val="Arial"/>
    </font>
    <font>
      <i/>
      <sz val="9"/>
      <color rgb="FF002F6C"/>
      <name val="Arial"/>
    </font>
    <font>
      <sz val="10"/>
      <color rgb="FF002F6C"/>
      <name val="Arial"/>
    </font>
    <font>
      <sz val="9"/>
      <color rgb="FF5B77CC"/>
      <name val="Arial"/>
    </font>
    <font>
      <i/>
      <sz val="9"/>
      <color rgb="FF5B77CC"/>
      <name val="Arial"/>
    </font>
    <font>
      <b/>
      <sz val="9"/>
      <color rgb="FFFFFFFF"/>
      <name val="Arial"/>
    </font>
    <font>
      <b/>
      <i/>
      <sz val="9"/>
      <color rgb="FF5B77CC"/>
      <name val="Arial"/>
    </font>
    <font>
      <b/>
      <sz val="10"/>
      <color rgb="FF0000FF"/>
      <name val="Arial"/>
    </font>
    <font>
      <b/>
      <sz val="16"/>
      <color rgb="FF0000FF"/>
      <name val="Arial"/>
    </font>
    <font>
      <b/>
      <sz val="14"/>
      <color rgb="FFFFFFFF"/>
      <name val="Arial"/>
    </font>
    <font>
      <b/>
      <sz val="11"/>
      <color rgb="FFC00000"/>
      <name val="Arial"/>
    </font>
    <font>
      <sz val="10"/>
      <color rgb="FF008000"/>
      <name val="Arial"/>
    </font>
    <font>
      <sz val="10"/>
      <color rgb="FF000000"/>
      <name val="Arial"/>
    </font>
    <font>
      <b/>
      <sz val="10"/>
      <color rgb="FF008000"/>
      <name val="Arial"/>
    </font>
    <font>
      <sz val="9"/>
      <color rgb="FF0000FF"/>
      <name val="Arial"/>
    </font>
    <font>
      <sz val="9"/>
      <color rgb="FF000000"/>
      <name val="Arial"/>
    </font>
    <font>
      <sz val="9"/>
      <color rgb="FF009B73"/>
      <name val="Arial"/>
    </font>
    <font>
      <i/>
      <sz val="10"/>
      <color rgb="FF595959"/>
      <name val="Arial"/>
    </font>
    <font>
      <i/>
      <sz val="9"/>
      <color rgb="FF595959"/>
      <name val="Arial"/>
    </font>
    <font>
      <b/>
      <i/>
      <sz val="10"/>
      <color rgb="FF002F6C"/>
      <name val="Arial"/>
    </font>
    <font>
      <b/>
      <sz val="10"/>
      <name val="Arial"/>
    </font>
    <font>
      <sz val="10"/>
      <name val="Arial"/>
    </font>
    <font>
      <b/>
      <sz val="10"/>
      <color rgb="FF000000"/>
      <name val="Arial"/>
    </font>
    <font>
      <sz val="10"/>
      <color rgb="FF4B5563"/>
      <name val="Arial"/>
    </font>
    <font>
      <b/>
      <sz val="10"/>
      <color rgb="FF4B5563"/>
      <name val="Arial"/>
    </font>
    <font>
      <b/>
      <i/>
      <sz val="9"/>
      <color rgb="FF404040"/>
      <name val="Arial"/>
    </font>
    <font>
      <i/>
      <sz val="9"/>
      <color rgb="FF404040"/>
      <name val="Arial"/>
    </font>
    <font>
      <i/>
      <sz val="9"/>
      <color rgb="FF000000"/>
      <name val="Arial"/>
    </font>
    <font>
      <b/>
      <sz val="9"/>
      <color rgb="FF0000FF"/>
      <name val="Arial"/>
    </font>
    <font>
      <b/>
      <sz val="9"/>
      <color rgb="FF000000"/>
      <name val="Arial"/>
    </font>
    <font>
      <b/>
      <sz val="9"/>
      <color rgb="FFC00000"/>
      <name val="Arial"/>
    </font>
    <font>
      <b/>
      <sz val="9"/>
      <color rgb="FF009B73"/>
      <name val="Arial"/>
    </font>
    <font>
      <sz val="9"/>
      <color rgb="FF404040"/>
      <name val="Arial"/>
    </font>
    <font>
      <b/>
      <sz val="9"/>
      <color rgb="FF002F6C"/>
      <name val="Arial"/>
    </font>
    <font>
      <sz val="10"/>
      <color rgb="FF1F2937"/>
      <name val="Arial"/>
    </font>
    <font>
      <i/>
      <sz val="10"/>
      <color rgb="FF475569"/>
      <name val="Arial"/>
    </font>
    <font>
      <b/>
      <i/>
      <sz val="11"/>
      <color rgb="FFFFFFFF"/>
      <name val="Arial"/>
    </font>
    <font>
      <b/>
      <sz val="10"/>
      <color rgb="FF17365D"/>
      <name val="Arial"/>
    </font>
    <font>
      <sz val="11"/>
      <color theme="1"/>
      <name val="Arial"/>
    </font>
    <font>
      <b/>
      <sz val="11"/>
      <color rgb="FF17365D"/>
      <name val="Arial"/>
    </font>
    <font>
      <sz val="9"/>
      <name val="Arial"/>
    </font>
    <font>
      <sz val="9"/>
      <color rgb="FF1F2937"/>
      <name val="Arial"/>
    </font>
    <font>
      <i/>
      <sz val="9"/>
      <color rgb="FF475569"/>
      <name val="Arial"/>
    </font>
    <font>
      <u/>
      <sz val="9"/>
      <color rgb="FF005A96"/>
      <name val="Arial"/>
    </font>
    <font>
      <b/>
      <sz val="9"/>
      <name val="Arial"/>
    </font>
    <font>
      <b/>
      <sz val="9"/>
      <color rgb="FF8B1A1A"/>
      <name val="Arial"/>
    </font>
    <font>
      <sz val="9"/>
      <color rgb="FF8B1A1A"/>
      <name val="Arial"/>
    </font>
    <font>
      <b/>
      <sz val="9"/>
      <color rgb="FF02223C"/>
      <name val="Arial"/>
    </font>
    <font>
      <b/>
      <sz val="9"/>
      <color theme="1"/>
      <name val="Arial"/>
    </font>
    <font>
      <i/>
      <sz val="10"/>
      <color rgb="FF404040"/>
      <name val="Arial"/>
    </font>
    <font>
      <b/>
      <sz val="11"/>
      <color rgb="FF002F6C"/>
      <name val="Arial"/>
    </font>
    <font>
      <sz val="11"/>
      <color rgb="FF0000FF"/>
      <name val="Arial"/>
    </font>
    <font>
      <b/>
      <sz val="11"/>
      <color theme="1"/>
      <name val="Arial"/>
    </font>
    <font>
      <sz val="11"/>
      <color rgb="FF000000"/>
      <name val="Arial"/>
    </font>
    <font>
      <sz val="11"/>
      <color rgb="FF008000"/>
      <name val="Arial"/>
    </font>
    <font>
      <i/>
      <sz val="11"/>
      <color rgb="FF404040"/>
      <name val="Arial"/>
    </font>
    <font>
      <i/>
      <sz val="11"/>
      <color rgb="FF526273"/>
      <name val="Arial"/>
    </font>
    <font>
      <b/>
      <sz val="11"/>
      <color rgb="FF008000"/>
      <name val="Arial"/>
    </font>
    <font>
      <sz val="11"/>
      <color rgb="FF008000"/>
      <name val="Calibri"/>
      <family val="2"/>
      <scheme val="minor"/>
    </font>
    <font>
      <i/>
      <sz val="10"/>
      <color rgb="FF5B77CC"/>
      <name val="Arial"/>
      <family val="2"/>
    </font>
    <font>
      <sz val="10"/>
      <color rgb="FF0000FF"/>
      <name val="Arial"/>
      <family val="2"/>
    </font>
    <font>
      <sz val="10"/>
      <color rgb="FF008000"/>
      <name val="Arial"/>
      <family val="2"/>
    </font>
    <font>
      <sz val="10"/>
      <color rgb="FF000000"/>
      <name val="Arial"/>
      <family val="2"/>
    </font>
    <font>
      <b/>
      <sz val="10"/>
      <color rgb="FF000000"/>
      <name val="Arial"/>
      <family val="2"/>
    </font>
    <font>
      <b/>
      <i/>
      <sz val="9"/>
      <color theme="1"/>
      <name val="Arial"/>
      <family val="2"/>
    </font>
    <font>
      <i/>
      <sz val="9"/>
      <color rgb="FF595959"/>
      <name val="Arial"/>
      <family val="2"/>
    </font>
    <font>
      <b/>
      <i/>
      <sz val="9"/>
      <color rgb="FF002F6C"/>
      <name val="Arial"/>
      <family val="2"/>
    </font>
    <font>
      <sz val="11"/>
      <color rgb="FF008000"/>
      <name val="Arial"/>
      <family val="2"/>
    </font>
    <font>
      <i/>
      <sz val="9"/>
      <color rgb="FF008000"/>
      <name val="Arial"/>
    </font>
    <font>
      <i/>
      <sz val="9"/>
      <color rgb="FF0000FF"/>
      <name val="Arial"/>
    </font>
    <font>
      <b/>
      <sz val="11"/>
      <color theme="1"/>
      <name val="Calibri"/>
      <family val="2"/>
      <scheme val="minor"/>
    </font>
    <font>
      <sz val="10"/>
      <color rgb="FF002F6C"/>
      <name val="Arial"/>
      <family val="2"/>
    </font>
    <font>
      <b/>
      <sz val="10"/>
      <color rgb="FF002F6C"/>
      <name val="Arial"/>
      <family val="2"/>
    </font>
    <font>
      <sz val="10"/>
      <name val="Arial"/>
      <family val="2"/>
    </font>
    <font>
      <b/>
      <sz val="10"/>
      <name val="Arial"/>
      <family val="2"/>
    </font>
    <font>
      <i/>
      <sz val="10"/>
      <color rgb="FF008000"/>
      <name val="Arial"/>
      <family val="2"/>
    </font>
    <font>
      <sz val="10"/>
      <color theme="1"/>
      <name val="Arial"/>
      <family val="2"/>
    </font>
    <font>
      <i/>
      <sz val="10"/>
      <color rgb="FF000000"/>
      <name val="Arial"/>
      <family val="2"/>
    </font>
    <font>
      <i/>
      <sz val="11"/>
      <color rgb="FF000000"/>
      <name val="Calibri"/>
      <family val="2"/>
      <scheme val="minor"/>
    </font>
    <font>
      <b/>
      <sz val="11"/>
      <color rgb="FF002F6C"/>
      <name val="Calibri"/>
      <family val="2"/>
      <scheme val="minor"/>
    </font>
    <font>
      <i/>
      <sz val="8"/>
      <color rgb="FF8A94A6"/>
      <name val="Arial"/>
    </font>
  </fonts>
  <fills count="34">
    <fill>
      <patternFill patternType="none"/>
    </fill>
    <fill>
      <patternFill patternType="gray125"/>
    </fill>
    <fill>
      <patternFill patternType="solid">
        <fgColor rgb="FFF1F5F9"/>
      </patternFill>
    </fill>
    <fill>
      <patternFill patternType="solid">
        <fgColor rgb="FFD8E7F5"/>
      </patternFill>
    </fill>
    <fill>
      <patternFill patternType="solid">
        <fgColor rgb="FFFDE8E8"/>
      </patternFill>
    </fill>
    <fill>
      <patternFill patternType="solid">
        <fgColor rgb="FFE9F7EF"/>
      </patternFill>
    </fill>
    <fill>
      <patternFill patternType="solid">
        <fgColor rgb="FF02223C"/>
        <bgColor indexed="64"/>
      </patternFill>
    </fill>
    <fill>
      <patternFill patternType="solid">
        <fgColor rgb="FFF4F8FA"/>
        <bgColor indexed="64"/>
      </patternFill>
    </fill>
    <fill>
      <patternFill patternType="solid">
        <fgColor rgb="FFE8EEF2"/>
        <bgColor indexed="64"/>
      </patternFill>
    </fill>
    <fill>
      <patternFill patternType="solid">
        <fgColor theme="0"/>
        <bgColor indexed="64"/>
      </patternFill>
    </fill>
    <fill>
      <patternFill patternType="solid">
        <fgColor rgb="FFFDECEC"/>
        <bgColor indexed="64"/>
      </patternFill>
    </fill>
    <fill>
      <patternFill patternType="solid">
        <fgColor rgb="FFFFF2CC"/>
        <bgColor indexed="64"/>
      </patternFill>
    </fill>
    <fill>
      <patternFill patternType="solid">
        <fgColor rgb="FF002F6C"/>
        <bgColor indexed="64"/>
      </patternFill>
    </fill>
    <fill>
      <patternFill patternType="solid">
        <fgColor rgb="FF009966"/>
        <bgColor indexed="64"/>
      </patternFill>
    </fill>
    <fill>
      <patternFill patternType="solid">
        <fgColor rgb="FFF2F6FC"/>
        <bgColor indexed="64"/>
      </patternFill>
    </fill>
    <fill>
      <patternFill patternType="solid">
        <fgColor rgb="FFEAF1FA"/>
        <bgColor indexed="64"/>
      </patternFill>
    </fill>
    <fill>
      <patternFill patternType="solid">
        <fgColor rgb="FFF5F5F5"/>
        <bgColor indexed="64"/>
      </patternFill>
    </fill>
    <fill>
      <patternFill patternType="solid">
        <fgColor rgb="FFF7FAFE"/>
        <bgColor indexed="64"/>
      </patternFill>
    </fill>
    <fill>
      <patternFill patternType="solid">
        <fgColor rgb="FF13597B"/>
        <bgColor indexed="64"/>
      </patternFill>
    </fill>
    <fill>
      <patternFill patternType="solid">
        <fgColor rgb="FFB7791F"/>
        <bgColor indexed="64"/>
      </patternFill>
    </fill>
    <fill>
      <patternFill patternType="solid">
        <fgColor rgb="FFC05621"/>
        <bgColor indexed="64"/>
      </patternFill>
    </fill>
    <fill>
      <patternFill patternType="solid">
        <fgColor rgb="FF1F7A5C"/>
        <bgColor indexed="64"/>
      </patternFill>
    </fill>
    <fill>
      <patternFill patternType="solid">
        <fgColor rgb="FF6B2D5C"/>
        <bgColor indexed="64"/>
      </patternFill>
    </fill>
    <fill>
      <patternFill patternType="solid">
        <fgColor rgb="FFF8FAFC"/>
        <bgColor indexed="64"/>
      </patternFill>
    </fill>
    <fill>
      <patternFill patternType="solid">
        <fgColor rgb="FFFFFFFF"/>
        <bgColor indexed="64"/>
      </patternFill>
    </fill>
    <fill>
      <patternFill patternType="solid">
        <fgColor rgb="FF17365D"/>
        <bgColor indexed="64"/>
      </patternFill>
    </fill>
    <fill>
      <patternFill patternType="solid">
        <fgColor rgb="FF1F4E78"/>
        <bgColor indexed="64"/>
      </patternFill>
    </fill>
    <fill>
      <patternFill patternType="solid">
        <fgColor rgb="FFD9EAF7"/>
        <bgColor indexed="64"/>
      </patternFill>
    </fill>
    <fill>
      <patternFill patternType="solid">
        <fgColor rgb="FFEAF2F8"/>
        <bgColor indexed="64"/>
      </patternFill>
    </fill>
    <fill>
      <patternFill patternType="solid">
        <fgColor rgb="FFF7F9FB"/>
        <bgColor indexed="64"/>
      </patternFill>
    </fill>
    <fill>
      <patternFill patternType="solid">
        <fgColor rgb="FFEDF3F8"/>
        <bgColor indexed="64"/>
      </patternFill>
    </fill>
    <fill>
      <patternFill patternType="solid">
        <fgColor rgb="FF4472C4"/>
        <bgColor indexed="64"/>
      </patternFill>
    </fill>
    <fill>
      <patternFill patternType="solid">
        <fgColor rgb="FF7030A0"/>
        <bgColor indexed="64"/>
      </patternFill>
    </fill>
    <fill>
      <patternFill patternType="solid">
        <fgColor rgb="FFF2F2F2"/>
        <bgColor indexed="64"/>
      </patternFill>
    </fill>
  </fills>
  <borders count="36">
    <border>
      <left/>
      <right/>
      <top/>
      <bottom/>
      <diagonal/>
    </border>
    <border>
      <left/>
      <right/>
      <top/>
      <bottom style="thin">
        <color rgb="FFD0D7DE"/>
      </bottom>
      <diagonal/>
    </border>
    <border>
      <left style="thin">
        <color rgb="FFD9E1E8"/>
      </left>
      <right style="thin">
        <color rgb="FFD9E1E8"/>
      </right>
      <top/>
      <bottom style="thin">
        <color rgb="FFD9E1E8"/>
      </bottom>
      <diagonal/>
    </border>
    <border>
      <left style="thin">
        <color rgb="FFD9E1E8"/>
      </left>
      <right/>
      <top/>
      <bottom style="thin">
        <color rgb="FFD9E1E8"/>
      </bottom>
      <diagonal/>
    </border>
    <border>
      <left style="thin">
        <color rgb="FFD9E1E8"/>
      </left>
      <right style="thin">
        <color rgb="FFD9E1E8"/>
      </right>
      <top style="thin">
        <color rgb="FFD9E1E8"/>
      </top>
      <bottom style="thin">
        <color rgb="FFD9E1E8"/>
      </bottom>
      <diagonal/>
    </border>
    <border>
      <left style="thin">
        <color rgb="FFD9E1E8"/>
      </left>
      <right/>
      <top style="thin">
        <color rgb="FFD9E1E8"/>
      </top>
      <bottom style="thin">
        <color rgb="FFD9E1E8"/>
      </bottom>
      <diagonal/>
    </border>
    <border>
      <left style="thin">
        <color rgb="FFD9E1E8"/>
      </left>
      <right style="thin">
        <color rgb="FFD9E1E8"/>
      </right>
      <top style="thin">
        <color rgb="FFD9E1E8"/>
      </top>
      <bottom/>
      <diagonal/>
    </border>
    <border>
      <left style="thin">
        <color rgb="FFD9E1E8"/>
      </left>
      <right/>
      <top style="thin">
        <color rgb="FFD9E1E8"/>
      </top>
      <bottom/>
      <diagonal/>
    </border>
    <border>
      <left style="thin">
        <color rgb="FFD9E1E8"/>
      </left>
      <right style="thin">
        <color rgb="FFD9E1E8"/>
      </right>
      <top style="thin">
        <color rgb="FF02223C"/>
      </top>
      <bottom style="thin">
        <color rgb="FFD9E1E8"/>
      </bottom>
      <diagonal/>
    </border>
    <border>
      <left style="thin">
        <color rgb="FFD9E1E8"/>
      </left>
      <right style="thin">
        <color rgb="FFD9E1E8"/>
      </right>
      <top style="thin">
        <color rgb="FF02223C"/>
      </top>
      <bottom/>
      <diagonal/>
    </border>
    <border>
      <left style="thin">
        <color rgb="FFD9E1E8"/>
      </left>
      <right style="thin">
        <color rgb="FFD9E1E8"/>
      </right>
      <top/>
      <bottom/>
      <diagonal/>
    </border>
    <border>
      <left style="thin">
        <color rgb="FFD9E1E8"/>
      </left>
      <right/>
      <top style="thin">
        <color rgb="FF02223C"/>
      </top>
      <bottom style="thin">
        <color rgb="FFD9E1E8"/>
      </bottom>
      <diagonal/>
    </border>
    <border>
      <left style="thin">
        <color rgb="FFD9E1E8"/>
      </left>
      <right/>
      <top/>
      <bottom/>
      <diagonal/>
    </border>
    <border>
      <left/>
      <right/>
      <top/>
      <bottom style="medium">
        <color rgb="FF002F6C"/>
      </bottom>
      <diagonal/>
    </border>
    <border>
      <left/>
      <right/>
      <top style="hair">
        <color rgb="FFBFBFBF"/>
      </top>
      <bottom style="hair">
        <color rgb="FFBFBFBF"/>
      </bottom>
      <diagonal/>
    </border>
    <border>
      <left/>
      <right/>
      <top style="hair">
        <color rgb="FFBFBFBF"/>
      </top>
      <bottom/>
      <diagonal/>
    </border>
    <border>
      <left/>
      <right/>
      <top/>
      <bottom style="thin">
        <color rgb="FF002F6C"/>
      </bottom>
      <diagonal/>
    </border>
    <border>
      <left/>
      <right/>
      <top/>
      <bottom style="hair">
        <color rgb="FFD9D9D9"/>
      </bottom>
      <diagonal/>
    </border>
    <border>
      <left/>
      <right/>
      <top style="hair">
        <color rgb="FFD9D9D9"/>
      </top>
      <bottom style="hair">
        <color rgb="FFD9D9D9"/>
      </bottom>
      <diagonal/>
    </border>
    <border>
      <left/>
      <right/>
      <top style="hair">
        <color rgb="FFD9D9D9"/>
      </top>
      <bottom/>
      <diagonal/>
    </border>
    <border>
      <left style="thick">
        <color rgb="FF002F6C"/>
      </left>
      <right style="thick">
        <color rgb="FF002F6C"/>
      </right>
      <top style="thick">
        <color rgb="FF002F6C"/>
      </top>
      <bottom style="thick">
        <color rgb="FF002F6C"/>
      </bottom>
      <diagonal/>
    </border>
    <border>
      <left/>
      <right/>
      <top/>
      <bottom style="thin">
        <color rgb="FF5B77CC"/>
      </bottom>
      <diagonal/>
    </border>
    <border>
      <left/>
      <right/>
      <top style="thin">
        <color rgb="FF002F6C"/>
      </top>
      <bottom/>
      <diagonal/>
    </border>
    <border>
      <left/>
      <right/>
      <top/>
      <bottom style="hair">
        <color rgb="FFE0E0E0"/>
      </bottom>
      <diagonal/>
    </border>
    <border>
      <left/>
      <right/>
      <top style="hair">
        <color rgb="FFE0E0E0"/>
      </top>
      <bottom style="hair">
        <color rgb="FFE0E0E0"/>
      </bottom>
      <diagonal/>
    </border>
    <border>
      <left/>
      <right/>
      <top style="hair">
        <color rgb="FFE0E0E0"/>
      </top>
      <bottom/>
      <diagonal/>
    </border>
    <border>
      <left/>
      <right/>
      <top/>
      <bottom style="double">
        <color rgb="FF002F6C"/>
      </bottom>
      <diagonal/>
    </border>
    <border>
      <left/>
      <right/>
      <top style="thin">
        <color rgb="FF002F6C"/>
      </top>
      <bottom style="thin">
        <color rgb="FF002F6C"/>
      </bottom>
      <diagonal/>
    </border>
    <border>
      <left style="thin">
        <color rgb="FFD9E1E8"/>
      </left>
      <right style="thin">
        <color rgb="FFD9E1E8"/>
      </right>
      <top style="thin">
        <color rgb="FFD9E1E8"/>
      </top>
      <bottom style="thin">
        <color rgb="FF002F6C"/>
      </bottom>
      <diagonal/>
    </border>
    <border>
      <left/>
      <right/>
      <top style="thin">
        <color rgb="FFD9E2F3"/>
      </top>
      <bottom/>
      <diagonal/>
    </border>
    <border>
      <left/>
      <right/>
      <top style="thin">
        <color rgb="FFD9E2F3"/>
      </top>
      <bottom style="thin">
        <color rgb="FFD9E2F3"/>
      </bottom>
      <diagonal/>
    </border>
    <border>
      <left/>
      <right/>
      <top style="thin">
        <color rgb="FF9EADBA"/>
      </top>
      <bottom style="thin">
        <color rgb="FFD9E1E8"/>
      </bottom>
      <diagonal/>
    </border>
    <border>
      <left style="thin">
        <color rgb="FFD9E1E8"/>
      </left>
      <right style="thin">
        <color rgb="FFD9E1E8"/>
      </right>
      <top/>
      <bottom style="hair">
        <color rgb="FFD9E2F3"/>
      </bottom>
      <diagonal/>
    </border>
    <border>
      <left style="thin">
        <color rgb="FFD9E1E8"/>
      </left>
      <right style="thin">
        <color rgb="FFD9E1E8"/>
      </right>
      <top style="thin">
        <color rgb="FF9EADBA"/>
      </top>
      <bottom style="thin">
        <color rgb="FFD9E1E8"/>
      </bottom>
      <diagonal/>
    </border>
    <border>
      <left/>
      <right/>
      <top/>
      <bottom style="thin">
        <color rgb="FFE7ECF2"/>
      </bottom>
      <diagonal/>
    </border>
    <border>
      <left/>
      <right/>
      <top style="medium">
        <color rgb="FF002F6C"/>
      </top>
      <bottom/>
      <diagonal/>
    </border>
  </borders>
  <cellStyleXfs count="1">
    <xf numFmtId="0" fontId="0" fillId="0" borderId="0"/>
  </cellStyleXfs>
  <cellXfs count="690">
    <xf numFmtId="0" fontId="0" fillId="0" borderId="0" xfId="0"/>
    <xf numFmtId="0" fontId="2" fillId="0" borderId="0" xfId="0" applyFont="1"/>
    <xf numFmtId="0" fontId="3" fillId="0" borderId="0" xfId="0" applyFont="1"/>
    <xf numFmtId="0" fontId="5" fillId="0" borderId="13" xfId="0" applyFont="1" applyBorder="1"/>
    <xf numFmtId="0" fontId="2" fillId="0" borderId="13" xfId="0" applyFont="1" applyBorder="1"/>
    <xf numFmtId="0" fontId="6" fillId="0" borderId="0" xfId="0" applyFont="1"/>
    <xf numFmtId="0" fontId="4" fillId="0" borderId="0" xfId="0" applyFont="1"/>
    <xf numFmtId="0" fontId="6" fillId="0" borderId="14" xfId="0" applyFont="1" applyBorder="1"/>
    <xf numFmtId="0" fontId="4" fillId="0" borderId="14" xfId="0" applyFont="1" applyBorder="1"/>
    <xf numFmtId="0" fontId="6" fillId="0" borderId="15" xfId="0" applyFont="1" applyBorder="1"/>
    <xf numFmtId="0" fontId="4" fillId="0" borderId="15" xfId="0" applyFont="1" applyBorder="1"/>
    <xf numFmtId="15" fontId="4" fillId="0" borderId="15" xfId="0" applyNumberFormat="1" applyFont="1" applyBorder="1"/>
    <xf numFmtId="0" fontId="8" fillId="12" borderId="0" xfId="0" applyFont="1" applyFill="1" applyAlignment="1">
      <alignment vertical="center"/>
    </xf>
    <xf numFmtId="0" fontId="9" fillId="0" borderId="0" xfId="0" applyFont="1" applyAlignment="1">
      <alignment wrapText="1"/>
    </xf>
    <xf numFmtId="0" fontId="10" fillId="0" borderId="0" xfId="0" applyFont="1" applyAlignment="1">
      <alignment vertical="top" wrapText="1"/>
    </xf>
    <xf numFmtId="0" fontId="12" fillId="0" borderId="0" xfId="0" applyFont="1"/>
    <xf numFmtId="0" fontId="7" fillId="12" borderId="0" xfId="0" applyFont="1" applyFill="1" applyAlignment="1">
      <alignment vertical="center"/>
    </xf>
    <xf numFmtId="0" fontId="6" fillId="0" borderId="16" xfId="0" applyFont="1" applyBorder="1" applyAlignment="1">
      <alignment horizontal="center"/>
    </xf>
    <xf numFmtId="0" fontId="14" fillId="0" borderId="0" xfId="0" applyFont="1"/>
    <xf numFmtId="0" fontId="16" fillId="0" borderId="0" xfId="0" applyFont="1" applyAlignment="1">
      <alignment vertical="top" wrapText="1"/>
    </xf>
    <xf numFmtId="0" fontId="18" fillId="12" borderId="0" xfId="0" applyFont="1" applyFill="1" applyAlignment="1">
      <alignment vertical="top" wrapText="1"/>
    </xf>
    <xf numFmtId="0" fontId="2" fillId="0" borderId="17" xfId="0" applyFont="1" applyBorder="1"/>
    <xf numFmtId="0" fontId="14" fillId="0" borderId="18" xfId="0" applyFont="1" applyBorder="1"/>
    <xf numFmtId="0" fontId="4" fillId="0" borderId="18" xfId="0" applyFont="1" applyBorder="1"/>
    <xf numFmtId="0" fontId="2" fillId="0" borderId="18" xfId="0" applyFont="1" applyBorder="1"/>
    <xf numFmtId="0" fontId="16" fillId="0" borderId="18" xfId="0" applyFont="1" applyBorder="1" applyAlignment="1">
      <alignment vertical="top" wrapText="1"/>
    </xf>
    <xf numFmtId="0" fontId="14" fillId="0" borderId="19" xfId="0" applyFont="1" applyBorder="1"/>
    <xf numFmtId="0" fontId="4" fillId="0" borderId="19" xfId="0" applyFont="1" applyBorder="1"/>
    <xf numFmtId="0" fontId="2" fillId="0" borderId="19" xfId="0" applyFont="1" applyBorder="1"/>
    <xf numFmtId="0" fontId="16" fillId="0" borderId="19" xfId="0" applyFont="1" applyBorder="1" applyAlignment="1">
      <alignment vertical="top" wrapText="1"/>
    </xf>
    <xf numFmtId="3" fontId="4" fillId="0" borderId="18" xfId="0" applyNumberFormat="1" applyFont="1" applyBorder="1"/>
    <xf numFmtId="3" fontId="4" fillId="0" borderId="19" xfId="0" applyNumberFormat="1" applyFont="1" applyBorder="1"/>
    <xf numFmtId="167" fontId="4" fillId="0" borderId="18" xfId="0" applyNumberFormat="1" applyFont="1" applyBorder="1"/>
    <xf numFmtId="167" fontId="4" fillId="0" borderId="0" xfId="0" applyNumberFormat="1" applyFont="1"/>
    <xf numFmtId="167" fontId="4" fillId="0" borderId="19" xfId="0" applyNumberFormat="1" applyFont="1" applyBorder="1"/>
    <xf numFmtId="3" fontId="4" fillId="0" borderId="0" xfId="0" applyNumberFormat="1" applyFont="1"/>
    <xf numFmtId="9" fontId="4" fillId="0" borderId="19" xfId="0" applyNumberFormat="1" applyFont="1" applyBorder="1"/>
    <xf numFmtId="167" fontId="2" fillId="0" borderId="0" xfId="0" applyNumberFormat="1" applyFont="1"/>
    <xf numFmtId="3" fontId="2" fillId="0" borderId="0" xfId="0" applyNumberFormat="1" applyFont="1"/>
    <xf numFmtId="0" fontId="10" fillId="0" borderId="13" xfId="0" applyFont="1" applyBorder="1"/>
    <xf numFmtId="0" fontId="7" fillId="13" borderId="0" xfId="0" applyFont="1" applyFill="1" applyAlignment="1">
      <alignment vertical="center"/>
    </xf>
    <xf numFmtId="0" fontId="8" fillId="13" borderId="0" xfId="0" applyFont="1" applyFill="1" applyAlignment="1">
      <alignment vertical="center"/>
    </xf>
    <xf numFmtId="0" fontId="20" fillId="11" borderId="20" xfId="0" applyFont="1" applyFill="1" applyBorder="1" applyAlignment="1">
      <alignment horizontal="center" vertical="center"/>
    </xf>
    <xf numFmtId="0" fontId="21" fillId="13" borderId="0" xfId="0" applyFont="1" applyFill="1" applyAlignment="1">
      <alignment vertical="center"/>
    </xf>
    <xf numFmtId="0" fontId="2" fillId="14" borderId="0" xfId="0" applyFont="1" applyFill="1"/>
    <xf numFmtId="0" fontId="6" fillId="0" borderId="17" xfId="0" applyFont="1" applyBorder="1"/>
    <xf numFmtId="0" fontId="6" fillId="0" borderId="18" xfId="0" applyFont="1" applyBorder="1"/>
    <xf numFmtId="3" fontId="23" fillId="0" borderId="0" xfId="0" applyNumberFormat="1" applyFont="1"/>
    <xf numFmtId="3" fontId="25" fillId="0" borderId="0" xfId="0" applyNumberFormat="1" applyFont="1"/>
    <xf numFmtId="0" fontId="22" fillId="0" borderId="0" xfId="0" applyFont="1" applyAlignment="1">
      <alignment horizontal="right"/>
    </xf>
    <xf numFmtId="0" fontId="16" fillId="0" borderId="21" xfId="0" applyFont="1" applyBorder="1"/>
    <xf numFmtId="0" fontId="2" fillId="0" borderId="21" xfId="0" applyFont="1" applyBorder="1"/>
    <xf numFmtId="0" fontId="6" fillId="15" borderId="13" xfId="0" applyFont="1" applyFill="1" applyBorder="1" applyAlignment="1">
      <alignment horizontal="center"/>
    </xf>
    <xf numFmtId="0" fontId="6" fillId="16" borderId="13" xfId="0" applyFont="1" applyFill="1" applyBorder="1" applyAlignment="1">
      <alignment horizontal="center"/>
    </xf>
    <xf numFmtId="0" fontId="6" fillId="0" borderId="22" xfId="0" applyFont="1" applyBorder="1"/>
    <xf numFmtId="0" fontId="3" fillId="0" borderId="22" xfId="0" applyFont="1" applyBorder="1"/>
    <xf numFmtId="0" fontId="2" fillId="0" borderId="23" xfId="0" applyFont="1" applyBorder="1"/>
    <xf numFmtId="0" fontId="14" fillId="0" borderId="23" xfId="0" applyFont="1" applyBorder="1"/>
    <xf numFmtId="0" fontId="2" fillId="0" borderId="24" xfId="0" applyFont="1" applyBorder="1"/>
    <xf numFmtId="0" fontId="14" fillId="0" borderId="24" xfId="0" applyFont="1" applyBorder="1"/>
    <xf numFmtId="3" fontId="2" fillId="0" borderId="24" xfId="0" applyNumberFormat="1" applyFont="1" applyBorder="1"/>
    <xf numFmtId="0" fontId="2" fillId="0" borderId="25" xfId="0" applyFont="1" applyBorder="1"/>
    <xf numFmtId="0" fontId="14" fillId="0" borderId="25" xfId="0" applyFont="1" applyBorder="1"/>
    <xf numFmtId="3" fontId="2" fillId="0" borderId="25" xfId="0" applyNumberFormat="1" applyFont="1" applyBorder="1"/>
    <xf numFmtId="167" fontId="2" fillId="0" borderId="23" xfId="0" applyNumberFormat="1" applyFont="1" applyBorder="1"/>
    <xf numFmtId="0" fontId="6" fillId="0" borderId="26" xfId="0" applyFont="1" applyBorder="1"/>
    <xf numFmtId="0" fontId="3" fillId="0" borderId="26" xfId="0" applyFont="1" applyBorder="1"/>
    <xf numFmtId="3" fontId="2" fillId="17" borderId="0" xfId="0" applyNumberFormat="1" applyFont="1" applyFill="1"/>
    <xf numFmtId="3" fontId="2" fillId="17" borderId="25" xfId="0" applyNumberFormat="1" applyFont="1" applyFill="1" applyBorder="1"/>
    <xf numFmtId="0" fontId="2" fillId="17" borderId="0" xfId="0" applyFont="1" applyFill="1"/>
    <xf numFmtId="0" fontId="2" fillId="17" borderId="25" xfId="0" applyFont="1" applyFill="1" applyBorder="1"/>
    <xf numFmtId="0" fontId="6" fillId="11" borderId="27" xfId="0" applyFont="1" applyFill="1" applyBorder="1"/>
    <xf numFmtId="0" fontId="3" fillId="11" borderId="27" xfId="0" applyFont="1" applyFill="1" applyBorder="1"/>
    <xf numFmtId="0" fontId="2" fillId="12" borderId="0" xfId="0" applyFont="1" applyFill="1" applyAlignment="1">
      <alignment vertical="center"/>
    </xf>
    <xf numFmtId="0" fontId="24" fillId="0" borderId="0" xfId="0" applyFont="1"/>
    <xf numFmtId="0" fontId="26" fillId="0" borderId="0" xfId="0" applyFont="1"/>
    <xf numFmtId="0" fontId="27" fillId="0" borderId="0" xfId="0" applyFont="1"/>
    <xf numFmtId="0" fontId="28" fillId="0" borderId="0" xfId="0" applyFont="1"/>
    <xf numFmtId="0" fontId="2" fillId="0" borderId="0" xfId="0" applyFont="1" applyAlignment="1">
      <alignment vertical="top"/>
    </xf>
    <xf numFmtId="0" fontId="29" fillId="0" borderId="0" xfId="0" applyFont="1" applyAlignment="1">
      <alignment vertical="top"/>
    </xf>
    <xf numFmtId="0" fontId="30" fillId="0" borderId="13" xfId="0" applyFont="1" applyBorder="1"/>
    <xf numFmtId="0" fontId="6" fillId="15" borderId="16" xfId="0" applyFont="1" applyFill="1" applyBorder="1" applyAlignment="1">
      <alignment vertical="top"/>
    </xf>
    <xf numFmtId="4" fontId="6" fillId="15" borderId="16" xfId="0" applyNumberFormat="1" applyFont="1" applyFill="1" applyBorder="1" applyAlignment="1">
      <alignment vertical="top"/>
    </xf>
    <xf numFmtId="0" fontId="6" fillId="15" borderId="16" xfId="0" applyFont="1" applyFill="1" applyBorder="1" applyAlignment="1">
      <alignment horizontal="center" vertical="top"/>
    </xf>
    <xf numFmtId="0" fontId="31" fillId="15" borderId="16" xfId="0" applyFont="1" applyFill="1" applyBorder="1" applyAlignment="1">
      <alignment vertical="top"/>
    </xf>
    <xf numFmtId="0" fontId="9" fillId="0" borderId="0" xfId="0" applyFont="1"/>
    <xf numFmtId="167" fontId="23" fillId="0" borderId="0" xfId="0" applyNumberFormat="1" applyFont="1"/>
    <xf numFmtId="169" fontId="25" fillId="0" borderId="0" xfId="0" applyNumberFormat="1" applyFont="1"/>
    <xf numFmtId="170" fontId="23" fillId="0" borderId="0" xfId="0" applyNumberFormat="1" applyFont="1"/>
    <xf numFmtId="170" fontId="25" fillId="0" borderId="0" xfId="0" applyNumberFormat="1" applyFont="1"/>
    <xf numFmtId="0" fontId="7" fillId="12" borderId="0" xfId="0" applyFont="1" applyFill="1" applyAlignment="1">
      <alignment horizontal="center" vertical="center"/>
    </xf>
    <xf numFmtId="0" fontId="7" fillId="6" borderId="0" xfId="0" applyFont="1" applyFill="1" applyAlignment="1">
      <alignment horizontal="left" vertical="center" wrapText="1"/>
    </xf>
    <xf numFmtId="0" fontId="7" fillId="6" borderId="0" xfId="0" applyFont="1" applyFill="1" applyAlignment="1">
      <alignment horizontal="right" vertical="center" wrapText="1"/>
    </xf>
    <xf numFmtId="0" fontId="32" fillId="2" borderId="4" xfId="0" applyFont="1" applyFill="1" applyBorder="1" applyAlignment="1">
      <alignment horizontal="left"/>
    </xf>
    <xf numFmtId="164" fontId="19" fillId="2" borderId="4" xfId="0" applyNumberFormat="1" applyFont="1" applyFill="1" applyBorder="1" applyAlignment="1">
      <alignment horizontal="right"/>
    </xf>
    <xf numFmtId="164" fontId="25" fillId="2" borderId="4" xfId="0" applyNumberFormat="1" applyFont="1" applyFill="1" applyBorder="1" applyAlignment="1">
      <alignment horizontal="right"/>
    </xf>
    <xf numFmtId="0" fontId="33" fillId="7" borderId="4" xfId="0" applyFont="1" applyFill="1" applyBorder="1" applyAlignment="1">
      <alignment horizontal="left"/>
    </xf>
    <xf numFmtId="164" fontId="4" fillId="7" borderId="4" xfId="0" applyNumberFormat="1" applyFont="1" applyFill="1" applyBorder="1" applyAlignment="1">
      <alignment horizontal="right"/>
    </xf>
    <xf numFmtId="164" fontId="23" fillId="7" borderId="4" xfId="0" applyNumberFormat="1" applyFont="1" applyFill="1" applyBorder="1" applyAlignment="1">
      <alignment horizontal="right"/>
    </xf>
    <xf numFmtId="0" fontId="33" fillId="0" borderId="4" xfId="0" applyFont="1" applyBorder="1" applyAlignment="1">
      <alignment horizontal="left"/>
    </xf>
    <xf numFmtId="164" fontId="4" fillId="0" borderId="4" xfId="0" applyNumberFormat="1" applyFont="1" applyBorder="1" applyAlignment="1">
      <alignment horizontal="right"/>
    </xf>
    <xf numFmtId="164" fontId="33" fillId="7" borderId="4" xfId="0" applyNumberFormat="1" applyFont="1" applyFill="1" applyBorder="1" applyAlignment="1">
      <alignment horizontal="right"/>
    </xf>
    <xf numFmtId="0" fontId="33" fillId="0" borderId="6" xfId="0" applyFont="1" applyBorder="1" applyAlignment="1">
      <alignment horizontal="left"/>
    </xf>
    <xf numFmtId="164" fontId="4" fillId="0" borderId="6" xfId="0" applyNumberFormat="1" applyFont="1" applyBorder="1" applyAlignment="1">
      <alignment horizontal="right"/>
    </xf>
    <xf numFmtId="164" fontId="33" fillId="0" borderId="6" xfId="0" applyNumberFormat="1" applyFont="1" applyBorder="1" applyAlignment="1">
      <alignment horizontal="right"/>
    </xf>
    <xf numFmtId="0" fontId="32" fillId="8" borderId="9" xfId="0" applyFont="1" applyFill="1" applyBorder="1" applyAlignment="1">
      <alignment horizontal="left"/>
    </xf>
    <xf numFmtId="164" fontId="34" fillId="8" borderId="9" xfId="0" applyNumberFormat="1" applyFont="1" applyFill="1" applyBorder="1" applyAlignment="1">
      <alignment horizontal="right"/>
    </xf>
    <xf numFmtId="164" fontId="19" fillId="8" borderId="9" xfId="0" applyNumberFormat="1" applyFont="1" applyFill="1" applyBorder="1" applyAlignment="1">
      <alignment horizontal="right"/>
    </xf>
    <xf numFmtId="0" fontId="32" fillId="8" borderId="8" xfId="0" applyFont="1" applyFill="1" applyBorder="1" applyAlignment="1">
      <alignment horizontal="left"/>
    </xf>
    <xf numFmtId="164" fontId="34" fillId="8" borderId="8" xfId="0" applyNumberFormat="1" applyFont="1" applyFill="1" applyBorder="1" applyAlignment="1">
      <alignment horizontal="right"/>
    </xf>
    <xf numFmtId="0" fontId="33" fillId="7" borderId="2" xfId="0" applyFont="1" applyFill="1" applyBorder="1" applyAlignment="1">
      <alignment horizontal="left"/>
    </xf>
    <xf numFmtId="166" fontId="24" fillId="7" borderId="2" xfId="0" applyNumberFormat="1" applyFont="1" applyFill="1" applyBorder="1" applyAlignment="1">
      <alignment horizontal="right"/>
    </xf>
    <xf numFmtId="164" fontId="23" fillId="0" borderId="6" xfId="0" applyNumberFormat="1" applyFont="1" applyBorder="1" applyAlignment="1">
      <alignment horizontal="right"/>
    </xf>
    <xf numFmtId="0" fontId="33" fillId="0" borderId="2" xfId="0" applyFont="1" applyBorder="1" applyAlignment="1">
      <alignment horizontal="left"/>
    </xf>
    <xf numFmtId="164" fontId="4" fillId="0" borderId="2" xfId="0" applyNumberFormat="1" applyFont="1" applyBorder="1" applyAlignment="1">
      <alignment horizontal="right"/>
    </xf>
    <xf numFmtId="164" fontId="23" fillId="0" borderId="2" xfId="0" applyNumberFormat="1" applyFont="1" applyBorder="1" applyAlignment="1">
      <alignment horizontal="right"/>
    </xf>
    <xf numFmtId="0" fontId="33" fillId="7" borderId="6" xfId="0" applyFont="1" applyFill="1" applyBorder="1" applyAlignment="1">
      <alignment horizontal="left"/>
    </xf>
    <xf numFmtId="166" fontId="24" fillId="7" borderId="6" xfId="0" applyNumberFormat="1" applyFont="1" applyFill="1" applyBorder="1" applyAlignment="1">
      <alignment horizontal="right"/>
    </xf>
    <xf numFmtId="165" fontId="4" fillId="7" borderId="2" xfId="0" applyNumberFormat="1" applyFont="1" applyFill="1" applyBorder="1" applyAlignment="1">
      <alignment horizontal="right"/>
    </xf>
    <xf numFmtId="165" fontId="4" fillId="0" borderId="4" xfId="0" applyNumberFormat="1" applyFont="1" applyBorder="1" applyAlignment="1">
      <alignment horizontal="right"/>
    </xf>
    <xf numFmtId="0" fontId="35" fillId="0" borderId="4" xfId="0" applyFont="1" applyBorder="1" applyAlignment="1">
      <alignment horizontal="left"/>
    </xf>
    <xf numFmtId="0" fontId="35" fillId="7" borderId="4" xfId="0" applyFont="1" applyFill="1" applyBorder="1" applyAlignment="1">
      <alignment horizontal="left"/>
    </xf>
    <xf numFmtId="0" fontId="35" fillId="0" borderId="6" xfId="0" applyFont="1" applyBorder="1" applyAlignment="1">
      <alignment horizontal="left"/>
    </xf>
    <xf numFmtId="0" fontId="36" fillId="8" borderId="9" xfId="0" applyFont="1" applyFill="1" applyBorder="1" applyAlignment="1">
      <alignment horizontal="left"/>
    </xf>
    <xf numFmtId="0" fontId="36" fillId="8" borderId="8" xfId="0" applyFont="1" applyFill="1" applyBorder="1" applyAlignment="1">
      <alignment horizontal="left"/>
    </xf>
    <xf numFmtId="0" fontId="35" fillId="7" borderId="2" xfId="0" applyFont="1" applyFill="1" applyBorder="1" applyAlignment="1">
      <alignment horizontal="left"/>
    </xf>
    <xf numFmtId="0" fontId="35" fillId="0" borderId="2" xfId="0" applyFont="1" applyBorder="1" applyAlignment="1">
      <alignment horizontal="left"/>
    </xf>
    <xf numFmtId="0" fontId="35" fillId="7" borderId="6" xfId="0" applyFont="1" applyFill="1" applyBorder="1" applyAlignment="1">
      <alignment horizontal="left"/>
    </xf>
    <xf numFmtId="0" fontId="7" fillId="12" borderId="0" xfId="0" applyFont="1" applyFill="1" applyAlignment="1">
      <alignment horizontal="left" vertical="center" wrapText="1"/>
    </xf>
    <xf numFmtId="0" fontId="7" fillId="12" borderId="0" xfId="0" applyFont="1" applyFill="1" applyAlignment="1">
      <alignment horizontal="right" vertical="center" wrapText="1"/>
    </xf>
    <xf numFmtId="0" fontId="37" fillId="3" borderId="0" xfId="0" applyFont="1" applyFill="1"/>
    <xf numFmtId="0" fontId="38" fillId="0" borderId="0" xfId="0" applyFont="1"/>
    <xf numFmtId="0" fontId="38" fillId="0" borderId="0" xfId="0" applyFont="1" applyAlignment="1">
      <alignment horizontal="left" vertical="top" wrapText="1"/>
    </xf>
    <xf numFmtId="166" fontId="24" fillId="0" borderId="2" xfId="0" applyNumberFormat="1" applyFont="1" applyBorder="1" applyAlignment="1">
      <alignment horizontal="right"/>
    </xf>
    <xf numFmtId="0" fontId="33" fillId="0" borderId="10" xfId="0" applyFont="1" applyBorder="1" applyAlignment="1">
      <alignment horizontal="left"/>
    </xf>
    <xf numFmtId="164" fontId="4" fillId="0" borderId="10" xfId="0" applyNumberFormat="1" applyFont="1" applyBorder="1" applyAlignment="1">
      <alignment horizontal="right"/>
    </xf>
    <xf numFmtId="165" fontId="4" fillId="0" borderId="2" xfId="0" applyNumberFormat="1" applyFont="1" applyBorder="1" applyAlignment="1">
      <alignment horizontal="right"/>
    </xf>
    <xf numFmtId="165" fontId="23" fillId="7" borderId="4" xfId="0" applyNumberFormat="1" applyFont="1" applyFill="1" applyBorder="1" applyAlignment="1">
      <alignment horizontal="right"/>
    </xf>
    <xf numFmtId="164" fontId="34" fillId="2" borderId="4" xfId="0" applyNumberFormat="1" applyFont="1" applyFill="1" applyBorder="1" applyAlignment="1">
      <alignment horizontal="right"/>
    </xf>
    <xf numFmtId="164" fontId="24" fillId="7" borderId="4" xfId="0" applyNumberFormat="1" applyFont="1" applyFill="1" applyBorder="1" applyAlignment="1">
      <alignment horizontal="right"/>
    </xf>
    <xf numFmtId="164" fontId="24" fillId="0" borderId="4" xfId="0" applyNumberFormat="1" applyFont="1" applyBorder="1" applyAlignment="1">
      <alignment horizontal="right"/>
    </xf>
    <xf numFmtId="164" fontId="24" fillId="0" borderId="6" xfId="0" applyNumberFormat="1" applyFont="1" applyBorder="1" applyAlignment="1">
      <alignment horizontal="right"/>
    </xf>
    <xf numFmtId="166" fontId="33" fillId="0" borderId="2" xfId="0" applyNumberFormat="1" applyFont="1" applyBorder="1" applyAlignment="1">
      <alignment horizontal="right"/>
    </xf>
    <xf numFmtId="164" fontId="33" fillId="0" borderId="4" xfId="0" applyNumberFormat="1" applyFont="1" applyBorder="1" applyAlignment="1">
      <alignment horizontal="right"/>
    </xf>
    <xf numFmtId="164" fontId="24" fillId="7" borderId="6" xfId="0" applyNumberFormat="1" applyFont="1" applyFill="1" applyBorder="1" applyAlignment="1">
      <alignment horizontal="right"/>
    </xf>
    <xf numFmtId="164" fontId="33" fillId="7" borderId="6" xfId="0" applyNumberFormat="1" applyFont="1" applyFill="1" applyBorder="1" applyAlignment="1">
      <alignment horizontal="right"/>
    </xf>
    <xf numFmtId="164" fontId="32" fillId="8" borderId="8" xfId="0" applyNumberFormat="1" applyFont="1" applyFill="1" applyBorder="1" applyAlignment="1">
      <alignment horizontal="right"/>
    </xf>
    <xf numFmtId="164" fontId="4" fillId="7" borderId="2" xfId="0" applyNumberFormat="1" applyFont="1" applyFill="1" applyBorder="1" applyAlignment="1">
      <alignment horizontal="right"/>
    </xf>
    <xf numFmtId="164" fontId="33" fillId="7" borderId="2" xfId="0" applyNumberFormat="1" applyFont="1" applyFill="1" applyBorder="1" applyAlignment="1">
      <alignment horizontal="right"/>
    </xf>
    <xf numFmtId="166" fontId="24" fillId="0" borderId="6" xfId="0" applyNumberFormat="1" applyFont="1" applyBorder="1" applyAlignment="1">
      <alignment horizontal="right"/>
    </xf>
    <xf numFmtId="166" fontId="33" fillId="0" borderId="6" xfId="0" applyNumberFormat="1" applyFont="1" applyBorder="1" applyAlignment="1">
      <alignment horizontal="right"/>
    </xf>
    <xf numFmtId="165" fontId="24" fillId="0" borderId="2" xfId="0" applyNumberFormat="1" applyFont="1" applyBorder="1" applyAlignment="1">
      <alignment horizontal="right"/>
    </xf>
    <xf numFmtId="165" fontId="24" fillId="7" borderId="4" xfId="0" applyNumberFormat="1" applyFont="1" applyFill="1" applyBorder="1" applyAlignment="1">
      <alignment horizontal="right"/>
    </xf>
    <xf numFmtId="0" fontId="7" fillId="6" borderId="0" xfId="0" applyFont="1" applyFill="1" applyAlignment="1">
      <alignment vertical="center"/>
    </xf>
    <xf numFmtId="164" fontId="2" fillId="0" borderId="4" xfId="0" applyNumberFormat="1" applyFont="1" applyBorder="1"/>
    <xf numFmtId="0" fontId="2" fillId="0" borderId="4" xfId="0" applyFont="1" applyBorder="1"/>
    <xf numFmtId="164" fontId="2" fillId="7" borderId="4" xfId="0" applyNumberFormat="1" applyFont="1" applyFill="1" applyBorder="1"/>
    <xf numFmtId="0" fontId="2" fillId="7" borderId="4" xfId="0" applyFont="1" applyFill="1" applyBorder="1"/>
    <xf numFmtId="164" fontId="2" fillId="0" borderId="6" xfId="0" applyNumberFormat="1" applyFont="1" applyBorder="1"/>
    <xf numFmtId="0" fontId="2" fillId="0" borderId="6" xfId="0" applyFont="1" applyBorder="1"/>
    <xf numFmtId="164" fontId="3" fillId="8" borderId="8" xfId="0" applyNumberFormat="1" applyFont="1" applyFill="1" applyBorder="1"/>
    <xf numFmtId="0" fontId="3" fillId="8" borderId="8" xfId="0" applyFont="1" applyFill="1" applyBorder="1"/>
    <xf numFmtId="166" fontId="2" fillId="0" borderId="2" xfId="0" applyNumberFormat="1" applyFont="1" applyBorder="1"/>
    <xf numFmtId="0" fontId="2" fillId="0" borderId="2" xfId="0" applyFont="1" applyBorder="1"/>
    <xf numFmtId="164" fontId="2" fillId="0" borderId="10" xfId="0" applyNumberFormat="1" applyFont="1" applyBorder="1"/>
    <xf numFmtId="0" fontId="2" fillId="0" borderId="10" xfId="0" applyFont="1" applyBorder="1"/>
    <xf numFmtId="165" fontId="2" fillId="0" borderId="2" xfId="0" applyNumberFormat="1" applyFont="1" applyBorder="1"/>
    <xf numFmtId="165" fontId="2" fillId="7" borderId="4" xfId="0" applyNumberFormat="1" applyFont="1" applyFill="1" applyBorder="1"/>
    <xf numFmtId="0" fontId="2" fillId="7" borderId="6" xfId="0" applyFont="1" applyFill="1" applyBorder="1"/>
    <xf numFmtId="0" fontId="2" fillId="7" borderId="2" xfId="0" applyFont="1" applyFill="1" applyBorder="1"/>
    <xf numFmtId="0" fontId="6" fillId="15" borderId="16" xfId="0" applyFont="1" applyFill="1" applyBorder="1"/>
    <xf numFmtId="164" fontId="4" fillId="7" borderId="6" xfId="0" applyNumberFormat="1" applyFont="1" applyFill="1" applyBorder="1" applyAlignment="1">
      <alignment horizontal="right"/>
    </xf>
    <xf numFmtId="0" fontId="33" fillId="7" borderId="10" xfId="0" applyFont="1" applyFill="1" applyBorder="1" applyAlignment="1">
      <alignment horizontal="left"/>
    </xf>
    <xf numFmtId="164" fontId="4" fillId="7" borderId="10" xfId="0" applyNumberFormat="1" applyFont="1" applyFill="1" applyBorder="1" applyAlignment="1">
      <alignment horizontal="right"/>
    </xf>
    <xf numFmtId="165" fontId="34" fillId="8" borderId="8" xfId="0" applyNumberFormat="1" applyFont="1" applyFill="1" applyBorder="1" applyAlignment="1">
      <alignment horizontal="right"/>
    </xf>
    <xf numFmtId="165" fontId="23" fillId="7" borderId="2" xfId="0" applyNumberFormat="1" applyFont="1" applyFill="1" applyBorder="1" applyAlignment="1">
      <alignment horizontal="right"/>
    </xf>
    <xf numFmtId="165" fontId="23" fillId="0" borderId="4" xfId="0" applyNumberFormat="1" applyFont="1" applyBorder="1" applyAlignment="1">
      <alignment horizontal="right"/>
    </xf>
    <xf numFmtId="165" fontId="24" fillId="0" borderId="4" xfId="0" applyNumberFormat="1" applyFont="1" applyBorder="1" applyAlignment="1">
      <alignment horizontal="right"/>
    </xf>
    <xf numFmtId="165" fontId="4" fillId="7" borderId="4" xfId="0" applyNumberFormat="1" applyFont="1" applyFill="1" applyBorder="1" applyAlignment="1">
      <alignment horizontal="right"/>
    </xf>
    <xf numFmtId="164" fontId="35" fillId="0" borderId="4" xfId="0" applyNumberFormat="1" applyFont="1" applyBorder="1" applyAlignment="1">
      <alignment horizontal="left"/>
    </xf>
    <xf numFmtId="164" fontId="35" fillId="7" borderId="6" xfId="0" applyNumberFormat="1" applyFont="1" applyFill="1" applyBorder="1" applyAlignment="1">
      <alignment horizontal="left"/>
    </xf>
    <xf numFmtId="164" fontId="36" fillId="8" borderId="8" xfId="0" applyNumberFormat="1" applyFont="1" applyFill="1" applyBorder="1" applyAlignment="1">
      <alignment horizontal="left"/>
    </xf>
    <xf numFmtId="166" fontId="35" fillId="7" borderId="10" xfId="0" applyNumberFormat="1" applyFont="1" applyFill="1" applyBorder="1" applyAlignment="1">
      <alignment horizontal="left"/>
    </xf>
    <xf numFmtId="164" fontId="35" fillId="7" borderId="10" xfId="0" applyNumberFormat="1" applyFont="1" applyFill="1" applyBorder="1" applyAlignment="1">
      <alignment horizontal="left"/>
    </xf>
    <xf numFmtId="165" fontId="36" fillId="8" borderId="8" xfId="0" applyNumberFormat="1" applyFont="1" applyFill="1" applyBorder="1" applyAlignment="1">
      <alignment horizontal="left"/>
    </xf>
    <xf numFmtId="165" fontId="35" fillId="7" borderId="2" xfId="0" applyNumberFormat="1" applyFont="1" applyFill="1" applyBorder="1" applyAlignment="1">
      <alignment horizontal="left"/>
    </xf>
    <xf numFmtId="166" fontId="24" fillId="0" borderId="4" xfId="0" applyNumberFormat="1" applyFont="1" applyBorder="1" applyAlignment="1">
      <alignment horizontal="right"/>
    </xf>
    <xf numFmtId="166" fontId="24" fillId="7" borderId="4" xfId="0" applyNumberFormat="1" applyFont="1" applyFill="1" applyBorder="1" applyAlignment="1">
      <alignment horizontal="right"/>
    </xf>
    <xf numFmtId="0" fontId="32" fillId="7" borderId="4" xfId="0" applyFont="1" applyFill="1" applyBorder="1" applyAlignment="1">
      <alignment horizontal="left"/>
    </xf>
    <xf numFmtId="166" fontId="34" fillId="7" borderId="4" xfId="0" applyNumberFormat="1" applyFont="1" applyFill="1" applyBorder="1" applyAlignment="1">
      <alignment horizontal="right"/>
    </xf>
    <xf numFmtId="166" fontId="34" fillId="2" borderId="4" xfId="0" applyNumberFormat="1" applyFont="1" applyFill="1" applyBorder="1" applyAlignment="1">
      <alignment horizontal="right"/>
    </xf>
    <xf numFmtId="164" fontId="2" fillId="0" borderId="2" xfId="0" applyNumberFormat="1" applyFont="1" applyBorder="1"/>
    <xf numFmtId="164" fontId="2" fillId="7" borderId="6" xfId="0" applyNumberFormat="1" applyFont="1" applyFill="1" applyBorder="1"/>
    <xf numFmtId="166" fontId="2" fillId="0" borderId="4" xfId="0" applyNumberFormat="1" applyFont="1" applyBorder="1"/>
    <xf numFmtId="166" fontId="2" fillId="7" borderId="4" xfId="0" applyNumberFormat="1" applyFont="1" applyFill="1" applyBorder="1"/>
    <xf numFmtId="164" fontId="19" fillId="8" borderId="8" xfId="0" applyNumberFormat="1" applyFont="1" applyFill="1" applyBorder="1" applyAlignment="1">
      <alignment horizontal="right"/>
    </xf>
    <xf numFmtId="0" fontId="33" fillId="4" borderId="4" xfId="0" applyFont="1" applyFill="1" applyBorder="1" applyAlignment="1">
      <alignment horizontal="left"/>
    </xf>
    <xf numFmtId="164" fontId="4" fillId="4" borderId="4" xfId="0" applyNumberFormat="1" applyFont="1" applyFill="1" applyBorder="1" applyAlignment="1">
      <alignment horizontal="right"/>
    </xf>
    <xf numFmtId="0" fontId="32" fillId="2" borderId="0" xfId="0" applyFont="1" applyFill="1" applyAlignment="1">
      <alignment horizontal="left"/>
    </xf>
    <xf numFmtId="164" fontId="34" fillId="2" borderId="0" xfId="0" applyNumberFormat="1" applyFont="1" applyFill="1" applyAlignment="1">
      <alignment horizontal="right"/>
    </xf>
    <xf numFmtId="164" fontId="2" fillId="7" borderId="10" xfId="0" applyNumberFormat="1" applyFont="1" applyFill="1" applyBorder="1"/>
    <xf numFmtId="164" fontId="2" fillId="7" borderId="2" xfId="0" applyNumberFormat="1" applyFont="1" applyFill="1" applyBorder="1"/>
    <xf numFmtId="164" fontId="35" fillId="0" borderId="4" xfId="0" applyNumberFormat="1" applyFont="1" applyBorder="1"/>
    <xf numFmtId="164" fontId="3" fillId="8" borderId="9" xfId="0" applyNumberFormat="1" applyFont="1" applyFill="1" applyBorder="1"/>
    <xf numFmtId="164" fontId="35" fillId="0" borderId="0" xfId="0" applyNumberFormat="1" applyFont="1" applyAlignment="1">
      <alignment horizontal="left"/>
    </xf>
    <xf numFmtId="164" fontId="2" fillId="0" borderId="0" xfId="0" applyNumberFormat="1" applyFont="1"/>
    <xf numFmtId="164" fontId="23" fillId="0" borderId="4" xfId="0" applyNumberFormat="1" applyFont="1" applyBorder="1" applyAlignment="1">
      <alignment horizontal="right"/>
    </xf>
    <xf numFmtId="164" fontId="23" fillId="0" borderId="5" xfId="0" applyNumberFormat="1" applyFont="1" applyBorder="1" applyAlignment="1">
      <alignment horizontal="right"/>
    </xf>
    <xf numFmtId="164" fontId="24" fillId="7" borderId="5" xfId="0" applyNumberFormat="1" applyFont="1" applyFill="1" applyBorder="1" applyAlignment="1">
      <alignment horizontal="right"/>
    </xf>
    <xf numFmtId="164" fontId="24" fillId="0" borderId="7" xfId="0" applyNumberFormat="1" applyFont="1" applyBorder="1" applyAlignment="1">
      <alignment horizontal="right"/>
    </xf>
    <xf numFmtId="164" fontId="34" fillId="8" borderId="11" xfId="0" applyNumberFormat="1" applyFont="1" applyFill="1" applyBorder="1" applyAlignment="1">
      <alignment horizontal="right"/>
    </xf>
    <xf numFmtId="164" fontId="24" fillId="0" borderId="12" xfId="0" applyNumberFormat="1" applyFont="1" applyBorder="1" applyAlignment="1">
      <alignment horizontal="right"/>
    </xf>
    <xf numFmtId="166" fontId="23" fillId="0" borderId="2" xfId="0" applyNumberFormat="1" applyFont="1" applyBorder="1" applyAlignment="1">
      <alignment horizontal="right"/>
    </xf>
    <xf numFmtId="166" fontId="23" fillId="0" borderId="3" xfId="0" applyNumberFormat="1" applyFont="1" applyBorder="1" applyAlignment="1">
      <alignment horizontal="right"/>
    </xf>
    <xf numFmtId="164" fontId="33" fillId="7" borderId="5" xfId="0" applyNumberFormat="1" applyFont="1" applyFill="1" applyBorder="1" applyAlignment="1">
      <alignment horizontal="right"/>
    </xf>
    <xf numFmtId="164" fontId="33" fillId="0" borderId="5" xfId="0" applyNumberFormat="1" applyFont="1" applyBorder="1" applyAlignment="1">
      <alignment horizontal="right"/>
    </xf>
    <xf numFmtId="164" fontId="4" fillId="0" borderId="5" xfId="0" applyNumberFormat="1" applyFont="1" applyBorder="1" applyAlignment="1">
      <alignment horizontal="right"/>
    </xf>
    <xf numFmtId="164" fontId="4" fillId="7" borderId="7" xfId="0" applyNumberFormat="1" applyFont="1" applyFill="1" applyBorder="1" applyAlignment="1">
      <alignment horizontal="right"/>
    </xf>
    <xf numFmtId="164" fontId="24" fillId="7" borderId="2" xfId="0" applyNumberFormat="1" applyFont="1" applyFill="1" applyBorder="1" applyAlignment="1">
      <alignment horizontal="right"/>
    </xf>
    <xf numFmtId="164" fontId="4" fillId="7" borderId="3" xfId="0" applyNumberFormat="1" applyFont="1" applyFill="1" applyBorder="1" applyAlignment="1">
      <alignment horizontal="right"/>
    </xf>
    <xf numFmtId="0" fontId="24" fillId="7" borderId="0" xfId="0" applyFont="1" applyFill="1" applyAlignment="1">
      <alignment horizontal="left"/>
    </xf>
    <xf numFmtId="164" fontId="4" fillId="7" borderId="0" xfId="0" applyNumberFormat="1" applyFont="1" applyFill="1" applyAlignment="1">
      <alignment horizontal="right"/>
    </xf>
    <xf numFmtId="164" fontId="24" fillId="7" borderId="0" xfId="0" applyNumberFormat="1" applyFont="1" applyFill="1" applyAlignment="1">
      <alignment horizontal="right"/>
    </xf>
    <xf numFmtId="0" fontId="24" fillId="9" borderId="0" xfId="0" applyFont="1" applyFill="1"/>
    <xf numFmtId="0" fontId="24" fillId="0" borderId="13" xfId="0" applyFont="1" applyBorder="1"/>
    <xf numFmtId="0" fontId="32" fillId="7" borderId="6" xfId="0" applyFont="1" applyFill="1" applyBorder="1" applyAlignment="1">
      <alignment horizontal="left"/>
    </xf>
    <xf numFmtId="164" fontId="19" fillId="7" borderId="6" xfId="0" applyNumberFormat="1" applyFont="1" applyFill="1" applyBorder="1" applyAlignment="1">
      <alignment horizontal="right"/>
    </xf>
    <xf numFmtId="164" fontId="34" fillId="7" borderId="6" xfId="0" applyNumberFormat="1" applyFont="1" applyFill="1" applyBorder="1" applyAlignment="1">
      <alignment horizontal="right"/>
    </xf>
    <xf numFmtId="164" fontId="24" fillId="7" borderId="10" xfId="0" applyNumberFormat="1" applyFont="1" applyFill="1" applyBorder="1" applyAlignment="1">
      <alignment horizontal="right"/>
    </xf>
    <xf numFmtId="0" fontId="32" fillId="5" borderId="4" xfId="0" applyFont="1" applyFill="1" applyBorder="1"/>
    <xf numFmtId="0" fontId="33" fillId="7" borderId="4" xfId="0" applyFont="1" applyFill="1" applyBorder="1"/>
    <xf numFmtId="0" fontId="33" fillId="0" borderId="4" xfId="0" applyFont="1" applyBorder="1"/>
    <xf numFmtId="166" fontId="35" fillId="7" borderId="4" xfId="0" applyNumberFormat="1" applyFont="1" applyFill="1" applyBorder="1" applyAlignment="1">
      <alignment horizontal="left"/>
    </xf>
    <xf numFmtId="164" fontId="35" fillId="7" borderId="4" xfId="0" applyNumberFormat="1" applyFont="1" applyFill="1" applyBorder="1" applyAlignment="1">
      <alignment horizontal="left"/>
    </xf>
    <xf numFmtId="166" fontId="35" fillId="0" borderId="4" xfId="0" applyNumberFormat="1" applyFont="1" applyBorder="1" applyAlignment="1">
      <alignment horizontal="left"/>
    </xf>
    <xf numFmtId="164" fontId="25" fillId="7" borderId="4" xfId="0" applyNumberFormat="1" applyFont="1" applyFill="1" applyBorder="1" applyAlignment="1">
      <alignment horizontal="right"/>
    </xf>
    <xf numFmtId="164" fontId="35" fillId="0" borderId="6" xfId="0" applyNumberFormat="1" applyFont="1" applyBorder="1" applyAlignment="1">
      <alignment horizontal="left"/>
    </xf>
    <xf numFmtId="165" fontId="25" fillId="7" borderId="4" xfId="0" applyNumberFormat="1" applyFont="1" applyFill="1" applyBorder="1" applyAlignment="1">
      <alignment horizontal="right"/>
    </xf>
    <xf numFmtId="165" fontId="25" fillId="2" borderId="4" xfId="0" applyNumberFormat="1" applyFont="1" applyFill="1" applyBorder="1" applyAlignment="1">
      <alignment horizontal="right"/>
    </xf>
    <xf numFmtId="166" fontId="4" fillId="7" borderId="4" xfId="0" applyNumberFormat="1" applyFont="1" applyFill="1" applyBorder="1" applyAlignment="1">
      <alignment horizontal="right"/>
    </xf>
    <xf numFmtId="166" fontId="4" fillId="0" borderId="4" xfId="0" applyNumberFormat="1" applyFont="1" applyBorder="1" applyAlignment="1">
      <alignment horizontal="right"/>
    </xf>
    <xf numFmtId="165" fontId="33" fillId="7" borderId="4" xfId="0" applyNumberFormat="1" applyFont="1" applyFill="1" applyBorder="1" applyAlignment="1">
      <alignment horizontal="right"/>
    </xf>
    <xf numFmtId="0" fontId="32" fillId="4" borderId="4" xfId="0" applyFont="1" applyFill="1" applyBorder="1" applyAlignment="1">
      <alignment horizontal="left"/>
    </xf>
    <xf numFmtId="165" fontId="19" fillId="4" borderId="4" xfId="0" applyNumberFormat="1" applyFont="1" applyFill="1" applyBorder="1" applyAlignment="1">
      <alignment horizontal="right"/>
    </xf>
    <xf numFmtId="166" fontId="34" fillId="4" borderId="4" xfId="0" applyNumberFormat="1" applyFont="1" applyFill="1" applyBorder="1" applyAlignment="1">
      <alignment horizontal="right"/>
    </xf>
    <xf numFmtId="166" fontId="34" fillId="8" borderId="8" xfId="0" applyNumberFormat="1" applyFont="1" applyFill="1" applyBorder="1" applyAlignment="1">
      <alignment horizontal="right"/>
    </xf>
    <xf numFmtId="166" fontId="23" fillId="0" borderId="4" xfId="0" applyNumberFormat="1" applyFont="1" applyBorder="1" applyAlignment="1">
      <alignment horizontal="right"/>
    </xf>
    <xf numFmtId="166" fontId="23" fillId="7" borderId="4" xfId="0" applyNumberFormat="1" applyFont="1" applyFill="1" applyBorder="1" applyAlignment="1">
      <alignment horizontal="right"/>
    </xf>
    <xf numFmtId="0" fontId="32" fillId="5" borderId="4" xfId="0" applyFont="1" applyFill="1" applyBorder="1" applyAlignment="1">
      <alignment horizontal="left"/>
    </xf>
    <xf numFmtId="164" fontId="19" fillId="5" borderId="4" xfId="0" applyNumberFormat="1" applyFont="1" applyFill="1" applyBorder="1" applyAlignment="1">
      <alignment horizontal="right"/>
    </xf>
    <xf numFmtId="164" fontId="19" fillId="7" borderId="4" xfId="0" applyNumberFormat="1" applyFont="1" applyFill="1" applyBorder="1" applyAlignment="1">
      <alignment horizontal="right"/>
    </xf>
    <xf numFmtId="0" fontId="2" fillId="0" borderId="4" xfId="0" applyFont="1" applyBorder="1" applyAlignment="1">
      <alignment wrapText="1"/>
    </xf>
    <xf numFmtId="0" fontId="34" fillId="0" borderId="4" xfId="0" applyFont="1" applyBorder="1" applyAlignment="1">
      <alignment horizontal="center"/>
    </xf>
    <xf numFmtId="0" fontId="2" fillId="7" borderId="4" xfId="0" applyFont="1" applyFill="1" applyBorder="1" applyAlignment="1">
      <alignment wrapText="1"/>
    </xf>
    <xf numFmtId="0" fontId="34" fillId="7" borderId="4" xfId="0" applyFont="1" applyFill="1" applyBorder="1" applyAlignment="1">
      <alignment horizontal="center"/>
    </xf>
    <xf numFmtId="0" fontId="27" fillId="0" borderId="0" xfId="0" applyFont="1" applyAlignment="1">
      <alignment vertical="top" wrapText="1"/>
    </xf>
    <xf numFmtId="0" fontId="17" fillId="18" borderId="0" xfId="0" applyFont="1" applyFill="1" applyAlignment="1">
      <alignment horizontal="center" vertical="center"/>
    </xf>
    <xf numFmtId="0" fontId="17" fillId="19" borderId="0" xfId="0" applyFont="1" applyFill="1" applyAlignment="1">
      <alignment horizontal="center" vertical="center"/>
    </xf>
    <xf numFmtId="0" fontId="17" fillId="20" borderId="0" xfId="0" applyFont="1" applyFill="1" applyAlignment="1">
      <alignment horizontal="center" vertical="center"/>
    </xf>
    <xf numFmtId="0" fontId="17" fillId="21" borderId="0" xfId="0" applyFont="1" applyFill="1" applyAlignment="1">
      <alignment horizontal="center" vertical="center"/>
    </xf>
    <xf numFmtId="0" fontId="17" fillId="12" borderId="0" xfId="0" applyFont="1" applyFill="1" applyAlignment="1">
      <alignment horizontal="center" vertical="center"/>
    </xf>
    <xf numFmtId="0" fontId="17" fillId="22" borderId="0" xfId="0" applyFont="1" applyFill="1" applyAlignment="1">
      <alignment horizontal="center" vertical="center"/>
    </xf>
    <xf numFmtId="0" fontId="45" fillId="15" borderId="16" xfId="0" applyFont="1" applyFill="1" applyBorder="1" applyAlignment="1">
      <alignment vertical="top"/>
    </xf>
    <xf numFmtId="0" fontId="27" fillId="0" borderId="0" xfId="0" applyFont="1" applyAlignment="1">
      <alignment vertical="top"/>
    </xf>
    <xf numFmtId="0" fontId="1" fillId="0" borderId="0" xfId="0" applyFont="1"/>
    <xf numFmtId="0" fontId="41" fillId="0" borderId="0" xfId="0" applyFont="1" applyAlignment="1">
      <alignment vertical="top" wrapText="1"/>
    </xf>
    <xf numFmtId="3" fontId="4" fillId="7" borderId="2" xfId="0" applyNumberFormat="1" applyFont="1" applyFill="1" applyBorder="1" applyAlignment="1">
      <alignment horizontal="right"/>
    </xf>
    <xf numFmtId="3" fontId="4" fillId="4" borderId="4" xfId="0" applyNumberFormat="1" applyFont="1" applyFill="1" applyBorder="1" applyAlignment="1">
      <alignment horizontal="right"/>
    </xf>
    <xf numFmtId="3" fontId="4" fillId="0" borderId="6" xfId="0" applyNumberFormat="1" applyFont="1" applyBorder="1" applyAlignment="1">
      <alignment horizontal="right"/>
    </xf>
    <xf numFmtId="3" fontId="19" fillId="8" borderId="9" xfId="0" applyNumberFormat="1" applyFont="1" applyFill="1" applyBorder="1" applyAlignment="1">
      <alignment horizontal="right"/>
    </xf>
    <xf numFmtId="3" fontId="4" fillId="7" borderId="10" xfId="0" applyNumberFormat="1" applyFont="1" applyFill="1" applyBorder="1" applyAlignment="1">
      <alignment horizontal="right"/>
    </xf>
    <xf numFmtId="3" fontId="19" fillId="8" borderId="8" xfId="0" applyNumberFormat="1" applyFont="1" applyFill="1" applyBorder="1" applyAlignment="1">
      <alignment horizontal="right"/>
    </xf>
    <xf numFmtId="3" fontId="4" fillId="7" borderId="6" xfId="0" applyNumberFormat="1" applyFont="1" applyFill="1" applyBorder="1" applyAlignment="1">
      <alignment horizontal="right"/>
    </xf>
    <xf numFmtId="3" fontId="34" fillId="17" borderId="22" xfId="0" applyNumberFormat="1" applyFont="1" applyFill="1" applyBorder="1"/>
    <xf numFmtId="3" fontId="24" fillId="0" borderId="0" xfId="0" applyNumberFormat="1" applyFont="1"/>
    <xf numFmtId="0" fontId="49" fillId="27" borderId="0" xfId="0" applyFont="1" applyFill="1" applyAlignment="1">
      <alignment horizontal="left" vertical="center" wrapText="1"/>
    </xf>
    <xf numFmtId="0" fontId="49" fillId="27" borderId="0" xfId="0" applyFont="1" applyFill="1" applyAlignment="1">
      <alignment horizontal="center" vertical="center" wrapText="1"/>
    </xf>
    <xf numFmtId="0" fontId="49" fillId="27" borderId="0" xfId="0" applyFont="1" applyFill="1" applyAlignment="1">
      <alignment horizontal="center" vertical="center"/>
    </xf>
    <xf numFmtId="0" fontId="24" fillId="24" borderId="4" xfId="0" applyFont="1" applyFill="1" applyBorder="1" applyAlignment="1">
      <alignment horizontal="left" vertical="center"/>
    </xf>
    <xf numFmtId="0" fontId="24" fillId="24" borderId="6" xfId="0" applyFont="1" applyFill="1" applyBorder="1" applyAlignment="1">
      <alignment horizontal="left" vertical="center"/>
    </xf>
    <xf numFmtId="0" fontId="34" fillId="28" borderId="31" xfId="0" applyFont="1" applyFill="1" applyBorder="1" applyAlignment="1">
      <alignment horizontal="left" vertical="center"/>
    </xf>
    <xf numFmtId="170" fontId="34" fillId="28" borderId="31" xfId="0" applyNumberFormat="1" applyFont="1" applyFill="1" applyBorder="1" applyAlignment="1">
      <alignment horizontal="right" vertical="center"/>
    </xf>
    <xf numFmtId="0" fontId="34" fillId="28" borderId="10" xfId="0" applyFont="1" applyFill="1" applyBorder="1" applyAlignment="1">
      <alignment horizontal="left" vertical="center"/>
    </xf>
    <xf numFmtId="170" fontId="34" fillId="28" borderId="10" xfId="0" applyNumberFormat="1" applyFont="1" applyFill="1" applyBorder="1" applyAlignment="1">
      <alignment horizontal="right" vertical="center"/>
    </xf>
    <xf numFmtId="0" fontId="34" fillId="29" borderId="32" xfId="0" applyFont="1" applyFill="1" applyBorder="1" applyAlignment="1">
      <alignment horizontal="left" vertical="center"/>
    </xf>
    <xf numFmtId="170" fontId="34" fillId="29" borderId="32" xfId="0" applyNumberFormat="1" applyFont="1" applyFill="1" applyBorder="1" applyAlignment="1">
      <alignment horizontal="right" vertical="center"/>
    </xf>
    <xf numFmtId="0" fontId="34" fillId="29" borderId="33" xfId="0" applyFont="1" applyFill="1" applyBorder="1" applyAlignment="1">
      <alignment horizontal="left" vertical="center"/>
    </xf>
    <xf numFmtId="170" fontId="34" fillId="29" borderId="33" xfId="0" applyNumberFormat="1" applyFont="1" applyFill="1" applyBorder="1" applyAlignment="1">
      <alignment horizontal="right" vertical="center"/>
    </xf>
    <xf numFmtId="171" fontId="4" fillId="24" borderId="4" xfId="0" applyNumberFormat="1" applyFont="1" applyFill="1" applyBorder="1" applyAlignment="1">
      <alignment horizontal="right" vertical="center"/>
    </xf>
    <xf numFmtId="171" fontId="23" fillId="24" borderId="4" xfId="0" applyNumberFormat="1" applyFont="1" applyFill="1" applyBorder="1" applyAlignment="1">
      <alignment horizontal="right" vertical="center"/>
    </xf>
    <xf numFmtId="171" fontId="23" fillId="24" borderId="6" xfId="0" applyNumberFormat="1" applyFont="1" applyFill="1" applyBorder="1" applyAlignment="1">
      <alignment horizontal="right" vertical="center"/>
    </xf>
    <xf numFmtId="169" fontId="23" fillId="0" borderId="0" xfId="0" applyNumberFormat="1" applyFont="1" applyAlignment="1">
      <alignment horizontal="right"/>
    </xf>
    <xf numFmtId="3" fontId="24" fillId="0" borderId="25" xfId="0" applyNumberFormat="1" applyFont="1" applyBorder="1" applyAlignment="1">
      <alignment horizontal="right"/>
    </xf>
    <xf numFmtId="170" fontId="24" fillId="0" borderId="25" xfId="0" applyNumberFormat="1" applyFont="1" applyBorder="1" applyAlignment="1">
      <alignment horizontal="right"/>
    </xf>
    <xf numFmtId="170" fontId="34" fillId="11" borderId="27" xfId="0" applyNumberFormat="1" applyFont="1" applyFill="1" applyBorder="1" applyAlignment="1">
      <alignment horizontal="right"/>
    </xf>
    <xf numFmtId="170" fontId="24" fillId="0" borderId="23" xfId="0" applyNumberFormat="1" applyFont="1" applyBorder="1" applyAlignment="1">
      <alignment horizontal="right"/>
    </xf>
    <xf numFmtId="0" fontId="50" fillId="24" borderId="0" xfId="0" applyFont="1" applyFill="1"/>
    <xf numFmtId="0" fontId="51" fillId="27" borderId="0" xfId="0" applyFont="1" applyFill="1" applyAlignment="1">
      <alignment horizontal="left" vertical="center"/>
    </xf>
    <xf numFmtId="0" fontId="51" fillId="27" borderId="0" xfId="0" applyFont="1" applyFill="1" applyAlignment="1">
      <alignment horizontal="center" vertical="center"/>
    </xf>
    <xf numFmtId="0" fontId="50" fillId="24" borderId="0" xfId="0" applyFont="1" applyFill="1" applyAlignment="1">
      <alignment vertical="center"/>
    </xf>
    <xf numFmtId="0" fontId="50" fillId="24" borderId="34" xfId="0" applyFont="1" applyFill="1" applyBorder="1" applyAlignment="1">
      <alignment vertical="center"/>
    </xf>
    <xf numFmtId="0" fontId="30" fillId="0" borderId="13" xfId="0" applyFont="1" applyBorder="1" applyAlignment="1">
      <alignment wrapText="1"/>
    </xf>
    <xf numFmtId="0" fontId="27" fillId="0" borderId="2" xfId="0" applyFont="1" applyBorder="1" applyAlignment="1">
      <alignment wrapText="1"/>
    </xf>
    <xf numFmtId="0" fontId="27" fillId="0" borderId="4" xfId="0" applyFont="1" applyBorder="1" applyAlignment="1">
      <alignment wrapText="1"/>
    </xf>
    <xf numFmtId="0" fontId="27" fillId="0" borderId="6" xfId="0" applyFont="1" applyBorder="1" applyAlignment="1">
      <alignment wrapText="1"/>
    </xf>
    <xf numFmtId="0" fontId="27" fillId="0" borderId="0" xfId="0" applyFont="1" applyAlignment="1">
      <alignment wrapText="1"/>
    </xf>
    <xf numFmtId="0" fontId="42" fillId="0" borderId="0" xfId="0" applyFont="1" applyAlignment="1">
      <alignment wrapText="1"/>
    </xf>
    <xf numFmtId="0" fontId="27" fillId="0" borderId="0" xfId="0" applyFont="1" applyAlignment="1">
      <alignment horizontal="left" wrapText="1"/>
    </xf>
    <xf numFmtId="0" fontId="27" fillId="0" borderId="16" xfId="0" applyFont="1" applyBorder="1" applyAlignment="1">
      <alignment wrapText="1"/>
    </xf>
    <xf numFmtId="0" fontId="39" fillId="0" borderId="0" xfId="0" applyFont="1" applyAlignment="1">
      <alignment wrapText="1"/>
    </xf>
    <xf numFmtId="0" fontId="38" fillId="0" borderId="0" xfId="0" applyFont="1" applyAlignment="1">
      <alignment wrapText="1"/>
    </xf>
    <xf numFmtId="0" fontId="52" fillId="0" borderId="1" xfId="0" applyFont="1" applyBorder="1" applyAlignment="1">
      <alignment vertical="top" wrapText="1"/>
    </xf>
    <xf numFmtId="0" fontId="13" fillId="0" borderId="13" xfId="0" applyFont="1" applyBorder="1" applyAlignment="1">
      <alignment wrapText="1"/>
    </xf>
    <xf numFmtId="0" fontId="10" fillId="0" borderId="0" xfId="0" applyFont="1" applyAlignment="1">
      <alignment wrapText="1"/>
    </xf>
    <xf numFmtId="0" fontId="55" fillId="5" borderId="1" xfId="0" applyFont="1" applyFill="1" applyBorder="1" applyAlignment="1">
      <alignment vertical="top" wrapText="1"/>
    </xf>
    <xf numFmtId="0" fontId="52" fillId="5" borderId="1" xfId="0" applyFont="1" applyFill="1" applyBorder="1" applyAlignment="1">
      <alignment vertical="top" wrapText="1"/>
    </xf>
    <xf numFmtId="0" fontId="55" fillId="0" borderId="1" xfId="0" applyFont="1" applyBorder="1" applyAlignment="1">
      <alignment vertical="top" wrapText="1"/>
    </xf>
    <xf numFmtId="0" fontId="3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5" fillId="0" borderId="0" xfId="0" applyFont="1" applyAlignment="1">
      <alignment vertical="center" wrapText="1"/>
    </xf>
    <xf numFmtId="0" fontId="9" fillId="0" borderId="4" xfId="0" applyFont="1" applyBorder="1" applyAlignment="1">
      <alignment vertical="center" wrapText="1"/>
    </xf>
    <xf numFmtId="0" fontId="41" fillId="0" borderId="0" xfId="0" applyFont="1" applyAlignment="1">
      <alignment vertical="center" wrapText="1"/>
    </xf>
    <xf numFmtId="0" fontId="45" fillId="0" borderId="0" xfId="0" applyFont="1" applyAlignment="1">
      <alignment vertical="center" wrapText="1"/>
    </xf>
    <xf numFmtId="0" fontId="17" fillId="12" borderId="0" xfId="0" applyFont="1" applyFill="1" applyAlignment="1">
      <alignment vertical="center" wrapText="1"/>
    </xf>
    <xf numFmtId="0" fontId="56" fillId="4" borderId="1" xfId="0" applyFont="1" applyFill="1" applyBorder="1" applyAlignment="1">
      <alignment vertical="top" wrapText="1"/>
    </xf>
    <xf numFmtId="0" fontId="9" fillId="0" borderId="13" xfId="0" applyFont="1" applyBorder="1" applyAlignment="1">
      <alignment wrapText="1"/>
    </xf>
    <xf numFmtId="0" fontId="45" fillId="15" borderId="16" xfId="0" applyFont="1" applyFill="1" applyBorder="1" applyAlignment="1">
      <alignment vertical="top" wrapText="1"/>
    </xf>
    <xf numFmtId="0" fontId="57" fillId="10" borderId="0" xfId="0" applyFont="1" applyFill="1" applyAlignment="1">
      <alignment vertical="top" wrapText="1"/>
    </xf>
    <xf numFmtId="0" fontId="58" fillId="10" borderId="0" xfId="0" applyFont="1" applyFill="1" applyAlignment="1">
      <alignment vertical="top" wrapText="1"/>
    </xf>
    <xf numFmtId="0" fontId="59" fillId="0" borderId="0" xfId="0" applyFont="1" applyAlignment="1">
      <alignment vertical="top" wrapText="1"/>
    </xf>
    <xf numFmtId="0" fontId="27" fillId="0" borderId="0" xfId="0" quotePrefix="1" applyFont="1" applyAlignment="1">
      <alignment vertical="top" wrapText="1"/>
    </xf>
    <xf numFmtId="0" fontId="45" fillId="15" borderId="16" xfId="0" applyFont="1" applyFill="1" applyBorder="1" applyAlignment="1">
      <alignment wrapText="1"/>
    </xf>
    <xf numFmtId="0" fontId="9" fillId="0" borderId="0" xfId="0" quotePrefix="1" applyFont="1" applyAlignment="1">
      <alignment wrapText="1"/>
    </xf>
    <xf numFmtId="0" fontId="9" fillId="0" borderId="0" xfId="0" applyFont="1" applyAlignment="1">
      <alignment vertical="top" wrapText="1"/>
    </xf>
    <xf numFmtId="0" fontId="9" fillId="0" borderId="0" xfId="0" quotePrefix="1" applyFont="1" applyAlignment="1">
      <alignment vertical="top" wrapText="1"/>
    </xf>
    <xf numFmtId="0" fontId="60" fillId="0" borderId="0" xfId="0" applyFont="1" applyAlignment="1">
      <alignment vertical="top" wrapText="1"/>
    </xf>
    <xf numFmtId="0" fontId="60" fillId="0" borderId="0" xfId="0" quotePrefix="1" applyFont="1" applyAlignment="1">
      <alignment vertical="top" wrapText="1"/>
    </xf>
    <xf numFmtId="0" fontId="40" fillId="0" borderId="16" xfId="0" applyFont="1" applyBorder="1" applyAlignment="1">
      <alignment wrapText="1"/>
    </xf>
    <xf numFmtId="0" fontId="27" fillId="0" borderId="0" xfId="0" applyFont="1" applyAlignment="1">
      <alignment vertical="center" wrapText="1"/>
    </xf>
    <xf numFmtId="0" fontId="43" fillId="0" borderId="0" xfId="0" applyFont="1" applyAlignment="1">
      <alignment wrapText="1"/>
    </xf>
    <xf numFmtId="0" fontId="27" fillId="0" borderId="13" xfId="0" applyFont="1" applyBorder="1" applyAlignment="1">
      <alignment wrapText="1"/>
    </xf>
    <xf numFmtId="0" fontId="45" fillId="15" borderId="28" xfId="0" applyFont="1" applyFill="1" applyBorder="1" applyAlignment="1">
      <alignment wrapText="1"/>
    </xf>
    <xf numFmtId="0" fontId="27" fillId="0" borderId="0" xfId="0" applyFont="1" applyAlignment="1">
      <alignment horizontal="left" vertical="top" wrapText="1"/>
    </xf>
    <xf numFmtId="0" fontId="17" fillId="31" borderId="0" xfId="0" applyFont="1" applyFill="1" applyAlignment="1">
      <alignment horizontal="left" vertical="top" wrapText="1"/>
    </xf>
    <xf numFmtId="0" fontId="17" fillId="31" borderId="0" xfId="0" applyFont="1" applyFill="1" applyAlignment="1">
      <alignment wrapText="1"/>
    </xf>
    <xf numFmtId="0" fontId="45" fillId="15" borderId="27" xfId="0" applyFont="1" applyFill="1" applyBorder="1" applyAlignment="1">
      <alignment horizontal="left" wrapText="1"/>
    </xf>
    <xf numFmtId="0" fontId="37" fillId="3" borderId="0" xfId="0" applyFont="1" applyFill="1" applyAlignment="1">
      <alignment wrapText="1"/>
    </xf>
    <xf numFmtId="0" fontId="17" fillId="12" borderId="0" xfId="0" applyFont="1" applyFill="1" applyAlignment="1">
      <alignment horizontal="left" vertical="center" wrapText="1"/>
    </xf>
    <xf numFmtId="0" fontId="17" fillId="12" borderId="0" xfId="0" applyFont="1" applyFill="1" applyAlignment="1">
      <alignment horizontal="right" vertical="center" wrapText="1"/>
    </xf>
    <xf numFmtId="0" fontId="52" fillId="0" borderId="1" xfId="0" applyFont="1" applyBorder="1" applyAlignment="1">
      <alignment wrapText="1"/>
    </xf>
    <xf numFmtId="0" fontId="56" fillId="4" borderId="1" xfId="0" applyFont="1" applyFill="1" applyBorder="1" applyAlignment="1">
      <alignment wrapText="1"/>
    </xf>
    <xf numFmtId="0" fontId="56" fillId="0" borderId="1" xfId="0" applyFont="1" applyBorder="1" applyAlignment="1">
      <alignment vertical="top" wrapText="1"/>
    </xf>
    <xf numFmtId="0" fontId="9" fillId="0" borderId="19" xfId="0" applyFont="1" applyBorder="1" applyAlignment="1">
      <alignment wrapText="1"/>
    </xf>
    <xf numFmtId="0" fontId="9" fillId="0" borderId="18" xfId="0" applyFont="1" applyBorder="1" applyAlignment="1">
      <alignment wrapText="1"/>
    </xf>
    <xf numFmtId="0" fontId="45" fillId="0" borderId="0" xfId="0" applyFont="1" applyAlignment="1">
      <alignment horizontal="center" wrapText="1"/>
    </xf>
    <xf numFmtId="2" fontId="4" fillId="0" borderId="4" xfId="0" applyNumberFormat="1" applyFont="1" applyBorder="1" applyAlignment="1">
      <alignment horizontal="right"/>
    </xf>
    <xf numFmtId="3" fontId="4" fillId="7" borderId="4" xfId="0" applyNumberFormat="1" applyFont="1" applyFill="1" applyBorder="1" applyAlignment="1">
      <alignment horizontal="right"/>
    </xf>
    <xf numFmtId="3" fontId="4" fillId="0" borderId="4" xfId="0" applyNumberFormat="1" applyFont="1" applyBorder="1" applyAlignment="1">
      <alignment horizontal="right"/>
    </xf>
    <xf numFmtId="2" fontId="4" fillId="7" borderId="4" xfId="0" applyNumberFormat="1" applyFont="1" applyFill="1" applyBorder="1" applyAlignment="1">
      <alignment horizontal="right"/>
    </xf>
    <xf numFmtId="0" fontId="16" fillId="0" borderId="19" xfId="0" quotePrefix="1" applyFont="1" applyBorder="1" applyAlignment="1">
      <alignment vertical="top" wrapText="1"/>
    </xf>
    <xf numFmtId="0" fontId="16" fillId="0" borderId="18" xfId="0" quotePrefix="1" applyFont="1" applyBorder="1" applyAlignment="1">
      <alignment vertical="top" wrapText="1"/>
    </xf>
    <xf numFmtId="0" fontId="29" fillId="0" borderId="0" xfId="0" quotePrefix="1" applyFont="1" applyAlignment="1">
      <alignment vertical="top"/>
    </xf>
    <xf numFmtId="0" fontId="24" fillId="5" borderId="1" xfId="0" applyFont="1" applyFill="1" applyBorder="1" applyAlignment="1">
      <alignment vertical="top"/>
    </xf>
    <xf numFmtId="0" fontId="50" fillId="0" borderId="0" xfId="0" applyFont="1"/>
    <xf numFmtId="0" fontId="7" fillId="12" borderId="0" xfId="0" applyFont="1" applyFill="1"/>
    <xf numFmtId="0" fontId="2" fillId="15" borderId="0" xfId="0" applyFont="1" applyFill="1"/>
    <xf numFmtId="0" fontId="3" fillId="27" borderId="0" xfId="0" applyFont="1" applyFill="1"/>
    <xf numFmtId="10" fontId="23" fillId="0" borderId="0" xfId="0" applyNumberFormat="1" applyFont="1"/>
    <xf numFmtId="0" fontId="23" fillId="0" borderId="0" xfId="0" applyFont="1"/>
    <xf numFmtId="10" fontId="24" fillId="0" borderId="0" xfId="0" applyNumberFormat="1" applyFont="1"/>
    <xf numFmtId="172" fontId="23" fillId="0" borderId="0" xfId="0" applyNumberFormat="1" applyFont="1"/>
    <xf numFmtId="172" fontId="24" fillId="0" borderId="0" xfId="0" applyNumberFormat="1" applyFont="1"/>
    <xf numFmtId="172" fontId="24" fillId="15" borderId="0" xfId="0" applyNumberFormat="1" applyFont="1" applyFill="1"/>
    <xf numFmtId="171" fontId="34" fillId="27" borderId="0" xfId="0" applyNumberFormat="1" applyFont="1" applyFill="1"/>
    <xf numFmtId="167" fontId="34" fillId="27" borderId="0" xfId="0" applyNumberFormat="1" applyFont="1" applyFill="1"/>
    <xf numFmtId="167" fontId="24" fillId="0" borderId="0" xfId="0" applyNumberFormat="1" applyFont="1"/>
    <xf numFmtId="171" fontId="23" fillId="0" borderId="0" xfId="0" applyNumberFormat="1" applyFont="1"/>
    <xf numFmtId="173" fontId="4" fillId="0" borderId="0" xfId="0" applyNumberFormat="1" applyFont="1"/>
    <xf numFmtId="174" fontId="2" fillId="0" borderId="0" xfId="0" applyNumberFormat="1" applyFont="1"/>
    <xf numFmtId="171" fontId="2" fillId="0" borderId="0" xfId="0" applyNumberFormat="1" applyFont="1"/>
    <xf numFmtId="0" fontId="2" fillId="0" borderId="0" xfId="0" applyFont="1" applyAlignment="1">
      <alignment wrapText="1"/>
    </xf>
    <xf numFmtId="0" fontId="3" fillId="15" borderId="0" xfId="0" applyFont="1" applyFill="1"/>
    <xf numFmtId="175" fontId="4" fillId="0" borderId="0" xfId="0" applyNumberFormat="1" applyFont="1"/>
    <xf numFmtId="175" fontId="24" fillId="0" borderId="0" xfId="0" applyNumberFormat="1" applyFont="1"/>
    <xf numFmtId="0" fontId="6" fillId="15" borderId="0" xfId="0" applyFont="1" applyFill="1"/>
    <xf numFmtId="172" fontId="25" fillId="0" borderId="0" xfId="0" applyNumberFormat="1" applyFont="1"/>
    <xf numFmtId="172" fontId="34" fillId="0" borderId="0" xfId="0" applyNumberFormat="1" applyFont="1"/>
    <xf numFmtId="172" fontId="2" fillId="0" borderId="0" xfId="0" applyNumberFormat="1" applyFont="1"/>
    <xf numFmtId="172" fontId="25" fillId="15" borderId="0" xfId="0" applyNumberFormat="1" applyFont="1" applyFill="1"/>
    <xf numFmtId="172" fontId="6" fillId="15" borderId="0" xfId="0" applyNumberFormat="1" applyFont="1" applyFill="1"/>
    <xf numFmtId="172" fontId="3" fillId="0" borderId="0" xfId="0" applyNumberFormat="1" applyFont="1"/>
    <xf numFmtId="176" fontId="23" fillId="0" borderId="0" xfId="0" applyNumberFormat="1" applyFont="1"/>
    <xf numFmtId="0" fontId="8" fillId="12" borderId="0" xfId="0" applyFont="1" applyFill="1" applyAlignment="1">
      <alignment horizontal="center"/>
    </xf>
    <xf numFmtId="0" fontId="11" fillId="0" borderId="0" xfId="0" applyFont="1"/>
    <xf numFmtId="0" fontId="11" fillId="0" borderId="13" xfId="0" applyFont="1" applyBorder="1" applyAlignment="1">
      <alignment wrapText="1"/>
    </xf>
    <xf numFmtId="0" fontId="11" fillId="0" borderId="13" xfId="0" applyFont="1" applyBorder="1"/>
    <xf numFmtId="0" fontId="62" fillId="15" borderId="0" xfId="0" applyFont="1" applyFill="1"/>
    <xf numFmtId="171" fontId="63" fillId="0" borderId="0" xfId="0" applyNumberFormat="1" applyFont="1"/>
    <xf numFmtId="3" fontId="63" fillId="0" borderId="0" xfId="0" applyNumberFormat="1" applyFont="1"/>
    <xf numFmtId="2" fontId="63" fillId="0" borderId="0" xfId="0" applyNumberFormat="1" applyFont="1"/>
    <xf numFmtId="172" fontId="63" fillId="0" borderId="0" xfId="0" applyNumberFormat="1" applyFont="1"/>
    <xf numFmtId="0" fontId="8" fillId="12" borderId="0" xfId="0" applyFont="1" applyFill="1"/>
    <xf numFmtId="0" fontId="8" fillId="12" borderId="0" xfId="0" applyFont="1" applyFill="1" applyAlignment="1">
      <alignment wrapText="1"/>
    </xf>
    <xf numFmtId="0" fontId="64" fillId="15" borderId="0" xfId="0" applyFont="1" applyFill="1"/>
    <xf numFmtId="0" fontId="64" fillId="15" borderId="0" xfId="0" applyFont="1" applyFill="1" applyAlignment="1">
      <alignment wrapText="1"/>
    </xf>
    <xf numFmtId="10" fontId="63" fillId="0" borderId="0" xfId="0" applyNumberFormat="1" applyFont="1"/>
    <xf numFmtId="0" fontId="50" fillId="0" borderId="0" xfId="0" applyFont="1" applyAlignment="1">
      <alignment wrapText="1"/>
    </xf>
    <xf numFmtId="10" fontId="65" fillId="0" borderId="0" xfId="0" applyNumberFormat="1" applyFont="1"/>
    <xf numFmtId="167" fontId="66" fillId="0" borderId="0" xfId="0" applyNumberFormat="1" applyFont="1"/>
    <xf numFmtId="3" fontId="66" fillId="0" borderId="0" xfId="0" applyNumberFormat="1" applyFont="1"/>
    <xf numFmtId="0" fontId="63" fillId="0" borderId="0" xfId="0" applyFont="1"/>
    <xf numFmtId="10" fontId="66" fillId="0" borderId="0" xfId="0" applyNumberFormat="1" applyFont="1"/>
    <xf numFmtId="2" fontId="65" fillId="0" borderId="0" xfId="0" applyNumberFormat="1" applyFont="1"/>
    <xf numFmtId="2" fontId="25" fillId="2" borderId="4" xfId="0" applyNumberFormat="1" applyFont="1" applyFill="1" applyBorder="1" applyAlignment="1">
      <alignment horizontal="right"/>
    </xf>
    <xf numFmtId="0" fontId="45" fillId="0" borderId="0" xfId="0" applyFont="1" applyAlignment="1">
      <alignment wrapText="1"/>
    </xf>
    <xf numFmtId="0" fontId="60" fillId="0" borderId="0" xfId="0" quotePrefix="1" applyFont="1" applyAlignment="1">
      <alignment wrapText="1"/>
    </xf>
    <xf numFmtId="0" fontId="60" fillId="0" borderId="0" xfId="0" applyFont="1" applyAlignment="1">
      <alignment wrapText="1"/>
    </xf>
    <xf numFmtId="167" fontId="23" fillId="14" borderId="0" xfId="0" applyNumberFormat="1" applyFont="1" applyFill="1"/>
    <xf numFmtId="167" fontId="23" fillId="14" borderId="19" xfId="0" applyNumberFormat="1" applyFont="1" applyFill="1" applyBorder="1"/>
    <xf numFmtId="167" fontId="23" fillId="14" borderId="18" xfId="0" applyNumberFormat="1" applyFont="1" applyFill="1" applyBorder="1"/>
    <xf numFmtId="9" fontId="23" fillId="14" borderId="0" xfId="0" applyNumberFormat="1" applyFont="1" applyFill="1"/>
    <xf numFmtId="168" fontId="23" fillId="14" borderId="18" xfId="0" applyNumberFormat="1" applyFont="1" applyFill="1" applyBorder="1"/>
    <xf numFmtId="3" fontId="25" fillId="14" borderId="17" xfId="0" applyNumberFormat="1" applyFont="1" applyFill="1" applyBorder="1"/>
    <xf numFmtId="0" fontId="19" fillId="0" borderId="0" xfId="0" applyFont="1" applyAlignment="1">
      <alignment horizontal="center"/>
    </xf>
    <xf numFmtId="0" fontId="19" fillId="12" borderId="0" xfId="0" applyFont="1" applyFill="1" applyAlignment="1">
      <alignment vertical="center"/>
    </xf>
    <xf numFmtId="3" fontId="23" fillId="0" borderId="19" xfId="0" applyNumberFormat="1" applyFont="1" applyBorder="1"/>
    <xf numFmtId="167" fontId="23" fillId="0" borderId="19" xfId="0" applyNumberFormat="1" applyFont="1" applyBorder="1"/>
    <xf numFmtId="2" fontId="23" fillId="0" borderId="19" xfId="0" applyNumberFormat="1" applyFont="1" applyBorder="1"/>
    <xf numFmtId="3" fontId="23" fillId="17" borderId="0" xfId="0" applyNumberFormat="1" applyFont="1" applyFill="1"/>
    <xf numFmtId="3" fontId="23" fillId="0" borderId="25" xfId="0" applyNumberFormat="1" applyFont="1" applyBorder="1"/>
    <xf numFmtId="3" fontId="23" fillId="17" borderId="25" xfId="0" applyNumberFormat="1" applyFont="1" applyFill="1" applyBorder="1"/>
    <xf numFmtId="3" fontId="23" fillId="0" borderId="24" xfId="0" applyNumberFormat="1" applyFont="1" applyBorder="1"/>
    <xf numFmtId="3" fontId="23" fillId="17" borderId="24" xfId="0" applyNumberFormat="1" applyFont="1" applyFill="1" applyBorder="1"/>
    <xf numFmtId="3" fontId="34" fillId="0" borderId="22" xfId="0" applyNumberFormat="1" applyFont="1" applyBorder="1"/>
    <xf numFmtId="167" fontId="24" fillId="17" borderId="0" xfId="0" applyNumberFormat="1" applyFont="1" applyFill="1"/>
    <xf numFmtId="3" fontId="24" fillId="17" borderId="0" xfId="0" applyNumberFormat="1" applyFont="1" applyFill="1"/>
    <xf numFmtId="3" fontId="25" fillId="0" borderId="22" xfId="0" applyNumberFormat="1" applyFont="1" applyBorder="1"/>
    <xf numFmtId="3" fontId="25" fillId="17" borderId="22" xfId="0" applyNumberFormat="1" applyFont="1" applyFill="1" applyBorder="1"/>
    <xf numFmtId="167" fontId="24" fillId="0" borderId="23" xfId="0" applyNumberFormat="1" applyFont="1" applyBorder="1"/>
    <xf numFmtId="167" fontId="24" fillId="17" borderId="23" xfId="0" applyNumberFormat="1" applyFont="1" applyFill="1" applyBorder="1"/>
    <xf numFmtId="3" fontId="24" fillId="17" borderId="24" xfId="0" applyNumberFormat="1" applyFont="1" applyFill="1" applyBorder="1"/>
    <xf numFmtId="3" fontId="34" fillId="0" borderId="0" xfId="0" applyNumberFormat="1" applyFont="1"/>
    <xf numFmtId="3" fontId="34" fillId="17" borderId="0" xfId="0" applyNumberFormat="1" applyFont="1" applyFill="1"/>
    <xf numFmtId="3" fontId="24" fillId="0" borderId="25" xfId="0" applyNumberFormat="1" applyFont="1" applyBorder="1"/>
    <xf numFmtId="3" fontId="24" fillId="17" borderId="25" xfId="0" applyNumberFormat="1" applyFont="1" applyFill="1" applyBorder="1"/>
    <xf numFmtId="169" fontId="34" fillId="0" borderId="26" xfId="0" applyNumberFormat="1" applyFont="1" applyBorder="1"/>
    <xf numFmtId="169" fontId="34" fillId="17" borderId="26" xfId="0" applyNumberFormat="1" applyFont="1" applyFill="1" applyBorder="1"/>
    <xf numFmtId="3" fontId="34" fillId="0" borderId="23" xfId="0" applyNumberFormat="1" applyFont="1" applyBorder="1"/>
    <xf numFmtId="3" fontId="34" fillId="17" borderId="23" xfId="0" applyNumberFormat="1" applyFont="1" applyFill="1" applyBorder="1"/>
    <xf numFmtId="168" fontId="23" fillId="17" borderId="0" xfId="0" applyNumberFormat="1" applyFont="1" applyFill="1"/>
    <xf numFmtId="9" fontId="23" fillId="17" borderId="25" xfId="0" applyNumberFormat="1" applyFont="1" applyFill="1" applyBorder="1"/>
    <xf numFmtId="167" fontId="23" fillId="17" borderId="23" xfId="0" applyNumberFormat="1" applyFont="1" applyFill="1" applyBorder="1"/>
    <xf numFmtId="3" fontId="24" fillId="0" borderId="24" xfId="0" applyNumberFormat="1" applyFont="1" applyBorder="1"/>
    <xf numFmtId="3" fontId="23" fillId="0" borderId="23" xfId="0" applyNumberFormat="1" applyFont="1" applyBorder="1"/>
    <xf numFmtId="169" fontId="23" fillId="0" borderId="0" xfId="0" applyNumberFormat="1" applyFont="1"/>
    <xf numFmtId="169" fontId="23" fillId="17" borderId="0" xfId="0" applyNumberFormat="1" applyFont="1" applyFill="1"/>
    <xf numFmtId="170" fontId="24" fillId="0" borderId="25" xfId="0" applyNumberFormat="1" applyFont="1" applyBorder="1"/>
    <xf numFmtId="170" fontId="24" fillId="17" borderId="25" xfId="0" applyNumberFormat="1" applyFont="1" applyFill="1" applyBorder="1"/>
    <xf numFmtId="170" fontId="34" fillId="11" borderId="27" xfId="0" applyNumberFormat="1" applyFont="1" applyFill="1" applyBorder="1"/>
    <xf numFmtId="170" fontId="24" fillId="0" borderId="23" xfId="0" applyNumberFormat="1" applyFont="1" applyBorder="1"/>
    <xf numFmtId="170" fontId="24" fillId="17" borderId="23" xfId="0" applyNumberFormat="1" applyFont="1" applyFill="1" applyBorder="1"/>
    <xf numFmtId="172" fontId="19" fillId="0" borderId="0" xfId="0" applyNumberFormat="1" applyFont="1"/>
    <xf numFmtId="164" fontId="34" fillId="5" borderId="4" xfId="0" applyNumberFormat="1" applyFont="1" applyFill="1" applyBorder="1" applyAlignment="1">
      <alignment horizontal="right"/>
    </xf>
    <xf numFmtId="164" fontId="34" fillId="7" borderId="4" xfId="0" applyNumberFormat="1" applyFont="1" applyFill="1" applyBorder="1" applyAlignment="1">
      <alignment horizontal="right"/>
    </xf>
    <xf numFmtId="171" fontId="66" fillId="24" borderId="0" xfId="0" applyNumberFormat="1" applyFont="1" applyFill="1" applyAlignment="1">
      <alignment vertical="center"/>
    </xf>
    <xf numFmtId="170" fontId="66" fillId="24" borderId="0" xfId="0" applyNumberFormat="1" applyFont="1" applyFill="1" applyAlignment="1">
      <alignment vertical="center"/>
    </xf>
    <xf numFmtId="167" fontId="66" fillId="24" borderId="0" xfId="0" applyNumberFormat="1" applyFont="1" applyFill="1" applyAlignment="1">
      <alignment vertical="center"/>
    </xf>
    <xf numFmtId="0" fontId="66" fillId="24" borderId="0" xfId="0" applyFont="1" applyFill="1" applyAlignment="1">
      <alignment vertical="center"/>
    </xf>
    <xf numFmtId="3" fontId="66" fillId="24" borderId="0" xfId="0" applyNumberFormat="1" applyFont="1" applyFill="1" applyAlignment="1">
      <alignment vertical="center"/>
    </xf>
    <xf numFmtId="0" fontId="69" fillId="27" borderId="0" xfId="0" applyFont="1" applyFill="1" applyAlignment="1">
      <alignment horizontal="center" vertical="center"/>
    </xf>
    <xf numFmtId="0" fontId="24" fillId="0" borderId="1" xfId="0" applyFont="1" applyBorder="1" applyAlignment="1">
      <alignment vertical="top"/>
    </xf>
    <xf numFmtId="0" fontId="41" fillId="0" borderId="0" xfId="0" applyFont="1" applyAlignment="1">
      <alignment horizontal="left" vertical="top" wrapText="1"/>
    </xf>
    <xf numFmtId="167" fontId="65" fillId="24" borderId="0" xfId="0" applyNumberFormat="1" applyFont="1" applyFill="1" applyAlignment="1">
      <alignment vertical="center"/>
    </xf>
    <xf numFmtId="0" fontId="24" fillId="0" borderId="4" xfId="0" applyFont="1" applyBorder="1" applyAlignment="1">
      <alignment horizontal="center"/>
    </xf>
    <xf numFmtId="0" fontId="24" fillId="7" borderId="4" xfId="0" applyFont="1" applyFill="1" applyBorder="1" applyAlignment="1">
      <alignment horizontal="center"/>
    </xf>
    <xf numFmtId="0" fontId="24" fillId="0" borderId="0" xfId="0" applyFont="1" applyAlignment="1">
      <alignment vertical="top"/>
    </xf>
    <xf numFmtId="0" fontId="34" fillId="15" borderId="16" xfId="0" applyFont="1" applyFill="1" applyBorder="1" applyAlignment="1">
      <alignment vertical="top"/>
    </xf>
    <xf numFmtId="4" fontId="23" fillId="0" borderId="0" xfId="0" applyNumberFormat="1" applyFont="1" applyAlignment="1">
      <alignment vertical="top"/>
    </xf>
    <xf numFmtId="4" fontId="25" fillId="15" borderId="16" xfId="0" applyNumberFormat="1" applyFont="1" applyFill="1" applyBorder="1" applyAlignment="1">
      <alignment vertical="top"/>
    </xf>
    <xf numFmtId="0" fontId="34" fillId="0" borderId="0" xfId="0" applyFont="1" applyAlignment="1">
      <alignment horizontal="center" vertical="top"/>
    </xf>
    <xf numFmtId="0" fontId="34" fillId="15" borderId="16" xfId="0" applyFont="1" applyFill="1" applyBorder="1" applyAlignment="1">
      <alignment horizontal="center" vertical="top"/>
    </xf>
    <xf numFmtId="3" fontId="24" fillId="17" borderId="23" xfId="0" applyNumberFormat="1" applyFont="1" applyFill="1" applyBorder="1"/>
    <xf numFmtId="3" fontId="70" fillId="0" borderId="0" xfId="0" applyNumberFormat="1" applyFont="1"/>
    <xf numFmtId="3" fontId="1" fillId="0" borderId="0" xfId="0" applyNumberFormat="1" applyFont="1"/>
    <xf numFmtId="167" fontId="1" fillId="0" borderId="0" xfId="0" applyNumberFormat="1" applyFont="1"/>
    <xf numFmtId="176" fontId="70" fillId="0" borderId="0" xfId="0" applyNumberFormat="1" applyFont="1"/>
    <xf numFmtId="0" fontId="0" fillId="0" borderId="0" xfId="0" quotePrefix="1"/>
    <xf numFmtId="177" fontId="4" fillId="0" borderId="0" xfId="0" applyNumberFormat="1" applyFont="1"/>
    <xf numFmtId="177" fontId="4" fillId="0" borderId="19" xfId="0" applyNumberFormat="1" applyFont="1" applyBorder="1"/>
    <xf numFmtId="177" fontId="4" fillId="0" borderId="18" xfId="0" applyNumberFormat="1" applyFont="1" applyBorder="1"/>
    <xf numFmtId="1" fontId="4" fillId="0" borderId="19" xfId="0" applyNumberFormat="1" applyFont="1" applyBorder="1"/>
    <xf numFmtId="167" fontId="71" fillId="0" borderId="19" xfId="0" applyNumberFormat="1" applyFont="1" applyBorder="1"/>
    <xf numFmtId="177" fontId="23" fillId="14" borderId="18" xfId="0" applyNumberFormat="1" applyFont="1" applyFill="1" applyBorder="1"/>
    <xf numFmtId="1" fontId="72" fillId="17" borderId="0" xfId="0" applyNumberFormat="1" applyFont="1" applyFill="1"/>
    <xf numFmtId="167" fontId="73" fillId="17" borderId="0" xfId="0" applyNumberFormat="1" applyFont="1" applyFill="1"/>
    <xf numFmtId="3" fontId="74" fillId="17" borderId="0" xfId="0" applyNumberFormat="1" applyFont="1" applyFill="1"/>
    <xf numFmtId="3" fontId="73" fillId="17" borderId="0" xfId="0" applyNumberFormat="1" applyFont="1" applyFill="1"/>
    <xf numFmtId="3" fontId="75" fillId="17" borderId="0" xfId="0" applyNumberFormat="1" applyFont="1" applyFill="1"/>
    <xf numFmtId="1" fontId="73" fillId="0" borderId="0" xfId="0" applyNumberFormat="1" applyFont="1"/>
    <xf numFmtId="172" fontId="73" fillId="0" borderId="0" xfId="0" applyNumberFormat="1" applyFont="1"/>
    <xf numFmtId="171" fontId="74" fillId="27" borderId="0" xfId="0" applyNumberFormat="1" applyFont="1" applyFill="1"/>
    <xf numFmtId="167" fontId="73" fillId="0" borderId="0" xfId="0" applyNumberFormat="1" applyFont="1"/>
    <xf numFmtId="177" fontId="23" fillId="0" borderId="0" xfId="0" applyNumberFormat="1" applyFont="1" applyAlignment="1">
      <alignment vertical="top"/>
    </xf>
    <xf numFmtId="10" fontId="23" fillId="0" borderId="0" xfId="0" applyNumberFormat="1" applyFont="1" applyAlignment="1">
      <alignment vertical="top"/>
    </xf>
    <xf numFmtId="164" fontId="23" fillId="7" borderId="10" xfId="0" applyNumberFormat="1" applyFont="1" applyFill="1" applyBorder="1" applyAlignment="1">
      <alignment horizontal="right"/>
    </xf>
    <xf numFmtId="0" fontId="23" fillId="0" borderId="19" xfId="0" applyFont="1" applyBorder="1"/>
    <xf numFmtId="2" fontId="4" fillId="0" borderId="18" xfId="0" applyNumberFormat="1" applyFont="1" applyBorder="1"/>
    <xf numFmtId="0" fontId="65" fillId="0" borderId="0" xfId="0" applyFont="1"/>
    <xf numFmtId="1" fontId="23" fillId="0" borderId="0" xfId="0" applyNumberFormat="1" applyFont="1" applyAlignment="1">
      <alignment vertical="top"/>
    </xf>
    <xf numFmtId="1" fontId="24" fillId="0" borderId="0" xfId="0" applyNumberFormat="1" applyFont="1" applyAlignment="1">
      <alignment vertical="top"/>
    </xf>
    <xf numFmtId="0" fontId="76" fillId="0" borderId="0" xfId="0" applyFont="1"/>
    <xf numFmtId="0" fontId="77" fillId="0" borderId="0" xfId="0" applyFont="1" applyAlignment="1">
      <alignment vertical="center" wrapText="1"/>
    </xf>
    <xf numFmtId="0" fontId="78" fillId="3" borderId="0" xfId="0" applyFont="1" applyFill="1"/>
    <xf numFmtId="164" fontId="72" fillId="0" borderId="6" xfId="0" applyNumberFormat="1" applyFont="1" applyBorder="1" applyAlignment="1">
      <alignment horizontal="right"/>
    </xf>
    <xf numFmtId="3" fontId="72" fillId="0" borderId="6" xfId="0" applyNumberFormat="1" applyFont="1" applyBorder="1" applyAlignment="1">
      <alignment horizontal="right"/>
    </xf>
    <xf numFmtId="164" fontId="74" fillId="0" borderId="6" xfId="0" applyNumberFormat="1" applyFont="1" applyBorder="1" applyAlignment="1">
      <alignment horizontal="right"/>
    </xf>
    <xf numFmtId="3" fontId="74" fillId="0" borderId="6" xfId="0" applyNumberFormat="1" applyFont="1" applyBorder="1" applyAlignment="1">
      <alignment horizontal="right"/>
    </xf>
    <xf numFmtId="167" fontId="73" fillId="0" borderId="6" xfId="0" applyNumberFormat="1" applyFont="1" applyBorder="1" applyAlignment="1">
      <alignment horizontal="right"/>
    </xf>
    <xf numFmtId="167" fontId="72" fillId="0" borderId="18" xfId="0" applyNumberFormat="1" applyFont="1" applyBorder="1"/>
    <xf numFmtId="10" fontId="73" fillId="0" borderId="18" xfId="0" applyNumberFormat="1" applyFont="1" applyBorder="1"/>
    <xf numFmtId="167" fontId="74" fillId="0" borderId="18" xfId="0" applyNumberFormat="1" applyFont="1" applyBorder="1"/>
    <xf numFmtId="164" fontId="73" fillId="0" borderId="4" xfId="0" applyNumberFormat="1" applyFont="1" applyBorder="1" applyAlignment="1">
      <alignment horizontal="right"/>
    </xf>
    <xf numFmtId="164" fontId="74" fillId="0" borderId="4" xfId="0" applyNumberFormat="1" applyFont="1" applyBorder="1" applyAlignment="1">
      <alignment horizontal="right"/>
    </xf>
    <xf numFmtId="166" fontId="74" fillId="7" borderId="10" xfId="0" applyNumberFormat="1" applyFont="1" applyFill="1" applyBorder="1" applyAlignment="1">
      <alignment horizontal="right"/>
    </xf>
    <xf numFmtId="164" fontId="75" fillId="8" borderId="8" xfId="0" applyNumberFormat="1" applyFont="1" applyFill="1" applyBorder="1" applyAlignment="1">
      <alignment horizontal="right"/>
    </xf>
    <xf numFmtId="3" fontId="73" fillId="0" borderId="24" xfId="0" applyNumberFormat="1" applyFont="1" applyBorder="1"/>
    <xf numFmtId="3" fontId="73" fillId="17" borderId="24" xfId="0" applyNumberFormat="1" applyFont="1" applyFill="1" applyBorder="1"/>
    <xf numFmtId="2" fontId="79" fillId="0" borderId="0" xfId="0" applyNumberFormat="1" applyFont="1"/>
    <xf numFmtId="4" fontId="73" fillId="0" borderId="0" xfId="0" applyNumberFormat="1" applyFont="1" applyAlignment="1">
      <alignment vertical="top"/>
    </xf>
    <xf numFmtId="0" fontId="74" fillId="0" borderId="0" xfId="0" applyFont="1" applyAlignment="1">
      <alignment vertical="top"/>
    </xf>
    <xf numFmtId="4" fontId="74" fillId="0" borderId="0" xfId="0" applyNumberFormat="1" applyFont="1" applyAlignment="1">
      <alignment vertical="top"/>
    </xf>
    <xf numFmtId="0" fontId="75" fillId="0" borderId="0" xfId="0" applyFont="1" applyAlignment="1">
      <alignment horizontal="center" vertical="top"/>
    </xf>
    <xf numFmtId="1" fontId="73" fillId="0" borderId="0" xfId="0" applyNumberFormat="1" applyFont="1" applyAlignment="1">
      <alignment vertical="top"/>
    </xf>
    <xf numFmtId="1" fontId="74" fillId="0" borderId="0" xfId="0" applyNumberFormat="1" applyFont="1" applyAlignment="1">
      <alignment vertical="top"/>
    </xf>
    <xf numFmtId="167" fontId="80" fillId="0" borderId="19" xfId="0" quotePrefix="1" applyNumberFormat="1" applyFont="1" applyBorder="1" applyAlignment="1">
      <alignment vertical="top" wrapText="1"/>
    </xf>
    <xf numFmtId="10" fontId="23" fillId="0" borderId="19" xfId="0" applyNumberFormat="1" applyFont="1" applyBorder="1"/>
    <xf numFmtId="10" fontId="80" fillId="0" borderId="19" xfId="0" quotePrefix="1" applyNumberFormat="1" applyFont="1" applyBorder="1" applyAlignment="1">
      <alignment vertical="top" wrapText="1"/>
    </xf>
    <xf numFmtId="2" fontId="80" fillId="0" borderId="19" xfId="0" quotePrefix="1" applyNumberFormat="1" applyFont="1" applyBorder="1" applyAlignment="1">
      <alignment vertical="top" wrapText="1"/>
    </xf>
    <xf numFmtId="167" fontId="24" fillId="0" borderId="19" xfId="0" applyNumberFormat="1" applyFont="1" applyBorder="1"/>
    <xf numFmtId="167" fontId="39" fillId="0" borderId="19" xfId="0" quotePrefix="1" applyNumberFormat="1" applyFont="1" applyBorder="1" applyAlignment="1">
      <alignment vertical="top" wrapText="1"/>
    </xf>
    <xf numFmtId="2" fontId="24" fillId="0" borderId="19" xfId="0" applyNumberFormat="1" applyFont="1" applyBorder="1"/>
    <xf numFmtId="2" fontId="39" fillId="0" borderId="19" xfId="0" quotePrefix="1" applyNumberFormat="1" applyFont="1" applyBorder="1" applyAlignment="1">
      <alignment vertical="top" wrapText="1"/>
    </xf>
    <xf numFmtId="177" fontId="24" fillId="0" borderId="19" xfId="0" applyNumberFormat="1" applyFont="1" applyBorder="1"/>
    <xf numFmtId="177" fontId="39" fillId="0" borderId="19" xfId="0" quotePrefix="1" applyNumberFormat="1" applyFont="1" applyBorder="1" applyAlignment="1">
      <alignment vertical="top" wrapText="1"/>
    </xf>
    <xf numFmtId="167" fontId="81" fillId="0" borderId="19" xfId="0" quotePrefix="1" applyNumberFormat="1" applyFont="1" applyBorder="1" applyAlignment="1">
      <alignment vertical="top" wrapText="1"/>
    </xf>
    <xf numFmtId="167" fontId="70" fillId="0" borderId="0" xfId="0" applyNumberFormat="1" applyFont="1"/>
    <xf numFmtId="2" fontId="70" fillId="0" borderId="0" xfId="0" applyNumberFormat="1" applyFont="1"/>
    <xf numFmtId="1" fontId="24" fillId="0" borderId="0" xfId="0" applyNumberFormat="1" applyFont="1"/>
    <xf numFmtId="167" fontId="74" fillId="17" borderId="0" xfId="0" applyNumberFormat="1" applyFont="1" applyFill="1"/>
    <xf numFmtId="168" fontId="24" fillId="0" borderId="0" xfId="0" applyNumberFormat="1" applyFont="1"/>
    <xf numFmtId="168" fontId="74" fillId="17" borderId="0" xfId="0" applyNumberFormat="1" applyFont="1" applyFill="1"/>
    <xf numFmtId="178" fontId="74" fillId="17" borderId="0" xfId="0" applyNumberFormat="1" applyFont="1" applyFill="1"/>
    <xf numFmtId="167" fontId="23" fillId="0" borderId="0" xfId="0" applyNumberFormat="1" applyFont="1" applyAlignment="1">
      <alignment vertical="top"/>
    </xf>
    <xf numFmtId="3" fontId="25" fillId="0" borderId="0" xfId="0" applyNumberFormat="1" applyFont="1" applyAlignment="1">
      <alignment horizontal="center" vertical="top"/>
    </xf>
    <xf numFmtId="179" fontId="4" fillId="0" borderId="19" xfId="0" applyNumberFormat="1" applyFont="1" applyBorder="1"/>
    <xf numFmtId="179" fontId="81" fillId="0" borderId="19" xfId="0" quotePrefix="1" applyNumberFormat="1" applyFont="1" applyBorder="1" applyAlignment="1">
      <alignment vertical="top" wrapText="1"/>
    </xf>
    <xf numFmtId="179" fontId="23" fillId="14" borderId="0" xfId="0" applyNumberFormat="1" applyFont="1" applyFill="1"/>
    <xf numFmtId="180" fontId="74" fillId="17" borderId="0" xfId="0" applyNumberFormat="1" applyFont="1" applyFill="1"/>
    <xf numFmtId="181" fontId="23" fillId="0" borderId="0" xfId="0" applyNumberFormat="1" applyFont="1" applyAlignment="1">
      <alignment vertical="top"/>
    </xf>
    <xf numFmtId="0" fontId="83" fillId="0" borderId="19" xfId="0" applyFont="1" applyBorder="1"/>
    <xf numFmtId="1" fontId="72" fillId="0" borderId="19" xfId="0" applyNumberFormat="1" applyFont="1" applyBorder="1"/>
    <xf numFmtId="2" fontId="73" fillId="0" borderId="19" xfId="0" applyNumberFormat="1" applyFont="1" applyBorder="1"/>
    <xf numFmtId="2" fontId="74" fillId="0" borderId="19" xfId="0" applyNumberFormat="1" applyFont="1" applyBorder="1"/>
    <xf numFmtId="2" fontId="72" fillId="0" borderId="19" xfId="0" applyNumberFormat="1" applyFont="1" applyBorder="1"/>
    <xf numFmtId="0" fontId="84" fillId="0" borderId="19" xfId="0" applyFont="1" applyBorder="1"/>
    <xf numFmtId="10" fontId="79" fillId="0" borderId="0" xfId="0" applyNumberFormat="1" applyFont="1"/>
    <xf numFmtId="2" fontId="73" fillId="0" borderId="0" xfId="0" applyNumberFormat="1" applyFont="1"/>
    <xf numFmtId="10" fontId="74" fillId="0" borderId="0" xfId="0" applyNumberFormat="1" applyFont="1"/>
    <xf numFmtId="167" fontId="72" fillId="0" borderId="0" xfId="0" applyNumberFormat="1" applyFont="1"/>
    <xf numFmtId="174" fontId="74" fillId="0" borderId="0" xfId="0" applyNumberFormat="1" applyFont="1"/>
    <xf numFmtId="10" fontId="72" fillId="0" borderId="0" xfId="0" applyNumberFormat="1" applyFont="1"/>
    <xf numFmtId="171" fontId="74" fillId="0" borderId="0" xfId="0" applyNumberFormat="1" applyFont="1"/>
    <xf numFmtId="0" fontId="82" fillId="0" borderId="0" xfId="0" applyFont="1"/>
    <xf numFmtId="182" fontId="1" fillId="0" borderId="0" xfId="0" applyNumberFormat="1" applyFont="1"/>
    <xf numFmtId="171" fontId="1" fillId="0" borderId="0" xfId="0" applyNumberFormat="1" applyFont="1"/>
    <xf numFmtId="10" fontId="1" fillId="0" borderId="0" xfId="0" applyNumberFormat="1" applyFont="1"/>
    <xf numFmtId="0" fontId="74" fillId="0" borderId="0" xfId="0" applyFont="1"/>
    <xf numFmtId="2" fontId="74" fillId="0" borderId="0" xfId="0" applyNumberFormat="1" applyFont="1"/>
    <xf numFmtId="181" fontId="73" fillId="0" borderId="0" xfId="0" applyNumberFormat="1" applyFont="1" applyAlignment="1">
      <alignment vertical="top"/>
    </xf>
    <xf numFmtId="0" fontId="85" fillId="0" borderId="6" xfId="0" applyFont="1" applyBorder="1" applyAlignment="1">
      <alignment horizontal="left"/>
    </xf>
    <xf numFmtId="3" fontId="73" fillId="0" borderId="6" xfId="0" applyNumberFormat="1" applyFont="1" applyBorder="1" applyAlignment="1">
      <alignment horizontal="right"/>
    </xf>
    <xf numFmtId="0" fontId="86" fillId="0" borderId="6" xfId="0" applyFont="1" applyBorder="1" applyAlignment="1">
      <alignment horizontal="left"/>
    </xf>
    <xf numFmtId="172" fontId="74" fillId="15" borderId="0" xfId="0" applyNumberFormat="1" applyFont="1" applyFill="1"/>
    <xf numFmtId="172" fontId="87" fillId="0" borderId="0" xfId="0" applyNumberFormat="1" applyFont="1"/>
    <xf numFmtId="172" fontId="74" fillId="0" borderId="0" xfId="0" applyNumberFormat="1" applyFont="1"/>
    <xf numFmtId="3" fontId="74" fillId="0" borderId="0" xfId="0" applyNumberFormat="1" applyFont="1"/>
    <xf numFmtId="3" fontId="73" fillId="0" borderId="0" xfId="0" applyNumberFormat="1" applyFont="1"/>
    <xf numFmtId="0" fontId="88" fillId="0" borderId="0" xfId="0" applyFont="1"/>
    <xf numFmtId="10" fontId="70" fillId="0" borderId="0" xfId="0" applyNumberFormat="1" applyFont="1"/>
    <xf numFmtId="183" fontId="1" fillId="0" borderId="0" xfId="0" applyNumberFormat="1" applyFont="1"/>
    <xf numFmtId="167" fontId="89" fillId="0" borderId="0" xfId="0" applyNumberFormat="1" applyFont="1"/>
    <xf numFmtId="180" fontId="74" fillId="0" borderId="0" xfId="0" applyNumberFormat="1" applyFont="1"/>
    <xf numFmtId="168" fontId="73" fillId="0" borderId="0" xfId="0" applyNumberFormat="1" applyFont="1"/>
    <xf numFmtId="168" fontId="89" fillId="0" borderId="0" xfId="0" applyNumberFormat="1" applyFont="1"/>
    <xf numFmtId="184" fontId="74" fillId="0" borderId="0" xfId="0" applyNumberFormat="1" applyFont="1"/>
    <xf numFmtId="2" fontId="89" fillId="0" borderId="0" xfId="0" applyNumberFormat="1" applyFont="1"/>
    <xf numFmtId="185" fontId="74" fillId="0" borderId="0" xfId="0" applyNumberFormat="1" applyFont="1"/>
    <xf numFmtId="171" fontId="90" fillId="0" borderId="0" xfId="0" applyNumberFormat="1" applyFont="1"/>
    <xf numFmtId="186" fontId="1" fillId="0" borderId="0" xfId="0" applyNumberFormat="1" applyFont="1"/>
    <xf numFmtId="171" fontId="89" fillId="0" borderId="0" xfId="0" applyNumberFormat="1" applyFont="1"/>
    <xf numFmtId="186" fontId="74" fillId="0" borderId="0" xfId="0" applyNumberFormat="1" applyFont="1"/>
    <xf numFmtId="187" fontId="90" fillId="0" borderId="0" xfId="0" applyNumberFormat="1" applyFont="1"/>
    <xf numFmtId="185" fontId="1" fillId="0" borderId="0" xfId="0" applyNumberFormat="1" applyFont="1"/>
    <xf numFmtId="187" fontId="89" fillId="0" borderId="0" xfId="0" applyNumberFormat="1" applyFont="1"/>
    <xf numFmtId="10" fontId="73" fillId="0" borderId="0" xfId="0" applyNumberFormat="1" applyFont="1"/>
    <xf numFmtId="0" fontId="88" fillId="0" borderId="0" xfId="0" applyFont="1" applyAlignment="1">
      <alignment wrapText="1"/>
    </xf>
    <xf numFmtId="0" fontId="0" fillId="0" borderId="0" xfId="0" applyAlignment="1">
      <alignment wrapText="1"/>
    </xf>
    <xf numFmtId="0" fontId="0" fillId="0" borderId="0" xfId="0" quotePrefix="1" applyAlignment="1">
      <alignment wrapText="1"/>
    </xf>
    <xf numFmtId="164" fontId="72" fillId="7" borderId="4" xfId="0" applyNumberFormat="1" applyFont="1" applyFill="1" applyBorder="1" applyAlignment="1">
      <alignment horizontal="right"/>
    </xf>
    <xf numFmtId="15" fontId="7" fillId="12" borderId="0" xfId="0" applyNumberFormat="1" applyFont="1" applyFill="1" applyAlignment="1">
      <alignment horizontal="right" vertical="center" wrapText="1"/>
    </xf>
    <xf numFmtId="0" fontId="38" fillId="0" borderId="0" xfId="0" applyFont="1" applyAlignment="1">
      <alignment horizontal="left" vertical="center" wrapText="1"/>
    </xf>
    <xf numFmtId="168" fontId="4" fillId="7" borderId="4" xfId="0" applyNumberFormat="1" applyFont="1" applyFill="1" applyBorder="1" applyAlignment="1">
      <alignment horizontal="right"/>
    </xf>
    <xf numFmtId="3" fontId="24" fillId="7" borderId="4" xfId="0" applyNumberFormat="1" applyFont="1" applyFill="1" applyBorder="1" applyAlignment="1">
      <alignment horizontal="right"/>
    </xf>
    <xf numFmtId="168" fontId="24" fillId="7" borderId="4" xfId="0" applyNumberFormat="1" applyFont="1" applyFill="1" applyBorder="1" applyAlignment="1">
      <alignment horizontal="right"/>
    </xf>
    <xf numFmtId="171" fontId="66" fillId="0" borderId="0" xfId="0" applyNumberFormat="1" applyFont="1"/>
    <xf numFmtId="171" fontId="50" fillId="0" borderId="0" xfId="0" applyNumberFormat="1" applyFont="1" applyAlignment="1">
      <alignment wrapText="1"/>
    </xf>
    <xf numFmtId="173" fontId="63" fillId="0" borderId="0" xfId="0" applyNumberFormat="1" applyFont="1"/>
    <xf numFmtId="171" fontId="50" fillId="0" borderId="0" xfId="0" applyNumberFormat="1" applyFont="1"/>
    <xf numFmtId="167" fontId="50" fillId="0" borderId="0" xfId="0" applyNumberFormat="1" applyFont="1" applyAlignment="1">
      <alignment wrapText="1"/>
    </xf>
    <xf numFmtId="167" fontId="50" fillId="0" borderId="0" xfId="0" applyNumberFormat="1" applyFont="1"/>
    <xf numFmtId="171" fontId="63" fillId="0" borderId="0" xfId="0" applyNumberFormat="1" applyFont="1" applyAlignment="1">
      <alignment wrapText="1"/>
    </xf>
    <xf numFmtId="181" fontId="66" fillId="0" borderId="0" xfId="0" applyNumberFormat="1" applyFont="1"/>
    <xf numFmtId="186" fontId="66" fillId="0" borderId="0" xfId="0" applyNumberFormat="1" applyFont="1"/>
    <xf numFmtId="186" fontId="63" fillId="0" borderId="0" xfId="0" applyNumberFormat="1" applyFont="1" applyAlignment="1">
      <alignment wrapText="1"/>
    </xf>
    <xf numFmtId="186" fontId="63" fillId="0" borderId="0" xfId="0" applyNumberFormat="1" applyFont="1"/>
    <xf numFmtId="186" fontId="50" fillId="0" borderId="0" xfId="0" applyNumberFormat="1" applyFont="1" applyAlignment="1">
      <alignment wrapText="1"/>
    </xf>
    <xf numFmtId="0" fontId="50" fillId="0" borderId="0" xfId="0" applyFont="1" applyAlignment="1">
      <alignment vertical="top" wrapText="1"/>
    </xf>
    <xf numFmtId="2" fontId="66" fillId="0" borderId="0" xfId="0" applyNumberFormat="1" applyFont="1" applyAlignment="1">
      <alignment vertical="top" wrapText="1"/>
    </xf>
    <xf numFmtId="188" fontId="66" fillId="0" borderId="0" xfId="0" applyNumberFormat="1" applyFont="1" applyAlignment="1">
      <alignment vertical="top" wrapText="1"/>
    </xf>
    <xf numFmtId="171" fontId="66" fillId="0" borderId="0" xfId="0" applyNumberFormat="1" applyFont="1" applyAlignment="1">
      <alignment vertical="top" wrapText="1"/>
    </xf>
    <xf numFmtId="171" fontId="50" fillId="0" borderId="0" xfId="0" applyNumberFormat="1" applyFont="1" applyAlignment="1">
      <alignment vertical="top" wrapText="1"/>
    </xf>
    <xf numFmtId="3" fontId="66" fillId="0" borderId="0" xfId="0" applyNumberFormat="1" applyFont="1" applyAlignment="1">
      <alignment vertical="top" wrapText="1"/>
    </xf>
    <xf numFmtId="0" fontId="0" fillId="0" borderId="0" xfId="0" applyAlignment="1">
      <alignment vertical="top" wrapText="1"/>
    </xf>
    <xf numFmtId="188" fontId="65" fillId="0" borderId="0" xfId="0" applyNumberFormat="1" applyFont="1" applyAlignment="1">
      <alignment vertical="top" wrapText="1"/>
    </xf>
    <xf numFmtId="1" fontId="66" fillId="24" borderId="0" xfId="0" applyNumberFormat="1" applyFont="1" applyFill="1" applyAlignment="1">
      <alignment vertical="center"/>
    </xf>
    <xf numFmtId="0" fontId="91" fillId="0" borderId="0" xfId="0" applyFont="1"/>
    <xf numFmtId="171" fontId="50" fillId="24" borderId="0" xfId="0" applyNumberFormat="1" applyFont="1" applyFill="1" applyAlignment="1">
      <alignment vertical="center"/>
    </xf>
    <xf numFmtId="0" fontId="92" fillId="24" borderId="0" xfId="0" applyFont="1" applyFill="1" applyAlignment="1">
      <alignment vertical="center"/>
    </xf>
    <xf numFmtId="3" fontId="50" fillId="24" borderId="0" xfId="0" applyNumberFormat="1" applyFont="1" applyFill="1" applyAlignment="1">
      <alignment vertical="center"/>
    </xf>
    <xf numFmtId="49" fontId="33" fillId="7" borderId="4" xfId="0" applyNumberFormat="1" applyFont="1" applyFill="1" applyBorder="1" applyAlignment="1">
      <alignment horizontal="right"/>
    </xf>
    <xf numFmtId="49" fontId="32" fillId="5" borderId="4" xfId="0" applyNumberFormat="1" applyFont="1" applyFill="1" applyBorder="1" applyAlignment="1">
      <alignment horizontal="right"/>
    </xf>
    <xf numFmtId="49" fontId="32" fillId="7" borderId="4" xfId="0" applyNumberFormat="1" applyFont="1" applyFill="1" applyBorder="1" applyAlignment="1">
      <alignment horizontal="right"/>
    </xf>
    <xf numFmtId="49" fontId="33" fillId="0" borderId="4" xfId="0" applyNumberFormat="1" applyFont="1" applyBorder="1" applyAlignment="1">
      <alignment horizontal="right"/>
    </xf>
    <xf numFmtId="0" fontId="62" fillId="15" borderId="0" xfId="0" applyFont="1" applyFill="1" applyAlignment="1">
      <alignment vertical="top" wrapText="1"/>
    </xf>
    <xf numFmtId="171" fontId="63" fillId="0" borderId="0" xfId="0" applyNumberFormat="1" applyFont="1" applyAlignment="1">
      <alignment vertical="top" wrapText="1"/>
    </xf>
    <xf numFmtId="0" fontId="61" fillId="0" borderId="0" xfId="0" applyFont="1" applyAlignment="1">
      <alignment wrapText="1"/>
    </xf>
    <xf numFmtId="0" fontId="2" fillId="0" borderId="0" xfId="0" applyFont="1" applyAlignment="1">
      <alignment wrapText="1"/>
    </xf>
    <xf numFmtId="0" fontId="11" fillId="0" borderId="13" xfId="0" applyFont="1" applyBorder="1"/>
    <xf numFmtId="0" fontId="61" fillId="0" borderId="0" xfId="0" applyFont="1"/>
    <xf numFmtId="0" fontId="6" fillId="15" borderId="0" xfId="0" applyFont="1" applyFill="1"/>
    <xf numFmtId="172" fontId="6" fillId="15" borderId="0" xfId="0" applyNumberFormat="1" applyFont="1" applyFill="1"/>
    <xf numFmtId="0" fontId="27" fillId="0" borderId="0" xfId="0" applyFont="1" applyAlignment="1">
      <alignment horizontal="left" wrapText="1"/>
    </xf>
    <xf numFmtId="0" fontId="27" fillId="0" borderId="16" xfId="0" applyFont="1" applyBorder="1" applyAlignment="1">
      <alignment wrapText="1"/>
    </xf>
    <xf numFmtId="0" fontId="17" fillId="32" borderId="16" xfId="0" applyFont="1" applyFill="1" applyBorder="1" applyAlignment="1">
      <alignment horizontal="left" vertical="top" wrapText="1"/>
    </xf>
    <xf numFmtId="0" fontId="17" fillId="32" borderId="16" xfId="0" applyFont="1" applyFill="1" applyBorder="1" applyAlignment="1">
      <alignment wrapText="1"/>
    </xf>
    <xf numFmtId="0" fontId="45" fillId="15" borderId="16" xfId="0" applyFont="1" applyFill="1" applyBorder="1" applyAlignment="1">
      <alignment horizontal="left" vertical="top" wrapText="1"/>
    </xf>
    <xf numFmtId="0" fontId="45" fillId="15" borderId="16" xfId="0" applyFont="1" applyFill="1" applyBorder="1" applyAlignment="1">
      <alignment wrapText="1"/>
    </xf>
    <xf numFmtId="0" fontId="38" fillId="33" borderId="0" xfId="0" applyFont="1" applyFill="1" applyAlignment="1">
      <alignment wrapText="1"/>
    </xf>
    <xf numFmtId="0" fontId="38" fillId="0" borderId="0" xfId="0" applyFont="1" applyAlignment="1">
      <alignment horizontal="left" vertical="center" wrapText="1"/>
    </xf>
    <xf numFmtId="0" fontId="38" fillId="0" borderId="0" xfId="0" applyFont="1" applyAlignment="1">
      <alignment vertical="center" wrapText="1"/>
    </xf>
    <xf numFmtId="0" fontId="30" fillId="0" borderId="13" xfId="0" applyFont="1" applyBorder="1" applyAlignment="1">
      <alignment wrapText="1"/>
    </xf>
    <xf numFmtId="0" fontId="30" fillId="0" borderId="13" xfId="0" applyFont="1" applyBorder="1"/>
    <xf numFmtId="0" fontId="38" fillId="0" borderId="0" xfId="0" applyFont="1" applyAlignment="1">
      <alignment horizontal="left" vertical="top" wrapText="1"/>
    </xf>
    <xf numFmtId="0" fontId="38" fillId="0" borderId="0" xfId="0" applyFont="1" applyAlignment="1">
      <alignment wrapText="1"/>
    </xf>
    <xf numFmtId="0" fontId="12" fillId="0" borderId="0" xfId="0" applyFont="1" applyAlignment="1">
      <alignment vertical="center" wrapText="1"/>
    </xf>
    <xf numFmtId="0" fontId="48" fillId="26" borderId="0" xfId="0" applyFont="1" applyFill="1" applyAlignment="1">
      <alignment horizontal="left" vertical="center"/>
    </xf>
    <xf numFmtId="0" fontId="9" fillId="0" borderId="0" xfId="0" applyFont="1" applyAlignment="1">
      <alignment vertical="center" wrapText="1"/>
    </xf>
    <xf numFmtId="0" fontId="44" fillId="0" borderId="0" xfId="0" applyFont="1" applyAlignment="1">
      <alignment horizontal="left" vertical="center" wrapText="1"/>
    </xf>
    <xf numFmtId="0" fontId="8" fillId="12" borderId="0" xfId="0" applyFont="1" applyFill="1"/>
    <xf numFmtId="0" fontId="50" fillId="12" borderId="0" xfId="0" applyFont="1" applyFill="1"/>
    <xf numFmtId="0" fontId="16" fillId="0" borderId="18" xfId="0" applyFont="1" applyBorder="1" applyAlignment="1">
      <alignment vertical="center" wrapText="1"/>
    </xf>
    <xf numFmtId="0" fontId="16" fillId="0" borderId="17" xfId="0" applyFont="1" applyBorder="1" applyAlignment="1">
      <alignment vertical="center" wrapText="1"/>
    </xf>
    <xf numFmtId="0" fontId="54" fillId="23" borderId="30" xfId="0" applyFont="1" applyFill="1" applyBorder="1" applyAlignment="1">
      <alignment horizontal="left" vertical="center" wrapText="1"/>
    </xf>
    <xf numFmtId="0" fontId="47" fillId="23" borderId="30" xfId="0" applyFont="1" applyFill="1" applyBorder="1" applyAlignment="1">
      <alignment horizontal="left" vertical="center" wrapText="1"/>
    </xf>
    <xf numFmtId="0" fontId="8" fillId="25" borderId="0" xfId="0" applyFont="1" applyFill="1" applyAlignment="1">
      <alignment vertical="center"/>
    </xf>
    <xf numFmtId="0" fontId="12" fillId="0" borderId="0" xfId="0" applyFont="1" applyAlignment="1">
      <alignment wrapText="1"/>
    </xf>
    <xf numFmtId="0" fontId="53" fillId="23" borderId="0" xfId="0" applyFont="1" applyFill="1" applyAlignment="1">
      <alignment horizontal="left" vertical="center" wrapText="1"/>
    </xf>
    <xf numFmtId="0" fontId="46" fillId="23" borderId="0" xfId="0" applyFont="1" applyFill="1" applyAlignment="1">
      <alignment horizontal="left" vertical="center" wrapText="1"/>
    </xf>
    <xf numFmtId="0" fontId="53" fillId="24" borderId="29" xfId="0" applyFont="1" applyFill="1" applyBorder="1" applyAlignment="1">
      <alignment horizontal="left" vertical="center" wrapText="1"/>
    </xf>
    <xf numFmtId="0" fontId="46" fillId="24" borderId="29" xfId="0" applyFont="1" applyFill="1" applyBorder="1" applyAlignment="1">
      <alignment horizontal="left" vertical="center" wrapText="1"/>
    </xf>
    <xf numFmtId="0" fontId="53" fillId="23" borderId="29" xfId="0" applyFont="1" applyFill="1" applyBorder="1" applyAlignment="1">
      <alignment horizontal="left" vertical="center" wrapText="1"/>
    </xf>
    <xf numFmtId="0" fontId="46" fillId="23" borderId="29" xfId="0" applyFont="1" applyFill="1" applyBorder="1" applyAlignment="1">
      <alignment horizontal="left" vertical="center" wrapText="1"/>
    </xf>
    <xf numFmtId="0" fontId="7" fillId="12" borderId="0" xfId="0" applyFont="1" applyFill="1"/>
    <xf numFmtId="0" fontId="65" fillId="0" borderId="0" xfId="0" applyFont="1" applyAlignment="1">
      <alignment wrapText="1"/>
    </xf>
    <xf numFmtId="0" fontId="50" fillId="0" borderId="0" xfId="0" applyFont="1" applyAlignment="1">
      <alignment wrapText="1"/>
    </xf>
    <xf numFmtId="0" fontId="67" fillId="0" borderId="0" xfId="0" applyFont="1" applyAlignment="1">
      <alignment wrapText="1"/>
    </xf>
    <xf numFmtId="0" fontId="68" fillId="30" borderId="0" xfId="0" applyFont="1" applyFill="1"/>
    <xf numFmtId="0" fontId="38" fillId="0" borderId="0" xfId="0" applyFont="1"/>
    <xf numFmtId="0" fontId="38" fillId="33" borderId="35" xfId="0" applyFont="1" applyFill="1" applyBorder="1" applyAlignment="1">
      <alignment wrapText="1"/>
    </xf>
  </cellXfs>
  <cellStyles count="1">
    <cellStyle name="Normal" xfId="0" builtinId="0"/>
  </cellStyles>
  <dxfs count="9">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i val="0"/>
        <color rgb="FF274E13"/>
      </font>
      <fill>
        <patternFill patternType="solid">
          <fgColor indexed="64"/>
          <bgColor rgb="FFD9EAD3"/>
        </patternFill>
      </fill>
    </dxf>
    <dxf>
      <font>
        <b/>
        <i val="0"/>
        <color rgb="FF274E13"/>
      </font>
      <fill>
        <patternFill patternType="solid">
          <fgColor indexed="64"/>
          <bgColor rgb="FFD9EAD3"/>
        </patternFill>
      </fill>
    </dxf>
    <dxf>
      <font>
        <b/>
        <i val="0"/>
        <color rgb="FF274E13"/>
      </font>
      <fill>
        <patternFill patternType="solid">
          <fgColor indexed="64"/>
          <bgColor rgb="FFD9EA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Arial"/>
                <a:ea typeface="Arial"/>
                <a:cs typeface="Arial"/>
              </a:defRPr>
            </a:pPr>
            <a:r>
              <a:rPr lang="en-US"/>
              <a:t>DCF Value per Share vs Reference Price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Arial"/>
              <a:ea typeface="Arial"/>
              <a:cs typeface="Arial"/>
            </a:defRPr>
          </a:pPr>
          <a:endParaRPr lang="en-US"/>
        </a:p>
      </c:txPr>
    </c:title>
    <c:autoTitleDeleted val="0"/>
    <c:plotArea>
      <c:layout/>
      <c:barChart>
        <c:barDir val="bar"/>
        <c:grouping val="clustered"/>
        <c:varyColors val="0"/>
        <c:ser>
          <c:idx val="0"/>
          <c:order val="0"/>
          <c:tx>
            <c:v>Value / share</c:v>
          </c:tx>
          <c:spPr>
            <a:solidFill>
              <a:srgbClr val="008ED6"/>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 DCF Valuation'!$G$29:$G$33</c:f>
              <c:strCache>
                <c:ptCount val="4"/>
                <c:pt idx="0">
                  <c:v>Current price</c:v>
                </c:pt>
                <c:pt idx="1">
                  <c:v>Base</c:v>
                </c:pt>
                <c:pt idx="2">
                  <c:v>Best</c:v>
                </c:pt>
                <c:pt idx="3">
                  <c:v>Worst</c:v>
                </c:pt>
              </c:strCache>
            </c:strRef>
          </c:cat>
          <c:val>
            <c:numRef>
              <c:f>'20 DCF Valuation'!$H$29:$H$33</c:f>
              <c:numCache>
                <c:formatCode>"$"0.00</c:formatCode>
                <c:ptCount val="5"/>
                <c:pt idx="0">
                  <c:v>340.59</c:v>
                </c:pt>
                <c:pt idx="1">
                  <c:v>193.52645840684036</c:v>
                </c:pt>
                <c:pt idx="2">
                  <c:v>348.27401988098728</c:v>
                </c:pt>
                <c:pt idx="3">
                  <c:v>77.246174191031528</c:v>
                </c:pt>
              </c:numCache>
            </c:numRef>
          </c:val>
          <c:extLst>
            <c:ext xmlns:c16="http://schemas.microsoft.com/office/drawing/2014/chart" uri="{C3380CC4-5D6E-409C-BE32-E72D297353CC}">
              <c16:uniqueId val="{00000000-DC3A-4F0D-9295-EB4C07CF4AA3}"/>
            </c:ext>
          </c:extLst>
        </c:ser>
        <c:dLbls>
          <c:showLegendKey val="0"/>
          <c:showVal val="0"/>
          <c:showCatName val="0"/>
          <c:showSerName val="0"/>
          <c:showPercent val="0"/>
          <c:showBubbleSize val="0"/>
        </c:dLbls>
        <c:gapWidth val="182"/>
        <c:axId val="38876368"/>
        <c:axId val="39957136"/>
      </c:barChart>
      <c:catAx>
        <c:axId val="3887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39957136"/>
        <c:crosses val="autoZero"/>
        <c:auto val="1"/>
        <c:lblAlgn val="ctr"/>
        <c:lblOffset val="100"/>
        <c:noMultiLvlLbl val="0"/>
      </c:catAx>
      <c:valAx>
        <c:axId val="399571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3887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EPS: reported vs core ($ per share); the shaded gap is gain-driven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areaChart>
        <c:grouping val="stacked"/>
        <c:varyColors val="0"/>
        <c:ser>
          <c:idx val="3"/>
          <c:order val="3"/>
          <c:tx>
            <c:v>Core base</c:v>
          </c:tx>
          <c:spPr>
            <a:noFill/>
            <a:ln w="25400">
              <a:noFill/>
            </a:ln>
            <a:effectLst/>
          </c:spPr>
          <c:val>
            <c:numRef>
              <c:f>'22 Earnings Quality'!$D$6:$D$14</c:f>
              <c:numCache>
                <c:formatCode>"$"0.00</c:formatCode>
                <c:ptCount val="9"/>
                <c:pt idx="0">
                  <c:v>5.7762395849709174</c:v>
                </c:pt>
                <c:pt idx="1">
                  <c:v>7.8078203583192742</c:v>
                </c:pt>
                <c:pt idx="2">
                  <c:v>9.2515780866721187</c:v>
                </c:pt>
                <c:pt idx="3">
                  <c:v>10.319701443837181</c:v>
                </c:pt>
                <c:pt idx="4">
                  <c:v>11.818616286237164</c:v>
                </c:pt>
                <c:pt idx="5">
                  <c:v>13.602702520535706</c:v>
                </c:pt>
                <c:pt idx="6">
                  <c:v>15.172883850422677</c:v>
                </c:pt>
                <c:pt idx="7">
                  <c:v>16.613404518839797</c:v>
                </c:pt>
                <c:pt idx="8">
                  <c:v>18.03512719900743</c:v>
                </c:pt>
              </c:numCache>
            </c:numRef>
          </c:val>
          <c:extLst>
            <c:ext xmlns:c16="http://schemas.microsoft.com/office/drawing/2014/chart" uri="{C3380CC4-5D6E-409C-BE32-E72D297353CC}">
              <c16:uniqueId val="{00000005-FD6C-4F04-90EA-BE6BD9169C8F}"/>
            </c:ext>
          </c:extLst>
        </c:ser>
        <c:ser>
          <c:idx val="4"/>
          <c:order val="4"/>
          <c:tx>
            <c:v>Gain-driven EPS (shaded gap)</c:v>
          </c:tx>
          <c:spPr>
            <a:solidFill>
              <a:srgbClr val="F6C9A3"/>
            </a:solidFill>
            <a:ln w="25400">
              <a:noFill/>
            </a:ln>
            <a:effectLst/>
          </c:spPr>
          <c:val>
            <c:numRef>
              <c:f>'22 Earnings Quality'!$H$6:$H$14</c:f>
              <c:numCache>
                <c:formatCode>"$"0.00</c:formatCode>
                <c:ptCount val="9"/>
                <c:pt idx="0">
                  <c:v>2.4342084577895662E-2</c:v>
                </c:pt>
                <c:pt idx="1">
                  <c:v>0.23572427090865133</c:v>
                </c:pt>
                <c:pt idx="2">
                  <c:v>1.5554538021259194</c:v>
                </c:pt>
                <c:pt idx="3">
                  <c:v>9.6007651521331265</c:v>
                </c:pt>
                <c:pt idx="4">
                  <c:v>8.7346313285391251</c:v>
                </c:pt>
                <c:pt idx="5">
                  <c:v>0</c:v>
                </c:pt>
                <c:pt idx="6">
                  <c:v>0</c:v>
                </c:pt>
                <c:pt idx="7">
                  <c:v>0</c:v>
                </c:pt>
                <c:pt idx="8">
                  <c:v>0</c:v>
                </c:pt>
              </c:numCache>
            </c:numRef>
          </c:val>
          <c:extLst>
            <c:ext xmlns:c16="http://schemas.microsoft.com/office/drawing/2014/chart" uri="{C3380CC4-5D6E-409C-BE32-E72D297353CC}">
              <c16:uniqueId val="{00000006-FD6C-4F04-90EA-BE6BD9169C8F}"/>
            </c:ext>
          </c:extLst>
        </c:ser>
        <c:dLbls>
          <c:showLegendKey val="0"/>
          <c:showVal val="0"/>
          <c:showCatName val="0"/>
          <c:showSerName val="0"/>
          <c:showPercent val="0"/>
          <c:showBubbleSize val="0"/>
        </c:dLbls>
        <c:axId val="1263748767"/>
        <c:axId val="1181438576"/>
      </c:areaChart>
      <c:barChart>
        <c:barDir val="col"/>
        <c:grouping val="clustered"/>
        <c:varyColors val="0"/>
        <c:ser>
          <c:idx val="2"/>
          <c:order val="2"/>
          <c:tx>
            <c:v>Forecast period (shaded)</c:v>
          </c:tx>
          <c:spPr>
            <a:solidFill>
              <a:srgbClr val="EEF2F7"/>
            </a:solidFill>
            <a:ln w="25400">
              <a:noFill/>
            </a:ln>
            <a:effectLst/>
          </c:spPr>
          <c:invertIfNegative val="0"/>
          <c:val>
            <c:numRef>
              <c:f>'22 Earnings Quality'!$I$6:$I$14</c:f>
              <c:numCache>
                <c:formatCode>0</c:formatCode>
                <c:ptCount val="9"/>
                <c:pt idx="0">
                  <c:v>0</c:v>
                </c:pt>
                <c:pt idx="1">
                  <c:v>0</c:v>
                </c:pt>
                <c:pt idx="2">
                  <c:v>0</c:v>
                </c:pt>
                <c:pt idx="3">
                  <c:v>0</c:v>
                </c:pt>
                <c:pt idx="4">
                  <c:v>1</c:v>
                </c:pt>
                <c:pt idx="5">
                  <c:v>1</c:v>
                </c:pt>
                <c:pt idx="6">
                  <c:v>1</c:v>
                </c:pt>
                <c:pt idx="7">
                  <c:v>1</c:v>
                </c:pt>
                <c:pt idx="8">
                  <c:v>1</c:v>
                </c:pt>
              </c:numCache>
            </c:numRef>
          </c:val>
          <c:extLst>
            <c:ext xmlns:c16="http://schemas.microsoft.com/office/drawing/2014/chart" uri="{C3380CC4-5D6E-409C-BE32-E72D297353CC}">
              <c16:uniqueId val="{00000004-FD6C-4F04-90EA-BE6BD9169C8F}"/>
            </c:ext>
          </c:extLst>
        </c:ser>
        <c:dLbls>
          <c:showLegendKey val="0"/>
          <c:showVal val="0"/>
          <c:showCatName val="0"/>
          <c:showSerName val="0"/>
          <c:showPercent val="0"/>
          <c:showBubbleSize val="0"/>
        </c:dLbls>
        <c:gapWidth val="150"/>
        <c:axId val="69482175"/>
        <c:axId val="152559727"/>
      </c:barChart>
      <c:lineChart>
        <c:grouping val="standard"/>
        <c:varyColors val="0"/>
        <c:ser>
          <c:idx val="0"/>
          <c:order val="0"/>
          <c:tx>
            <c:strRef>
              <c:f>'22 Earnings Quality'!$C$5</c:f>
              <c:strCache>
                <c:ptCount val="1"/>
                <c:pt idx="0">
                  <c:v>Reported EPS</c:v>
                </c:pt>
              </c:strCache>
            </c:strRef>
          </c:tx>
          <c:spPr>
            <a:ln w="28575" cap="rnd">
              <a:solidFill>
                <a:srgbClr val="8A94A6"/>
              </a:solidFill>
              <a:prstDash val="solid"/>
              <a:round/>
            </a:ln>
            <a:effectLst/>
          </c:spPr>
          <c:marker>
            <c:symbol val="circle"/>
            <c:size val="5"/>
            <c:spPr>
              <a:solidFill>
                <a:srgbClr val="8A94A6"/>
              </a:solidFill>
              <a:ln w="9525">
                <a:solidFill>
                  <a:srgbClr val="8A94A6"/>
                </a:solidFill>
                <a:prstDash val="solid"/>
              </a:ln>
              <a:effectLst/>
            </c:spPr>
          </c:marker>
          <c:dLbls>
            <c:dLbl>
              <c:idx val="3"/>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A94A6"/>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6C-4F04-90EA-BE6BD9169C8F}"/>
                </c:ext>
              </c:extLst>
            </c:dLbl>
            <c:dLbl>
              <c:idx val="8"/>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A94A6"/>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6C-4F04-90EA-BE6BD9169C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'22 Earnings Quality'!$C$6:$C$14</c:f>
              <c:numCache>
                <c:formatCode>"$"0.00</c:formatCode>
                <c:ptCount val="9"/>
                <c:pt idx="0">
                  <c:v>5.800581669548813</c:v>
                </c:pt>
                <c:pt idx="1">
                  <c:v>8.0435446292279256</c:v>
                </c:pt>
                <c:pt idx="2">
                  <c:v>10.807031888798038</c:v>
                </c:pt>
                <c:pt idx="3">
                  <c:v>19.920466595970307</c:v>
                </c:pt>
                <c:pt idx="4">
                  <c:v>20.553247614776289</c:v>
                </c:pt>
                <c:pt idx="5">
                  <c:v>13.602702520535706</c:v>
                </c:pt>
                <c:pt idx="6">
                  <c:v>15.172883850422677</c:v>
                </c:pt>
                <c:pt idx="7">
                  <c:v>16.613404518839797</c:v>
                </c:pt>
                <c:pt idx="8">
                  <c:v>18.03512719900743</c:v>
                </c:pt>
              </c:numCache>
            </c:numRef>
          </c:val>
          <c:smooth val="1"/>
          <c:extLst>
            <c:ext xmlns:c16="http://schemas.microsoft.com/office/drawing/2014/chart" uri="{C3380CC4-5D6E-409C-BE32-E72D297353CC}">
              <c16:uniqueId val="{00000000-38BD-44A1-85F6-EC1A2459EE2B}"/>
            </c:ext>
          </c:extLst>
        </c:ser>
        <c:ser>
          <c:idx val="1"/>
          <c:order val="1"/>
          <c:tx>
            <c:strRef>
              <c:f>'22 Earnings Quality'!$D$5</c:f>
              <c:strCache>
                <c:ptCount val="1"/>
                <c:pt idx="0">
                  <c:v>Core EPS</c:v>
                </c:pt>
              </c:strCache>
            </c:strRef>
          </c:tx>
          <c:spPr>
            <a:ln w="34925" cap="rnd">
              <a:solidFill>
                <a:srgbClr val="002F6C"/>
              </a:solidFill>
              <a:prstDash val="solid"/>
              <a:round/>
            </a:ln>
            <a:effectLst/>
          </c:spPr>
          <c:marker>
            <c:symbol val="circle"/>
            <c:size val="5"/>
            <c:spPr>
              <a:solidFill>
                <a:srgbClr val="002F6C"/>
              </a:solidFill>
              <a:ln w="9525">
                <a:solidFill>
                  <a:srgbClr val="002F6C"/>
                </a:solidFill>
                <a:prstDash val="solid"/>
              </a:ln>
              <a:effectLst/>
            </c:spPr>
          </c:marker>
          <c:dLbls>
            <c:dLbl>
              <c:idx val="3"/>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F6C"/>
                      </a:solidFill>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6C-4F04-90EA-BE6BD9169C8F}"/>
                </c:ext>
              </c:extLst>
            </c:dLbl>
            <c:dLbl>
              <c:idx val="8"/>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F6C"/>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6C-4F04-90EA-BE6BD9169C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'22 Earnings Quality'!$D$6:$D$14</c:f>
              <c:numCache>
                <c:formatCode>"$"0.00</c:formatCode>
                <c:ptCount val="9"/>
                <c:pt idx="0">
                  <c:v>5.7762395849709174</c:v>
                </c:pt>
                <c:pt idx="1">
                  <c:v>7.8078203583192742</c:v>
                </c:pt>
                <c:pt idx="2">
                  <c:v>9.2515780866721187</c:v>
                </c:pt>
                <c:pt idx="3">
                  <c:v>10.319701443837181</c:v>
                </c:pt>
                <c:pt idx="4">
                  <c:v>11.818616286237164</c:v>
                </c:pt>
                <c:pt idx="5">
                  <c:v>13.602702520535706</c:v>
                </c:pt>
                <c:pt idx="6">
                  <c:v>15.172883850422677</c:v>
                </c:pt>
                <c:pt idx="7">
                  <c:v>16.613404518839797</c:v>
                </c:pt>
                <c:pt idx="8">
                  <c:v>18.03512719900743</c:v>
                </c:pt>
              </c:numCache>
            </c:numRef>
          </c:val>
          <c:smooth val="1"/>
          <c:extLst>
            <c:ext xmlns:c16="http://schemas.microsoft.com/office/drawing/2014/chart" uri="{C3380CC4-5D6E-409C-BE32-E72D297353CC}">
              <c16:uniqueId val="{00000001-38BD-44A1-85F6-EC1A2459EE2B}"/>
            </c:ext>
          </c:extLst>
        </c:ser>
        <c:dLbls>
          <c:showLegendKey val="0"/>
          <c:showVal val="0"/>
          <c:showCatName val="0"/>
          <c:showSerName val="0"/>
          <c:showPercent val="0"/>
          <c:showBubbleSize val="0"/>
        </c:dLbls>
        <c:marker val="1"/>
        <c:smooth val="0"/>
        <c:axId val="1263748767"/>
        <c:axId val="1181438576"/>
      </c:lineChart>
      <c:catAx>
        <c:axId val="1263748767"/>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low"/>
        <c:spPr>
          <a:noFill/>
          <a:ln w="9525" cap="flat" cmpd="sng" algn="ctr">
            <a:solidFill>
              <a:srgbClr val="B8C0CC"/>
            </a:solidFill>
            <a:prstDash val="solid"/>
            <a:round/>
          </a:ln>
          <a:effectLst/>
        </c:spPr>
        <c:txPr>
          <a:bodyPr rot="-600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crossAx val="1181438576"/>
        <c:crosses val="autoZero"/>
        <c:auto val="1"/>
        <c:lblAlgn val="ctr"/>
        <c:lblOffset val="100"/>
        <c:noMultiLvlLbl val="0"/>
      </c:catAx>
      <c:valAx>
        <c:axId val="1181438576"/>
        <c:scaling>
          <c:orientation val="minMax"/>
        </c:scaling>
        <c:delete val="0"/>
        <c:axPos val="l"/>
        <c:majorGridlines>
          <c:spPr>
            <a:ln w="9525" cap="flat" cmpd="sng" algn="ctr">
              <a:solidFill>
                <a:srgbClr val="E3E7ED"/>
              </a:solidFill>
              <a:prstDash val="solid"/>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quot;$&quot;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1263748767"/>
        <c:crosses val="autoZero"/>
        <c:crossBetween val="between"/>
      </c:valAx>
      <c:valAx>
        <c:axId val="152559727"/>
        <c:scaling>
          <c:orientation val="minMax"/>
          <c:max val="1"/>
          <c:min val="0"/>
        </c:scaling>
        <c:delete val="1"/>
        <c:axPos val="r"/>
        <c:numFmt formatCode="0" sourceLinked="1"/>
        <c:majorTickMark val="out"/>
        <c:minorTickMark val="none"/>
        <c:tickLblPos val="nextTo"/>
        <c:crossAx val="69482175"/>
        <c:crosses val="max"/>
        <c:crossBetween val="between"/>
      </c:valAx>
      <c:catAx>
        <c:axId val="69482175"/>
        <c:scaling>
          <c:orientation val="minMax"/>
        </c:scaling>
        <c:delete val="1"/>
        <c:axPos val="b"/>
        <c:majorTickMark val="out"/>
        <c:minorTickMark val="none"/>
        <c:tickLblPos val="nextTo"/>
        <c:crossAx val="152559727"/>
        <c:crosses val="autoZero"/>
        <c:auto val="1"/>
        <c:lblAlgn val="ctr"/>
        <c:lblOffset val="100"/>
        <c:noMultiLvlLbl val="0"/>
      </c:catAx>
      <c:spPr>
        <a:noFill/>
        <a:ln w="25400">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P/E at current price: reported vs core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clustered"/>
        <c:varyColors val="0"/>
        <c:ser>
          <c:idx val="2"/>
          <c:order val="2"/>
          <c:tx>
            <c:v>Forecast period (shaded)</c:v>
          </c:tx>
          <c:spPr>
            <a:solidFill>
              <a:srgbClr val="EEF2F7"/>
            </a:solidFill>
            <a:ln w="25400">
              <a:noFill/>
            </a:ln>
            <a:effectLst/>
          </c:spPr>
          <c:invertIfNegative val="0"/>
          <c:val>
            <c:numRef>
              <c:f>'22 Earnings Quality'!$I$6:$I$14</c:f>
              <c:numCache>
                <c:formatCode>0</c:formatCode>
                <c:ptCount val="9"/>
                <c:pt idx="0">
                  <c:v>0</c:v>
                </c:pt>
                <c:pt idx="1">
                  <c:v>0</c:v>
                </c:pt>
                <c:pt idx="2">
                  <c:v>0</c:v>
                </c:pt>
                <c:pt idx="3">
                  <c:v>0</c:v>
                </c:pt>
                <c:pt idx="4">
                  <c:v>1</c:v>
                </c:pt>
                <c:pt idx="5">
                  <c:v>1</c:v>
                </c:pt>
                <c:pt idx="6">
                  <c:v>1</c:v>
                </c:pt>
                <c:pt idx="7">
                  <c:v>1</c:v>
                </c:pt>
                <c:pt idx="8">
                  <c:v>1</c:v>
                </c:pt>
              </c:numCache>
            </c:numRef>
          </c:val>
          <c:extLst>
            <c:ext xmlns:c16="http://schemas.microsoft.com/office/drawing/2014/chart" uri="{C3380CC4-5D6E-409C-BE32-E72D297353CC}">
              <c16:uniqueId val="{00000002-9B54-440D-971A-55D302250DE8}"/>
            </c:ext>
          </c:extLst>
        </c:ser>
        <c:dLbls>
          <c:showLegendKey val="0"/>
          <c:showVal val="0"/>
          <c:showCatName val="0"/>
          <c:showSerName val="0"/>
          <c:showPercent val="0"/>
          <c:showBubbleSize val="0"/>
        </c:dLbls>
        <c:gapWidth val="150"/>
        <c:axId val="69720207"/>
        <c:axId val="349278895"/>
      </c:barChart>
      <c:lineChart>
        <c:grouping val="standard"/>
        <c:varyColors val="0"/>
        <c:ser>
          <c:idx val="0"/>
          <c:order val="0"/>
          <c:tx>
            <c:strRef>
              <c:f>'22 Earnings Quality'!$E$5</c:f>
              <c:strCache>
                <c:ptCount val="1"/>
                <c:pt idx="0">
                  <c:v>Reported P/E</c:v>
                </c:pt>
              </c:strCache>
            </c:strRef>
          </c:tx>
          <c:spPr>
            <a:ln w="28575" cap="rnd">
              <a:solidFill>
                <a:srgbClr val="8A94A6"/>
              </a:solidFill>
              <a:prstDash val="solid"/>
              <a:round/>
            </a:ln>
            <a:effectLst/>
          </c:spPr>
          <c:marker>
            <c:symbol val="circle"/>
            <c:size val="5"/>
            <c:spPr>
              <a:solidFill>
                <a:srgbClr val="8A94A6"/>
              </a:solidFill>
              <a:ln w="9525">
                <a:solidFill>
                  <a:srgbClr val="8A94A6"/>
                </a:solidFill>
                <a:prstDash val="solid"/>
              </a:ln>
              <a:effectLst/>
            </c:spPr>
          </c:marker>
          <c:dLbls>
            <c:dLbl>
              <c:idx val="3"/>
              <c:numFmt formatCode="0.0&quot;x&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A94A6"/>
                      </a:solidFill>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54-440D-971A-55D302250D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'22 Earnings Quality'!$E$6:$E$14</c:f>
              <c:numCache>
                <c:formatCode>0.0\x</c:formatCode>
                <c:ptCount val="9"/>
                <c:pt idx="0">
                  <c:v>23.870019920048787</c:v>
                </c:pt>
                <c:pt idx="1">
                  <c:v>23.39764477916059</c:v>
                </c:pt>
                <c:pt idx="2">
                  <c:v>28.906179163198907</c:v>
                </c:pt>
                <c:pt idx="3">
                  <c:v>17.097491083311152</c:v>
                </c:pt>
                <c:pt idx="4">
                  <c:v>16.571103816953023</c:v>
                </c:pt>
                <c:pt idx="5">
                  <c:v>25.038406852301492</c:v>
                </c:pt>
                <c:pt idx="6">
                  <c:v>22.447281832353315</c:v>
                </c:pt>
                <c:pt idx="7">
                  <c:v>20.500915367092091</c:v>
                </c:pt>
                <c:pt idx="8">
                  <c:v>18.884812745803337</c:v>
                </c:pt>
              </c:numCache>
            </c:numRef>
          </c:val>
          <c:smooth val="1"/>
          <c:extLst>
            <c:ext xmlns:c16="http://schemas.microsoft.com/office/drawing/2014/chart" uri="{C3380CC4-5D6E-409C-BE32-E72D297353CC}">
              <c16:uniqueId val="{00000000-A3FE-47C4-BCCB-60B0B5F44164}"/>
            </c:ext>
          </c:extLst>
        </c:ser>
        <c:ser>
          <c:idx val="1"/>
          <c:order val="1"/>
          <c:tx>
            <c:strRef>
              <c:f>'22 Earnings Quality'!$F$5</c:f>
              <c:strCache>
                <c:ptCount val="1"/>
                <c:pt idx="0">
                  <c:v>Core P/E</c:v>
                </c:pt>
              </c:strCache>
            </c:strRef>
          </c:tx>
          <c:spPr>
            <a:ln w="34925" cap="rnd">
              <a:solidFill>
                <a:srgbClr val="002F6C"/>
              </a:solidFill>
              <a:prstDash val="solid"/>
              <a:round/>
            </a:ln>
            <a:effectLst/>
          </c:spPr>
          <c:marker>
            <c:symbol val="circle"/>
            <c:size val="5"/>
            <c:spPr>
              <a:solidFill>
                <a:srgbClr val="002F6C"/>
              </a:solidFill>
              <a:ln w="9525">
                <a:solidFill>
                  <a:srgbClr val="002F6C"/>
                </a:solidFill>
                <a:prstDash val="solid"/>
              </a:ln>
              <a:effectLst/>
            </c:spPr>
          </c:marker>
          <c:dLbls>
            <c:dLbl>
              <c:idx val="3"/>
              <c:numFmt formatCode="0.0&quot;x&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F6C"/>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54-440D-971A-55D302250D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'22 Earnings Quality'!$F$6:$F$14</c:f>
              <c:numCache>
                <c:formatCode>0.0\x</c:formatCode>
                <c:ptCount val="9"/>
                <c:pt idx="0">
                  <c:v>23.970612361761503</c:v>
                </c:pt>
                <c:pt idx="1">
                  <c:v>24.104038177501341</c:v>
                </c:pt>
                <c:pt idx="2">
                  <c:v>33.766131256031983</c:v>
                </c:pt>
                <c:pt idx="3">
                  <c:v>33.003861773869126</c:v>
                </c:pt>
                <c:pt idx="4">
                  <c:v>28.818094415724342</c:v>
                </c:pt>
                <c:pt idx="5">
                  <c:v>25.038406852301492</c:v>
                </c:pt>
                <c:pt idx="6">
                  <c:v>22.447281832353315</c:v>
                </c:pt>
                <c:pt idx="7">
                  <c:v>20.500915367092091</c:v>
                </c:pt>
                <c:pt idx="8">
                  <c:v>18.884812745803337</c:v>
                </c:pt>
              </c:numCache>
            </c:numRef>
          </c:val>
          <c:smooth val="1"/>
          <c:extLst>
            <c:ext xmlns:c16="http://schemas.microsoft.com/office/drawing/2014/chart" uri="{C3380CC4-5D6E-409C-BE32-E72D297353CC}">
              <c16:uniqueId val="{00000001-A3FE-47C4-BCCB-60B0B5F44164}"/>
            </c:ext>
          </c:extLst>
        </c:ser>
        <c:dLbls>
          <c:showLegendKey val="0"/>
          <c:showVal val="0"/>
          <c:showCatName val="0"/>
          <c:showSerName val="0"/>
          <c:showPercent val="0"/>
          <c:showBubbleSize val="0"/>
        </c:dLbls>
        <c:marker val="1"/>
        <c:smooth val="0"/>
        <c:axId val="1119513519"/>
        <c:axId val="969961487"/>
      </c:lineChart>
      <c:catAx>
        <c:axId val="111951351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low"/>
        <c:spPr>
          <a:noFill/>
          <a:ln w="9525" cap="flat" cmpd="sng" algn="ctr">
            <a:solidFill>
              <a:srgbClr val="B8C0CC"/>
            </a:solidFill>
            <a:prstDash val="solid"/>
            <a:round/>
          </a:ln>
          <a:effectLst/>
        </c:spPr>
        <c:txPr>
          <a:bodyPr rot="-600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crossAx val="969961487"/>
        <c:crosses val="autoZero"/>
        <c:auto val="1"/>
        <c:lblAlgn val="ctr"/>
        <c:lblOffset val="100"/>
        <c:noMultiLvlLbl val="0"/>
      </c:catAx>
      <c:valAx>
        <c:axId val="969961487"/>
        <c:scaling>
          <c:orientation val="minMax"/>
        </c:scaling>
        <c:delete val="0"/>
        <c:axPos val="l"/>
        <c:majorGridlines>
          <c:spPr>
            <a:ln w="9525" cap="flat" cmpd="sng" algn="ctr">
              <a:solidFill>
                <a:srgbClr val="E3E7ED"/>
              </a:solidFill>
              <a:prstDash val="solid"/>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0&quot;x&quot;"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1119513519"/>
        <c:crosses val="autoZero"/>
        <c:crossBetween val="between"/>
      </c:valAx>
      <c:valAx>
        <c:axId val="349278895"/>
        <c:scaling>
          <c:orientation val="minMax"/>
          <c:max val="1"/>
          <c:min val="0"/>
        </c:scaling>
        <c:delete val="1"/>
        <c:axPos val="r"/>
        <c:numFmt formatCode="0" sourceLinked="1"/>
        <c:majorTickMark val="out"/>
        <c:minorTickMark val="none"/>
        <c:tickLblPos val="nextTo"/>
        <c:crossAx val="69720207"/>
        <c:crosses val="max"/>
        <c:crossBetween val="between"/>
      </c:valAx>
      <c:catAx>
        <c:axId val="69720207"/>
        <c:scaling>
          <c:orientation val="minMax"/>
        </c:scaling>
        <c:delete val="1"/>
        <c:axPos val="b"/>
        <c:majorTickMark val="out"/>
        <c:minorTickMark val="none"/>
        <c:tickLblPos val="nextTo"/>
        <c:crossAx val="349278895"/>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Reported EPS halves once gains are stripped; core then grows to FY2030E ($/share)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stacked"/>
        <c:varyColors val="0"/>
        <c:ser>
          <c:idx val="0"/>
          <c:order val="0"/>
          <c:tx>
            <c:strRef>
              <c:f>'22 Earnings Quality'!$Q$5</c:f>
              <c:strCache>
                <c:ptCount val="1"/>
                <c:pt idx="0">
                  <c:v>Base (hidden)</c:v>
                </c:pt>
              </c:strCache>
            </c:strRef>
          </c:tx>
          <c:spPr>
            <a:noFill/>
            <a:ln w="25400">
              <a:noFill/>
            </a:ln>
            <a:effectLst/>
          </c:spPr>
          <c:invertIfNegative val="0"/>
          <c:cat>
            <c:strRef>
              <c:f>'22 Earnings Quality'!$M$6:$M$10</c:f>
              <c:strCache>
                <c:ptCount val="5"/>
                <c:pt idx="0">
                  <c:v>Reported TTM</c:v>
                </c:pt>
                <c:pt idx="1">
                  <c:v>Equity gains (after tax)</c:v>
                </c:pt>
                <c:pt idx="2">
                  <c:v>Core TTM</c:v>
                </c:pt>
                <c:pt idx="3">
                  <c:v>Core growth</c:v>
                </c:pt>
                <c:pt idx="4">
                  <c:v>Core FY2030E</c:v>
                </c:pt>
              </c:strCache>
            </c:strRef>
          </c:cat>
          <c:val>
            <c:numRef>
              <c:f>'22 Earnings Quality'!$Q$6:$Q$10</c:f>
              <c:numCache>
                <c:formatCode>"$"0.00</c:formatCode>
                <c:ptCount val="5"/>
                <c:pt idx="0">
                  <c:v>0</c:v>
                </c:pt>
                <c:pt idx="1">
                  <c:v>10.319701443837181</c:v>
                </c:pt>
                <c:pt idx="2">
                  <c:v>0</c:v>
                </c:pt>
                <c:pt idx="3">
                  <c:v>10.319701443837181</c:v>
                </c:pt>
                <c:pt idx="4">
                  <c:v>0</c:v>
                </c:pt>
              </c:numCache>
            </c:numRef>
          </c:val>
          <c:extLst>
            <c:ext xmlns:c16="http://schemas.microsoft.com/office/drawing/2014/chart" uri="{C3380CC4-5D6E-409C-BE32-E72D297353CC}">
              <c16:uniqueId val="{00000000-AD56-4D23-AAE9-648AFB489607}"/>
            </c:ext>
          </c:extLst>
        </c:ser>
        <c:ser>
          <c:idx val="1"/>
          <c:order val="1"/>
          <c:tx>
            <c:strRef>
              <c:f>'22 Earnings Quality'!$R$5</c:f>
              <c:strCache>
                <c:ptCount val="1"/>
                <c:pt idx="0">
                  <c:v>Increase</c:v>
                </c:pt>
              </c:strCache>
            </c:strRef>
          </c:tx>
          <c:spPr>
            <a:solidFill>
              <a:srgbClr val="4C9F70"/>
            </a:solidFill>
            <a:ln w="9525">
              <a:solidFill>
                <a:srgbClr val="FFFFFF"/>
              </a:solidFill>
              <a:prstDash val="solid"/>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Quality'!$M$6:$M$10</c:f>
              <c:strCache>
                <c:ptCount val="5"/>
                <c:pt idx="0">
                  <c:v>Reported TTM</c:v>
                </c:pt>
                <c:pt idx="1">
                  <c:v>Equity gains (after tax)</c:v>
                </c:pt>
                <c:pt idx="2">
                  <c:v>Core TTM</c:v>
                </c:pt>
                <c:pt idx="3">
                  <c:v>Core growth</c:v>
                </c:pt>
                <c:pt idx="4">
                  <c:v>Core FY2030E</c:v>
                </c:pt>
              </c:strCache>
            </c:strRef>
          </c:cat>
          <c:val>
            <c:numRef>
              <c:f>'22 Earnings Quality'!$R$6:$R$10</c:f>
              <c:numCache>
                <c:formatCode>"$"0.00</c:formatCode>
                <c:ptCount val="5"/>
                <c:pt idx="0">
                  <c:v>0</c:v>
                </c:pt>
                <c:pt idx="1">
                  <c:v>0</c:v>
                </c:pt>
                <c:pt idx="2">
                  <c:v>0</c:v>
                </c:pt>
                <c:pt idx="3">
                  <c:v>7.7154257551702496</c:v>
                </c:pt>
                <c:pt idx="4">
                  <c:v>0</c:v>
                </c:pt>
              </c:numCache>
            </c:numRef>
          </c:val>
          <c:extLst>
            <c:ext xmlns:c16="http://schemas.microsoft.com/office/drawing/2014/chart" uri="{C3380CC4-5D6E-409C-BE32-E72D297353CC}">
              <c16:uniqueId val="{00000001-AD56-4D23-AAE9-648AFB489607}"/>
            </c:ext>
          </c:extLst>
        </c:ser>
        <c:ser>
          <c:idx val="2"/>
          <c:order val="2"/>
          <c:tx>
            <c:strRef>
              <c:f>'22 Earnings Quality'!$S$5</c:f>
              <c:strCache>
                <c:ptCount val="1"/>
                <c:pt idx="0">
                  <c:v>Decrease</c:v>
                </c:pt>
              </c:strCache>
            </c:strRef>
          </c:tx>
          <c:spPr>
            <a:solidFill>
              <a:srgbClr val="E07B2A"/>
            </a:solidFill>
            <a:ln w="9525">
              <a:solidFill>
                <a:srgbClr val="FFFFFF"/>
              </a:solidFill>
              <a:prstDash val="solid"/>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Quality'!$M$6:$M$10</c:f>
              <c:strCache>
                <c:ptCount val="5"/>
                <c:pt idx="0">
                  <c:v>Reported TTM</c:v>
                </c:pt>
                <c:pt idx="1">
                  <c:v>Equity gains (after tax)</c:v>
                </c:pt>
                <c:pt idx="2">
                  <c:v>Core TTM</c:v>
                </c:pt>
                <c:pt idx="3">
                  <c:v>Core growth</c:v>
                </c:pt>
                <c:pt idx="4">
                  <c:v>Core FY2030E</c:v>
                </c:pt>
              </c:strCache>
            </c:strRef>
          </c:cat>
          <c:val>
            <c:numRef>
              <c:f>'22 Earnings Quality'!$S$6:$S$10</c:f>
              <c:numCache>
                <c:formatCode>"$"0.00</c:formatCode>
                <c:ptCount val="5"/>
                <c:pt idx="0">
                  <c:v>0</c:v>
                </c:pt>
                <c:pt idx="1">
                  <c:v>9.6007651521331265</c:v>
                </c:pt>
                <c:pt idx="2">
                  <c:v>0</c:v>
                </c:pt>
                <c:pt idx="3">
                  <c:v>0</c:v>
                </c:pt>
                <c:pt idx="4">
                  <c:v>0</c:v>
                </c:pt>
              </c:numCache>
            </c:numRef>
          </c:val>
          <c:extLst>
            <c:ext xmlns:c16="http://schemas.microsoft.com/office/drawing/2014/chart" uri="{C3380CC4-5D6E-409C-BE32-E72D297353CC}">
              <c16:uniqueId val="{00000002-AD56-4D23-AAE9-648AFB489607}"/>
            </c:ext>
          </c:extLst>
        </c:ser>
        <c:ser>
          <c:idx val="3"/>
          <c:order val="3"/>
          <c:tx>
            <c:strRef>
              <c:f>'22 Earnings Quality'!$T$5</c:f>
              <c:strCache>
                <c:ptCount val="1"/>
                <c:pt idx="0">
                  <c:v>Total</c:v>
                </c:pt>
              </c:strCache>
            </c:strRef>
          </c:tx>
          <c:spPr>
            <a:solidFill>
              <a:srgbClr val="002F6C"/>
            </a:solidFill>
            <a:ln w="9525">
              <a:solidFill>
                <a:srgbClr val="FFFFFF"/>
              </a:solidFill>
              <a:prstDash val="solid"/>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Earnings Quality'!$M$6:$M$10</c:f>
              <c:strCache>
                <c:ptCount val="5"/>
                <c:pt idx="0">
                  <c:v>Reported TTM</c:v>
                </c:pt>
                <c:pt idx="1">
                  <c:v>Equity gains (after tax)</c:v>
                </c:pt>
                <c:pt idx="2">
                  <c:v>Core TTM</c:v>
                </c:pt>
                <c:pt idx="3">
                  <c:v>Core growth</c:v>
                </c:pt>
                <c:pt idx="4">
                  <c:v>Core FY2030E</c:v>
                </c:pt>
              </c:strCache>
            </c:strRef>
          </c:cat>
          <c:val>
            <c:numRef>
              <c:f>'22 Earnings Quality'!$T$6:$T$10</c:f>
              <c:numCache>
                <c:formatCode>"$"0.00</c:formatCode>
                <c:ptCount val="5"/>
                <c:pt idx="0">
                  <c:v>19.920466595970307</c:v>
                </c:pt>
                <c:pt idx="1">
                  <c:v>0</c:v>
                </c:pt>
                <c:pt idx="2">
                  <c:v>10.319701443837181</c:v>
                </c:pt>
                <c:pt idx="3">
                  <c:v>0</c:v>
                </c:pt>
                <c:pt idx="4">
                  <c:v>18.03512719900743</c:v>
                </c:pt>
              </c:numCache>
            </c:numRef>
          </c:val>
          <c:extLst>
            <c:ext xmlns:c16="http://schemas.microsoft.com/office/drawing/2014/chart" uri="{C3380CC4-5D6E-409C-BE32-E72D297353CC}">
              <c16:uniqueId val="{00000003-AD56-4D23-AAE9-648AFB489607}"/>
            </c:ext>
          </c:extLst>
        </c:ser>
        <c:dLbls>
          <c:showLegendKey val="0"/>
          <c:showVal val="0"/>
          <c:showCatName val="0"/>
          <c:showSerName val="0"/>
          <c:showPercent val="0"/>
          <c:showBubbleSize val="0"/>
        </c:dLbls>
        <c:gapWidth val="45"/>
        <c:overlap val="100"/>
        <c:axId val="189245343"/>
        <c:axId val="152464207"/>
      </c:barChart>
      <c:catAx>
        <c:axId val="189245343"/>
        <c:scaling>
          <c:orientation val="minMax"/>
        </c:scaling>
        <c:delete val="0"/>
        <c:axPos val="b"/>
        <c:numFmt formatCode="General" sourceLinked="1"/>
        <c:majorTickMark val="none"/>
        <c:minorTickMark val="none"/>
        <c:tickLblPos val="nextTo"/>
        <c:spPr>
          <a:noFill/>
          <a:ln w="9525" cap="flat" cmpd="sng" algn="ctr">
            <a:solidFill>
              <a:srgbClr val="B8C0CC"/>
            </a:solidFill>
            <a:prstDash val="solid"/>
            <a:round/>
          </a:ln>
          <a:effectLst/>
        </c:spPr>
        <c:txPr>
          <a:bodyPr rot="0" spcFirstLastPara="1" vertOverflow="ellipsis" wrap="square" anchor="ctr" anchorCtr="1"/>
          <a:lstStyle/>
          <a:p>
            <a:pPr>
              <a:defRPr sz="900" b="0" i="0" u="none" strike="noStrike" kern="1200" baseline="0">
                <a:solidFill>
                  <a:srgbClr val="3C4858"/>
                </a:solidFill>
                <a:latin typeface="Arial"/>
                <a:ea typeface="Arial"/>
                <a:cs typeface="Arial"/>
              </a:defRPr>
            </a:pPr>
            <a:endParaRPr lang="en-US"/>
          </a:p>
        </c:txPr>
        <c:crossAx val="152464207"/>
        <c:crosses val="autoZero"/>
        <c:auto val="1"/>
        <c:lblAlgn val="ctr"/>
        <c:lblOffset val="100"/>
        <c:noMultiLvlLbl val="0"/>
      </c:catAx>
      <c:valAx>
        <c:axId val="152464207"/>
        <c:scaling>
          <c:orientation val="minMax"/>
          <c:min val="0"/>
        </c:scaling>
        <c:delete val="0"/>
        <c:axPos val="l"/>
        <c:majorGridlines>
          <c:spPr>
            <a:ln w="9525" cap="flat" cmpd="sng" algn="ctr">
              <a:solidFill>
                <a:srgbClr val="E3E7ED"/>
              </a:solidFill>
              <a:prstDash val="solid"/>
              <a:round/>
            </a:ln>
            <a:effectLst/>
          </c:spPr>
        </c:majorGridlines>
        <c:numFmt formatCode="&quot;$&quot;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189245343"/>
        <c:crosses val="autoZero"/>
        <c:crossBetween val="between"/>
      </c:valAx>
      <c:spPr>
        <a:noFill/>
        <a:ln w="25400">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Revenue and operating income ($B)</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clustered"/>
        <c:varyColors val="0"/>
        <c:ser>
          <c:idx val="0"/>
          <c:order val="0"/>
          <c:tx>
            <c:strRef>
              <c:f>'23 Growth and Mix'!$C$5</c:f>
              <c:strCache>
                <c:ptCount val="1"/>
                <c:pt idx="0">
                  <c:v>Revenue</c:v>
                </c:pt>
              </c:strCache>
            </c:strRef>
          </c:tx>
          <c:spPr>
            <a:solidFill>
              <a:srgbClr val="002F6C"/>
            </a:solidFill>
            <a:ln>
              <a:solidFill>
                <a:srgbClr val="4472C4"/>
              </a:solidFill>
              <a:prstDash val="solid"/>
            </a:ln>
            <a:effectLst/>
          </c:spPr>
          <c:invertIfNegative val="0"/>
          <c:dLbls>
            <c:dLbl>
              <c:idx val="3"/>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F6C"/>
                      </a:solidFill>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6C8-4D01-AFF9-A1357D8F80E1}"/>
                </c:ext>
              </c:extLst>
            </c:dLbl>
            <c:dLbl>
              <c:idx val="8"/>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F6C"/>
                      </a:solidFill>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C8-4D01-AFF9-A1357D8F80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'23 Growth and Mix'!$C$6:$C$14</c:f>
              <c:numCache>
                <c:formatCode>#,##0</c:formatCode>
                <c:ptCount val="9"/>
                <c:pt idx="0">
                  <c:v>307394</c:v>
                </c:pt>
                <c:pt idx="1">
                  <c:v>350018</c:v>
                </c:pt>
                <c:pt idx="2">
                  <c:v>402836</c:v>
                </c:pt>
                <c:pt idx="3">
                  <c:v>445866</c:v>
                </c:pt>
                <c:pt idx="4">
                  <c:v>489947.98499999993</c:v>
                </c:pt>
                <c:pt idx="5">
                  <c:v>593994.89907999989</c:v>
                </c:pt>
                <c:pt idx="6">
                  <c:v>713196.90078011691</c:v>
                </c:pt>
                <c:pt idx="7">
                  <c:v>834766.04286484257</c:v>
                </c:pt>
                <c:pt idx="8">
                  <c:v>954410.96910159488</c:v>
                </c:pt>
              </c:numCache>
            </c:numRef>
          </c:val>
          <c:extLst>
            <c:ext xmlns:c16="http://schemas.microsoft.com/office/drawing/2014/chart" uri="{C3380CC4-5D6E-409C-BE32-E72D297353CC}">
              <c16:uniqueId val="{00000000-78C5-4F32-9170-DA3DADBEE711}"/>
            </c:ext>
          </c:extLst>
        </c:ser>
        <c:dLbls>
          <c:showLegendKey val="0"/>
          <c:showVal val="0"/>
          <c:showCatName val="0"/>
          <c:showSerName val="0"/>
          <c:showPercent val="0"/>
          <c:showBubbleSize val="0"/>
        </c:dLbls>
        <c:gapWidth val="55"/>
        <c:axId val="1119603071"/>
        <c:axId val="969965807"/>
      </c:barChart>
      <c:lineChart>
        <c:grouping val="standard"/>
        <c:varyColors val="0"/>
        <c:ser>
          <c:idx val="1"/>
          <c:order val="1"/>
          <c:tx>
            <c:strRef>
              <c:f>'23 Growth and Mix'!$D$5</c:f>
              <c:strCache>
                <c:ptCount val="1"/>
                <c:pt idx="0">
                  <c:v>Operating income</c:v>
                </c:pt>
              </c:strCache>
            </c:strRef>
          </c:tx>
          <c:spPr>
            <a:ln w="34925" cap="rnd">
              <a:solidFill>
                <a:srgbClr val="E07B2A"/>
              </a:solidFill>
              <a:prstDash val="solid"/>
              <a:round/>
            </a:ln>
            <a:effectLst/>
          </c:spPr>
          <c:marker>
            <c:symbol val="circle"/>
            <c:size val="5"/>
            <c:spPr>
              <a:solidFill>
                <a:srgbClr val="E07B2A"/>
              </a:solidFill>
              <a:ln w="9525">
                <a:solidFill>
                  <a:srgbClr val="E07B2A"/>
                </a:solidFill>
                <a:prstDash val="solid"/>
              </a:ln>
              <a:effectLst/>
            </c:spPr>
          </c:marker>
          <c:dLbls>
            <c:dLbl>
              <c:idx val="3"/>
              <c:numFmt formatCode="&quot;$&quot;#,##0,&quot;B&quot;" sourceLinked="0"/>
              <c:spPr>
                <a:noFill/>
                <a:ln>
                  <a:noFill/>
                </a:ln>
                <a:effectLst/>
              </c:spPr>
              <c:txPr>
                <a:bodyPr rot="0" spcFirstLastPara="1" vertOverflow="ellipsis" vert="horz" wrap="square" anchor="ctr" anchorCtr="1"/>
                <a:lstStyle/>
                <a:p>
                  <a:pPr>
                    <a:defRPr sz="900" b="1" i="0" u="none" strike="noStrike" kern="1200" baseline="0">
                      <a:solidFill>
                        <a:srgbClr val="E07B2A"/>
                      </a:solidFill>
                      <a:latin typeface="Arial"/>
                      <a:ea typeface="Arial"/>
                      <a:cs typeface="Aria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C8-4D01-AFF9-A1357D8F80E1}"/>
                </c:ext>
              </c:extLst>
            </c:dLbl>
            <c:dLbl>
              <c:idx val="8"/>
              <c:numFmt formatCode="&quot;$&quot;#,##0,&quot;B&quot;" sourceLinked="0"/>
              <c:spPr>
                <a:noFill/>
                <a:ln>
                  <a:noFill/>
                </a:ln>
                <a:effectLst/>
              </c:spPr>
              <c:txPr>
                <a:bodyPr rot="0" spcFirstLastPara="1" vertOverflow="ellipsis" vert="horz" wrap="square" anchor="ctr" anchorCtr="1"/>
                <a:lstStyle/>
                <a:p>
                  <a:pPr>
                    <a:defRPr sz="900" b="1" i="0" u="none" strike="noStrike" kern="1200" baseline="0">
                      <a:solidFill>
                        <a:srgbClr val="E07B2A"/>
                      </a:solidFill>
                      <a:latin typeface="Arial"/>
                      <a:ea typeface="Arial"/>
                      <a:cs typeface="Aria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C8-4D01-AFF9-A1357D8F80E1}"/>
                </c:ext>
              </c:extLst>
            </c:dLbl>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'23 Growth and Mix'!$D$6:$D$14</c:f>
              <c:numCache>
                <c:formatCode>#,##0</c:formatCode>
                <c:ptCount val="9"/>
                <c:pt idx="0">
                  <c:v>84293</c:v>
                </c:pt>
                <c:pt idx="1">
                  <c:v>112390</c:v>
                </c:pt>
                <c:pt idx="2">
                  <c:v>129039</c:v>
                </c:pt>
                <c:pt idx="3">
                  <c:v>147628</c:v>
                </c:pt>
                <c:pt idx="4">
                  <c:v>171642.66036034166</c:v>
                </c:pt>
                <c:pt idx="5">
                  <c:v>199232.4853813044</c:v>
                </c:pt>
                <c:pt idx="6">
                  <c:v>224357.14998307958</c:v>
                </c:pt>
                <c:pt idx="7">
                  <c:v>248267.23585381839</c:v>
                </c:pt>
                <c:pt idx="8">
                  <c:v>272632.85160756833</c:v>
                </c:pt>
              </c:numCache>
            </c:numRef>
          </c:val>
          <c:smooth val="1"/>
          <c:extLst>
            <c:ext xmlns:c16="http://schemas.microsoft.com/office/drawing/2014/chart" uri="{C3380CC4-5D6E-409C-BE32-E72D297353CC}">
              <c16:uniqueId val="{00000001-78C5-4F32-9170-DA3DADBEE711}"/>
            </c:ext>
          </c:extLst>
        </c:ser>
        <c:dLbls>
          <c:showLegendKey val="0"/>
          <c:showVal val="0"/>
          <c:showCatName val="0"/>
          <c:showSerName val="0"/>
          <c:showPercent val="0"/>
          <c:showBubbleSize val="0"/>
        </c:dLbls>
        <c:marker val="1"/>
        <c:smooth val="0"/>
        <c:axId val="1119603071"/>
        <c:axId val="969965807"/>
      </c:lineChart>
      <c:catAx>
        <c:axId val="111960307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low"/>
        <c:spPr>
          <a:noFill/>
          <a:ln w="9525" cap="flat" cmpd="sng" algn="ctr">
            <a:solidFill>
              <a:srgbClr val="B8C0CC"/>
            </a:solidFill>
            <a:prstDash val="solid"/>
            <a:round/>
          </a:ln>
          <a:effectLst/>
        </c:spPr>
        <c:txPr>
          <a:bodyPr rot="-600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crossAx val="969965807"/>
        <c:crosses val="autoZero"/>
        <c:auto val="1"/>
        <c:lblAlgn val="ctr"/>
        <c:lblOffset val="100"/>
        <c:noMultiLvlLbl val="0"/>
      </c:catAx>
      <c:valAx>
        <c:axId val="969965807"/>
        <c:scaling>
          <c:orientation val="minMax"/>
        </c:scaling>
        <c:delete val="0"/>
        <c:axPos val="l"/>
        <c:majorGridlines>
          <c:spPr>
            <a:ln w="9525" cap="flat" cmpd="sng" algn="ctr">
              <a:solidFill>
                <a:srgbClr val="E3E7ED"/>
              </a:solidFill>
              <a:prstDash val="solid"/>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quot;$&quot;#,##0,&quot;B&quot;"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1119603071"/>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Segment revenue: FY2025 vs FY2030E ($B)</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bar"/>
        <c:grouping val="clustered"/>
        <c:varyColors val="0"/>
        <c:ser>
          <c:idx val="0"/>
          <c:order val="0"/>
          <c:tx>
            <c:strRef>
              <c:f>'23 Growth and Mix'!$G$5</c:f>
              <c:strCache>
                <c:ptCount val="1"/>
                <c:pt idx="0">
                  <c:v>FY2025</c:v>
                </c:pt>
              </c:strCache>
            </c:strRef>
          </c:tx>
          <c:spPr>
            <a:solidFill>
              <a:srgbClr val="AFC3DA"/>
            </a:solidFill>
            <a:ln>
              <a:solidFill>
                <a:srgbClr val="A5A5A5"/>
              </a:solidFill>
              <a:prstDash val="solid"/>
            </a:ln>
            <a:effectLst/>
          </c:spPr>
          <c:invertIfNegative val="0"/>
          <c:dLbls>
            <c:numFmt formatCode="&quot;$&quot;#,##0,&quot;B&quot;" sourceLinked="0"/>
            <c:spPr>
              <a:noFill/>
              <a:ln>
                <a:noFill/>
              </a:ln>
              <a:effectLst/>
            </c:spPr>
            <c:txPr>
              <a:bodyPr rot="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Mix'!$F$6:$F$11</c:f>
              <c:strCache>
                <c:ptCount val="6"/>
                <c:pt idx="0">
                  <c:v>Search &amp; other</c:v>
                </c:pt>
                <c:pt idx="1">
                  <c:v>YouTube ads</c:v>
                </c:pt>
                <c:pt idx="2">
                  <c:v>Google Network</c:v>
                </c:pt>
                <c:pt idx="3">
                  <c:v>Subscriptions/devices</c:v>
                </c:pt>
                <c:pt idx="4">
                  <c:v>Google Cloud</c:v>
                </c:pt>
                <c:pt idx="5">
                  <c:v>Other Bets</c:v>
                </c:pt>
              </c:strCache>
            </c:strRef>
          </c:cat>
          <c:val>
            <c:numRef>
              <c:f>'23 Growth and Mix'!$G$6:$G$11</c:f>
              <c:numCache>
                <c:formatCode>#,##0</c:formatCode>
                <c:ptCount val="6"/>
                <c:pt idx="0">
                  <c:v>224532</c:v>
                </c:pt>
                <c:pt idx="1">
                  <c:v>40367</c:v>
                </c:pt>
                <c:pt idx="2">
                  <c:v>29792</c:v>
                </c:pt>
                <c:pt idx="3">
                  <c:v>48030</c:v>
                </c:pt>
                <c:pt idx="4">
                  <c:v>58705</c:v>
                </c:pt>
                <c:pt idx="5">
                  <c:v>1537</c:v>
                </c:pt>
              </c:numCache>
            </c:numRef>
          </c:val>
          <c:extLst>
            <c:ext xmlns:c16="http://schemas.microsoft.com/office/drawing/2014/chart" uri="{C3380CC4-5D6E-409C-BE32-E72D297353CC}">
              <c16:uniqueId val="{00000000-68F6-4D3C-B1E4-244BFF4E50BC}"/>
            </c:ext>
          </c:extLst>
        </c:ser>
        <c:ser>
          <c:idx val="1"/>
          <c:order val="1"/>
          <c:tx>
            <c:strRef>
              <c:f>'23 Growth and Mix'!$H$5</c:f>
              <c:strCache>
                <c:ptCount val="1"/>
                <c:pt idx="0">
                  <c:v>FY2030E</c:v>
                </c:pt>
              </c:strCache>
            </c:strRef>
          </c:tx>
          <c:spPr>
            <a:solidFill>
              <a:srgbClr val="002F6C"/>
            </a:solidFill>
            <a:ln>
              <a:solidFill>
                <a:srgbClr val="4472C4"/>
              </a:solidFill>
              <a:prstDash val="solid"/>
            </a:ln>
            <a:effectLst/>
          </c:spPr>
          <c:invertIfNegative val="0"/>
          <c:dLbls>
            <c:numFmt formatCode="&quot;$&quot;#,##0,&quot;B&quot;" sourceLinked="0"/>
            <c:spPr>
              <a:noFill/>
              <a:ln>
                <a:noFill/>
              </a:ln>
              <a:effectLst/>
            </c:spPr>
            <c:txPr>
              <a:bodyPr rot="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Mix'!$F$6:$F$11</c:f>
              <c:strCache>
                <c:ptCount val="6"/>
                <c:pt idx="0">
                  <c:v>Search &amp; other</c:v>
                </c:pt>
                <c:pt idx="1">
                  <c:v>YouTube ads</c:v>
                </c:pt>
                <c:pt idx="2">
                  <c:v>Google Network</c:v>
                </c:pt>
                <c:pt idx="3">
                  <c:v>Subscriptions/devices</c:v>
                </c:pt>
                <c:pt idx="4">
                  <c:v>Google Cloud</c:v>
                </c:pt>
                <c:pt idx="5">
                  <c:v>Other Bets</c:v>
                </c:pt>
              </c:strCache>
            </c:strRef>
          </c:cat>
          <c:val>
            <c:numRef>
              <c:f>'23 Growth and Mix'!$H$6:$H$11</c:f>
              <c:numCache>
                <c:formatCode>#,##0</c:formatCode>
                <c:ptCount val="6"/>
                <c:pt idx="0">
                  <c:v>374487.25894272013</c:v>
                </c:pt>
                <c:pt idx="1">
                  <c:v>67394.265864595305</c:v>
                </c:pt>
                <c:pt idx="2">
                  <c:v>26929.608378265599</c:v>
                </c:pt>
                <c:pt idx="3">
                  <c:v>89618.053635936012</c:v>
                </c:pt>
                <c:pt idx="4">
                  <c:v>394020.13751851529</c:v>
                </c:pt>
                <c:pt idx="5">
                  <c:v>1961.6447615625007</c:v>
                </c:pt>
              </c:numCache>
            </c:numRef>
          </c:val>
          <c:extLst>
            <c:ext xmlns:c16="http://schemas.microsoft.com/office/drawing/2014/chart" uri="{C3380CC4-5D6E-409C-BE32-E72D297353CC}">
              <c16:uniqueId val="{00000001-68F6-4D3C-B1E4-244BFF4E50BC}"/>
            </c:ext>
          </c:extLst>
        </c:ser>
        <c:dLbls>
          <c:showLegendKey val="0"/>
          <c:showVal val="0"/>
          <c:showCatName val="0"/>
          <c:showSerName val="0"/>
          <c:showPercent val="0"/>
          <c:showBubbleSize val="0"/>
        </c:dLbls>
        <c:gapWidth val="45"/>
        <c:axId val="1119557599"/>
        <c:axId val="969972047"/>
      </c:barChart>
      <c:catAx>
        <c:axId val="1119557599"/>
        <c:scaling>
          <c:orientation val="maxMin"/>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rgbClr val="B8C0CC"/>
            </a:solidFill>
            <a:prstDash val="solid"/>
            <a:round/>
          </a:ln>
          <a:effectLst/>
        </c:spPr>
        <c:txPr>
          <a:bodyPr rot="-600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crossAx val="969972047"/>
        <c:crosses val="autoZero"/>
        <c:auto val="1"/>
        <c:lblAlgn val="ctr"/>
        <c:lblOffset val="100"/>
        <c:noMultiLvlLbl val="0"/>
      </c:catAx>
      <c:valAx>
        <c:axId val="969972047"/>
        <c:scaling>
          <c:orientation val="minMax"/>
        </c:scaling>
        <c:delete val="1"/>
        <c:axPos val="t"/>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0" sourceLinked="1"/>
        <c:majorTickMark val="none"/>
        <c:minorTickMark val="none"/>
        <c:tickLblPos val="nextTo"/>
        <c:crossAx val="11195575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orientation="landscape" verticalDpi="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Cloud and Search drive most of the FY2025 to FY2030E revenue gain ($B)</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stacked"/>
        <c:varyColors val="0"/>
        <c:ser>
          <c:idx val="0"/>
          <c:order val="0"/>
          <c:tx>
            <c:strRef>
              <c:f>'23 Growth and Mix'!$Q$5</c:f>
              <c:strCache>
                <c:ptCount val="1"/>
                <c:pt idx="0">
                  <c:v>Base (hidden)</c:v>
                </c:pt>
              </c:strCache>
            </c:strRef>
          </c:tx>
          <c:spPr>
            <a:noFill/>
            <a:ln w="25400">
              <a:noFill/>
            </a:ln>
            <a:effectLst/>
          </c:spPr>
          <c:invertIfNegative val="0"/>
          <c:cat>
            <c:strRef>
              <c:f>'23 Growth and Mix'!$M$6:$M$14</c:f>
              <c:strCache>
                <c:ptCount val="9"/>
                <c:pt idx="0">
                  <c:v>FY2025</c:v>
                </c:pt>
                <c:pt idx="1">
                  <c:v>Search</c:v>
                </c:pt>
                <c:pt idx="2">
                  <c:v>YouTube</c:v>
                </c:pt>
                <c:pt idx="3">
                  <c:v>Network</c:v>
                </c:pt>
                <c:pt idx="4">
                  <c:v>Subs/devices</c:v>
                </c:pt>
                <c:pt idx="5">
                  <c:v>Cloud</c:v>
                </c:pt>
                <c:pt idx="6">
                  <c:v>Other Bets</c:v>
                </c:pt>
                <c:pt idx="7">
                  <c:v>Hedging/other</c:v>
                </c:pt>
                <c:pt idx="8">
                  <c:v>FY2030E</c:v>
                </c:pt>
              </c:strCache>
            </c:strRef>
          </c:cat>
          <c:val>
            <c:numRef>
              <c:f>'23 Growth and Mix'!$Q$6:$Q$14</c:f>
              <c:numCache>
                <c:formatCode>#,##0</c:formatCode>
                <c:ptCount val="9"/>
                <c:pt idx="0">
                  <c:v>0</c:v>
                </c:pt>
                <c:pt idx="1">
                  <c:v>402836</c:v>
                </c:pt>
                <c:pt idx="2">
                  <c:v>552791.25894272013</c:v>
                </c:pt>
                <c:pt idx="3">
                  <c:v>576956.13318558107</c:v>
                </c:pt>
                <c:pt idx="4">
                  <c:v>576956.13318558107</c:v>
                </c:pt>
                <c:pt idx="5">
                  <c:v>618544.18682151707</c:v>
                </c:pt>
                <c:pt idx="6">
                  <c:v>953859.32434003241</c:v>
                </c:pt>
                <c:pt idx="7">
                  <c:v>954283.96910159488</c:v>
                </c:pt>
                <c:pt idx="8">
                  <c:v>0</c:v>
                </c:pt>
              </c:numCache>
            </c:numRef>
          </c:val>
          <c:extLst>
            <c:ext xmlns:c16="http://schemas.microsoft.com/office/drawing/2014/chart" uri="{C3380CC4-5D6E-409C-BE32-E72D297353CC}">
              <c16:uniqueId val="{00000000-8B5D-4321-A00E-6CFA28EB4712}"/>
            </c:ext>
          </c:extLst>
        </c:ser>
        <c:ser>
          <c:idx val="1"/>
          <c:order val="1"/>
          <c:tx>
            <c:strRef>
              <c:f>'23 Growth and Mix'!$R$5</c:f>
              <c:strCache>
                <c:ptCount val="1"/>
                <c:pt idx="0">
                  <c:v>Increase</c:v>
                </c:pt>
              </c:strCache>
            </c:strRef>
          </c:tx>
          <c:spPr>
            <a:solidFill>
              <a:srgbClr val="4C9F70"/>
            </a:solidFill>
            <a:ln w="9525">
              <a:solidFill>
                <a:srgbClr val="FFFFFF"/>
              </a:solidFill>
              <a:prstDash val="solid"/>
            </a:ln>
            <a:effectLst/>
          </c:spPr>
          <c:invertIfNegative val="0"/>
          <c:dLbls>
            <c:dLbl>
              <c:idx val="6"/>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4858"/>
                      </a:solidFill>
                      <a:latin typeface="Arial"/>
                      <a:ea typeface="Arial"/>
                      <a:cs typeface="Arial"/>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5D-4321-A00E-6CFA28EB4712}"/>
                </c:ext>
              </c:extLst>
            </c:dLbl>
            <c:dLbl>
              <c:idx val="7"/>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4858"/>
                      </a:solidFill>
                      <a:latin typeface="Arial"/>
                      <a:ea typeface="Arial"/>
                      <a:cs typeface="Arial"/>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5D-4321-A00E-6CFA28EB4712}"/>
                </c:ext>
              </c:extLst>
            </c:dLbl>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Mix'!$M$6:$M$14</c:f>
              <c:strCache>
                <c:ptCount val="9"/>
                <c:pt idx="0">
                  <c:v>FY2025</c:v>
                </c:pt>
                <c:pt idx="1">
                  <c:v>Search</c:v>
                </c:pt>
                <c:pt idx="2">
                  <c:v>YouTube</c:v>
                </c:pt>
                <c:pt idx="3">
                  <c:v>Network</c:v>
                </c:pt>
                <c:pt idx="4">
                  <c:v>Subs/devices</c:v>
                </c:pt>
                <c:pt idx="5">
                  <c:v>Cloud</c:v>
                </c:pt>
                <c:pt idx="6">
                  <c:v>Other Bets</c:v>
                </c:pt>
                <c:pt idx="7">
                  <c:v>Hedging/other</c:v>
                </c:pt>
                <c:pt idx="8">
                  <c:v>FY2030E</c:v>
                </c:pt>
              </c:strCache>
            </c:strRef>
          </c:cat>
          <c:val>
            <c:numRef>
              <c:f>'23 Growth and Mix'!$R$6:$R$14</c:f>
              <c:numCache>
                <c:formatCode>#,##0</c:formatCode>
                <c:ptCount val="9"/>
                <c:pt idx="0">
                  <c:v>0</c:v>
                </c:pt>
                <c:pt idx="1">
                  <c:v>149955.25894272013</c:v>
                </c:pt>
                <c:pt idx="2">
                  <c:v>27027.265864595305</c:v>
                </c:pt>
                <c:pt idx="3">
                  <c:v>0</c:v>
                </c:pt>
                <c:pt idx="4">
                  <c:v>41588.053635936012</c:v>
                </c:pt>
                <c:pt idx="5">
                  <c:v>335315.13751851529</c:v>
                </c:pt>
                <c:pt idx="6">
                  <c:v>424.64476156250066</c:v>
                </c:pt>
                <c:pt idx="7">
                  <c:v>127</c:v>
                </c:pt>
                <c:pt idx="8">
                  <c:v>0</c:v>
                </c:pt>
              </c:numCache>
            </c:numRef>
          </c:val>
          <c:extLst>
            <c:ext xmlns:c16="http://schemas.microsoft.com/office/drawing/2014/chart" uri="{C3380CC4-5D6E-409C-BE32-E72D297353CC}">
              <c16:uniqueId val="{00000001-8B5D-4321-A00E-6CFA28EB4712}"/>
            </c:ext>
          </c:extLst>
        </c:ser>
        <c:ser>
          <c:idx val="2"/>
          <c:order val="2"/>
          <c:tx>
            <c:strRef>
              <c:f>'23 Growth and Mix'!$S$5</c:f>
              <c:strCache>
                <c:ptCount val="1"/>
                <c:pt idx="0">
                  <c:v>Decrease</c:v>
                </c:pt>
              </c:strCache>
            </c:strRef>
          </c:tx>
          <c:spPr>
            <a:solidFill>
              <a:srgbClr val="E07B2A"/>
            </a:solidFill>
            <a:ln w="9525">
              <a:solidFill>
                <a:srgbClr val="FFFFFF"/>
              </a:solidFill>
              <a:prstDash val="solid"/>
            </a:ln>
            <a:effectLst/>
          </c:spPr>
          <c:invertIfNegative val="0"/>
          <c:dLbls>
            <c:dLbl>
              <c:idx val="3"/>
              <c:numFmt formatCode="\-&quot;$&quot;#,##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4858"/>
                      </a:solidFill>
                      <a:latin typeface="Arial"/>
                      <a:ea typeface="Arial"/>
                      <a:cs typeface="Arial"/>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5D-4321-A00E-6CFA28EB4712}"/>
                </c:ext>
              </c:extLst>
            </c:dLbl>
            <c:numFmt formatCode="\-&quot;$&quot;#,##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Mix'!$M$6:$M$14</c:f>
              <c:strCache>
                <c:ptCount val="9"/>
                <c:pt idx="0">
                  <c:v>FY2025</c:v>
                </c:pt>
                <c:pt idx="1">
                  <c:v>Search</c:v>
                </c:pt>
                <c:pt idx="2">
                  <c:v>YouTube</c:v>
                </c:pt>
                <c:pt idx="3">
                  <c:v>Network</c:v>
                </c:pt>
                <c:pt idx="4">
                  <c:v>Subs/devices</c:v>
                </c:pt>
                <c:pt idx="5">
                  <c:v>Cloud</c:v>
                </c:pt>
                <c:pt idx="6">
                  <c:v>Other Bets</c:v>
                </c:pt>
                <c:pt idx="7">
                  <c:v>Hedging/other</c:v>
                </c:pt>
                <c:pt idx="8">
                  <c:v>FY2030E</c:v>
                </c:pt>
              </c:strCache>
            </c:strRef>
          </c:cat>
          <c:val>
            <c:numRef>
              <c:f>'23 Growth and Mix'!$S$6:$S$14</c:f>
              <c:numCache>
                <c:formatCode>#,##0</c:formatCode>
                <c:ptCount val="9"/>
                <c:pt idx="0">
                  <c:v>0</c:v>
                </c:pt>
                <c:pt idx="1">
                  <c:v>0</c:v>
                </c:pt>
                <c:pt idx="2">
                  <c:v>0</c:v>
                </c:pt>
                <c:pt idx="3">
                  <c:v>2862.3916217344013</c:v>
                </c:pt>
                <c:pt idx="4">
                  <c:v>0</c:v>
                </c:pt>
                <c:pt idx="5">
                  <c:v>0</c:v>
                </c:pt>
                <c:pt idx="6">
                  <c:v>0</c:v>
                </c:pt>
                <c:pt idx="7">
                  <c:v>0</c:v>
                </c:pt>
                <c:pt idx="8">
                  <c:v>0</c:v>
                </c:pt>
              </c:numCache>
            </c:numRef>
          </c:val>
          <c:extLst>
            <c:ext xmlns:c16="http://schemas.microsoft.com/office/drawing/2014/chart" uri="{C3380CC4-5D6E-409C-BE32-E72D297353CC}">
              <c16:uniqueId val="{00000002-8B5D-4321-A00E-6CFA28EB4712}"/>
            </c:ext>
          </c:extLst>
        </c:ser>
        <c:ser>
          <c:idx val="3"/>
          <c:order val="3"/>
          <c:tx>
            <c:strRef>
              <c:f>'23 Growth and Mix'!$T$5</c:f>
              <c:strCache>
                <c:ptCount val="1"/>
                <c:pt idx="0">
                  <c:v>Total</c:v>
                </c:pt>
              </c:strCache>
            </c:strRef>
          </c:tx>
          <c:spPr>
            <a:solidFill>
              <a:srgbClr val="002F6C"/>
            </a:solidFill>
            <a:ln w="9525">
              <a:solidFill>
                <a:srgbClr val="FFFFFF"/>
              </a:solidFill>
              <a:prstDash val="solid"/>
            </a:ln>
            <a:effectLst/>
          </c:spPr>
          <c:invertIfNegative val="0"/>
          <c:dLbls>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Growth and Mix'!$M$6:$M$14</c:f>
              <c:strCache>
                <c:ptCount val="9"/>
                <c:pt idx="0">
                  <c:v>FY2025</c:v>
                </c:pt>
                <c:pt idx="1">
                  <c:v>Search</c:v>
                </c:pt>
                <c:pt idx="2">
                  <c:v>YouTube</c:v>
                </c:pt>
                <c:pt idx="3">
                  <c:v>Network</c:v>
                </c:pt>
                <c:pt idx="4">
                  <c:v>Subs/devices</c:v>
                </c:pt>
                <c:pt idx="5">
                  <c:v>Cloud</c:v>
                </c:pt>
                <c:pt idx="6">
                  <c:v>Other Bets</c:v>
                </c:pt>
                <c:pt idx="7">
                  <c:v>Hedging/other</c:v>
                </c:pt>
                <c:pt idx="8">
                  <c:v>FY2030E</c:v>
                </c:pt>
              </c:strCache>
            </c:strRef>
          </c:cat>
          <c:val>
            <c:numRef>
              <c:f>'23 Growth and Mix'!$T$6:$T$14</c:f>
              <c:numCache>
                <c:formatCode>#,##0</c:formatCode>
                <c:ptCount val="9"/>
                <c:pt idx="0">
                  <c:v>402836</c:v>
                </c:pt>
                <c:pt idx="1">
                  <c:v>0</c:v>
                </c:pt>
                <c:pt idx="2">
                  <c:v>0</c:v>
                </c:pt>
                <c:pt idx="3">
                  <c:v>0</c:v>
                </c:pt>
                <c:pt idx="4">
                  <c:v>0</c:v>
                </c:pt>
                <c:pt idx="5">
                  <c:v>0</c:v>
                </c:pt>
                <c:pt idx="6">
                  <c:v>0</c:v>
                </c:pt>
                <c:pt idx="7">
                  <c:v>0</c:v>
                </c:pt>
                <c:pt idx="8">
                  <c:v>954410.96910159488</c:v>
                </c:pt>
              </c:numCache>
            </c:numRef>
          </c:val>
          <c:extLst>
            <c:ext xmlns:c16="http://schemas.microsoft.com/office/drawing/2014/chart" uri="{C3380CC4-5D6E-409C-BE32-E72D297353CC}">
              <c16:uniqueId val="{00000003-8B5D-4321-A00E-6CFA28EB4712}"/>
            </c:ext>
          </c:extLst>
        </c:ser>
        <c:dLbls>
          <c:showLegendKey val="0"/>
          <c:showVal val="0"/>
          <c:showCatName val="0"/>
          <c:showSerName val="0"/>
          <c:showPercent val="0"/>
          <c:showBubbleSize val="0"/>
        </c:dLbls>
        <c:gapWidth val="45"/>
        <c:overlap val="100"/>
        <c:axId val="69584719"/>
        <c:axId val="152492527"/>
      </c:barChart>
      <c:catAx>
        <c:axId val="69584719"/>
        <c:scaling>
          <c:orientation val="minMax"/>
        </c:scaling>
        <c:delete val="0"/>
        <c:axPos val="b"/>
        <c:numFmt formatCode="General" sourceLinked="1"/>
        <c:majorTickMark val="none"/>
        <c:minorTickMark val="none"/>
        <c:tickLblPos val="nextTo"/>
        <c:spPr>
          <a:noFill/>
          <a:ln w="9525" cap="flat" cmpd="sng" algn="ctr">
            <a:solidFill>
              <a:srgbClr val="B8C0CC"/>
            </a:solidFill>
            <a:prstDash val="solid"/>
            <a:round/>
          </a:ln>
          <a:effectLst/>
        </c:spPr>
        <c:txPr>
          <a:bodyPr rot="0" spcFirstLastPara="1" vertOverflow="ellipsis" wrap="square" anchor="ctr" anchorCtr="1"/>
          <a:lstStyle/>
          <a:p>
            <a:pPr>
              <a:defRPr sz="900" b="0" i="0" u="none" strike="noStrike" kern="1200" baseline="0">
                <a:solidFill>
                  <a:srgbClr val="3C4858"/>
                </a:solidFill>
                <a:latin typeface="Arial"/>
                <a:ea typeface="Arial"/>
                <a:cs typeface="Arial"/>
              </a:defRPr>
            </a:pPr>
            <a:endParaRPr lang="en-US"/>
          </a:p>
        </c:txPr>
        <c:crossAx val="152492527"/>
        <c:crosses val="autoZero"/>
        <c:auto val="1"/>
        <c:lblAlgn val="ctr"/>
        <c:lblOffset val="100"/>
        <c:noMultiLvlLbl val="0"/>
      </c:catAx>
      <c:valAx>
        <c:axId val="152492527"/>
        <c:scaling>
          <c:orientation val="minMax"/>
          <c:min val="0"/>
        </c:scaling>
        <c:delete val="0"/>
        <c:axPos val="l"/>
        <c:majorGridlines>
          <c:spPr>
            <a:ln w="9525" cap="flat" cmpd="sng" algn="ctr">
              <a:solidFill>
                <a:srgbClr val="E3E7ED"/>
              </a:solidFill>
              <a:prstDash val="solid"/>
              <a:round/>
            </a:ln>
            <a:effectLst/>
          </c:spPr>
        </c:majorGridlines>
        <c:numFmt formatCode="&quot;$&quot;#,##0,&quot;B&quot;"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69584719"/>
        <c:crosses val="autoZero"/>
        <c:crossBetween val="between"/>
      </c:valAx>
      <c:spPr>
        <a:noFill/>
        <a:ln w="25400">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Operating cash flow, capex and free cash flow ($B)</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clustered"/>
        <c:varyColors val="0"/>
        <c:ser>
          <c:idx val="0"/>
          <c:order val="0"/>
          <c:tx>
            <c:strRef>
              <c:f>'24 Cash and Margins'!$C$5</c:f>
              <c:strCache>
                <c:ptCount val="1"/>
                <c:pt idx="0">
                  <c:v>Operating CF</c:v>
                </c:pt>
              </c:strCache>
            </c:strRef>
          </c:tx>
          <c:spPr>
            <a:solidFill>
              <a:srgbClr val="AFC3DA"/>
            </a:solidFill>
            <a:ln>
              <a:solidFill>
                <a:srgbClr val="70AD47"/>
              </a:solidFill>
              <a:prstDash val="solid"/>
            </a:ln>
            <a:effectLst/>
          </c:spPr>
          <c:invertIfNegative val="0"/>
          <c:cat>
            <c:strRef>
              <c:f>'24 Cash and Margins'!$B$6:$B$14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'24 Cash and Margins'!$C$6:$C$14</c:f>
              <c:numCache>
                <c:formatCode>#,##0</c:formatCode>
                <c:ptCount val="9"/>
                <c:pt idx="0">
                  <c:v>101746</c:v>
                </c:pt>
                <c:pt idx="1">
                  <c:v>125299</c:v>
                </c:pt>
                <c:pt idx="2">
                  <c:v>164713</c:v>
                </c:pt>
                <c:pt idx="3">
                  <c:v>185675</c:v>
                </c:pt>
                <c:pt idx="4">
                  <c:v>199742.21243683479</c:v>
                </c:pt>
                <c:pt idx="5">
                  <c:v>251307.35829559781</c:v>
                </c:pt>
                <c:pt idx="6">
                  <c:v>305901.76566623186</c:v>
                </c:pt>
                <c:pt idx="7">
                  <c:v>362539.9967090041</c:v>
                </c:pt>
                <c:pt idx="8">
                  <c:v>418907.54098286532</c:v>
                </c:pt>
              </c:numCache>
            </c:numRef>
          </c:val>
          <c:extLst>
            <c:ext xmlns:c16="http://schemas.microsoft.com/office/drawing/2014/chart" uri="{C3380CC4-5D6E-409C-BE32-E72D297353CC}">
              <c16:uniqueId val="{00000000-E939-4817-AC39-FD3CE8DCBC1B}"/>
            </c:ext>
          </c:extLst>
        </c:ser>
        <c:ser>
          <c:idx val="1"/>
          <c:order val="1"/>
          <c:tx>
            <c:strRef>
              <c:f>'24 Cash and Margins'!$D$5</c:f>
              <c:strCache>
                <c:ptCount val="1"/>
                <c:pt idx="0">
                  <c:v>Capex</c:v>
                </c:pt>
              </c:strCache>
            </c:strRef>
          </c:tx>
          <c:spPr>
            <a:solidFill>
              <a:srgbClr val="8A94A6"/>
            </a:solidFill>
            <a:ln>
              <a:solidFill>
                <a:srgbClr val="ED7D31"/>
              </a:solidFill>
              <a:prstDash val="solid"/>
            </a:ln>
            <a:effectLst/>
          </c:spPr>
          <c:invertIfNegative val="0"/>
          <c:cat>
            <c:strRef>
              <c:f>'24 Cash and Margins'!$B$6:$B$14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'24 Cash and Margins'!$D$6:$D$14</c:f>
              <c:numCache>
                <c:formatCode>#,##0</c:formatCode>
                <c:ptCount val="9"/>
                <c:pt idx="0">
                  <c:v>-32251</c:v>
                </c:pt>
                <c:pt idx="1">
                  <c:v>-52535</c:v>
                </c:pt>
                <c:pt idx="2">
                  <c:v>-91447</c:v>
                </c:pt>
                <c:pt idx="3">
                  <c:v>-132402</c:v>
                </c:pt>
                <c:pt idx="4">
                  <c:v>-200878.67384999996</c:v>
                </c:pt>
                <c:pt idx="5">
                  <c:v>-257199.79130163995</c:v>
                </c:pt>
                <c:pt idx="6">
                  <c:v>-263882.85328864324</c:v>
                </c:pt>
                <c:pt idx="7">
                  <c:v>-258777.4732881012</c:v>
                </c:pt>
                <c:pt idx="8">
                  <c:v>-238602.74227539872</c:v>
                </c:pt>
              </c:numCache>
            </c:numRef>
          </c:val>
          <c:extLst>
            <c:ext xmlns:c16="http://schemas.microsoft.com/office/drawing/2014/chart" uri="{C3380CC4-5D6E-409C-BE32-E72D297353CC}">
              <c16:uniqueId val="{00000001-E939-4817-AC39-FD3CE8DCBC1B}"/>
            </c:ext>
          </c:extLst>
        </c:ser>
        <c:ser>
          <c:idx val="2"/>
          <c:order val="2"/>
          <c:tx>
            <c:strRef>
              <c:f>'24 Cash and Margins'!$E$5</c:f>
              <c:strCache>
                <c:ptCount val="1"/>
                <c:pt idx="0">
                  <c:v>Free cash flow</c:v>
                </c:pt>
              </c:strCache>
            </c:strRef>
          </c:tx>
          <c:spPr>
            <a:solidFill>
              <a:srgbClr val="002F6C"/>
            </a:solidFill>
            <a:ln>
              <a:solidFill>
                <a:srgbClr val="4472C4"/>
              </a:solidFill>
              <a:prstDash val="solid"/>
            </a:ln>
            <a:effectLst/>
          </c:spPr>
          <c:invertIfNegative val="0"/>
          <c:cat>
            <c:strRef>
              <c:f>'24 Cash and Margins'!$B$6:$B$14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'24 Cash and Margins'!$E$6:$E$14</c:f>
              <c:numCache>
                <c:formatCode>#,##0</c:formatCode>
                <c:ptCount val="9"/>
                <c:pt idx="0">
                  <c:v>69495</c:v>
                </c:pt>
                <c:pt idx="1">
                  <c:v>72764</c:v>
                </c:pt>
                <c:pt idx="2">
                  <c:v>73266</c:v>
                </c:pt>
                <c:pt idx="3">
                  <c:v>53273</c:v>
                </c:pt>
                <c:pt idx="4">
                  <c:v>-1136.4614131651761</c:v>
                </c:pt>
                <c:pt idx="5">
                  <c:v>-5892.4330060421489</c:v>
                </c:pt>
                <c:pt idx="6">
                  <c:v>42018.912377588626</c:v>
                </c:pt>
                <c:pt idx="7">
                  <c:v>103762.5234209029</c:v>
                </c:pt>
                <c:pt idx="8">
                  <c:v>180304.7987074666</c:v>
                </c:pt>
              </c:numCache>
            </c:numRef>
          </c:val>
          <c:extLst>
            <c:ext xmlns:c16="http://schemas.microsoft.com/office/drawing/2014/chart" uri="{C3380CC4-5D6E-409C-BE32-E72D297353CC}">
              <c16:uniqueId val="{00000002-E939-4817-AC39-FD3CE8DCBC1B}"/>
            </c:ext>
          </c:extLst>
        </c:ser>
        <c:dLbls>
          <c:showLegendKey val="0"/>
          <c:showVal val="0"/>
          <c:showCatName val="0"/>
          <c:showSerName val="0"/>
          <c:showPercent val="0"/>
          <c:showBubbleSize val="0"/>
        </c:dLbls>
        <c:gapWidth val="70"/>
        <c:overlap val="-27"/>
        <c:axId val="1119569199"/>
        <c:axId val="969996527"/>
      </c:barChart>
      <c:catAx>
        <c:axId val="111956919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low"/>
        <c:spPr>
          <a:noFill/>
          <a:ln w="9525" cap="flat" cmpd="sng" algn="ctr">
            <a:solidFill>
              <a:srgbClr val="B8C0CC"/>
            </a:solidFill>
            <a:prstDash val="solid"/>
            <a:round/>
          </a:ln>
          <a:effectLst/>
        </c:spPr>
        <c:txPr>
          <a:bodyPr rot="-600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crossAx val="969996527"/>
        <c:crosses val="autoZero"/>
        <c:auto val="1"/>
        <c:lblAlgn val="ctr"/>
        <c:lblOffset val="100"/>
        <c:noMultiLvlLbl val="0"/>
      </c:catAx>
      <c:valAx>
        <c:axId val="969996527"/>
        <c:scaling>
          <c:orientation val="minMax"/>
        </c:scaling>
        <c:delete val="0"/>
        <c:axPos val="l"/>
        <c:majorGridlines>
          <c:spPr>
            <a:ln w="9525" cap="flat" cmpd="sng" algn="ctr">
              <a:solidFill>
                <a:srgbClr val="E3E7ED"/>
              </a:solidFill>
              <a:prstDash val="solid"/>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quot;$&quot;#,##0,&quot;B&quot;;\-&quot;$&quot;#,##0,&quot;B&quot;"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11195691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Operating margin vs free-cash-flow margin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clustered"/>
        <c:varyColors val="0"/>
        <c:ser>
          <c:idx val="2"/>
          <c:order val="2"/>
          <c:tx>
            <c:v>Forecast period (shaded)</c:v>
          </c:tx>
          <c:spPr>
            <a:solidFill>
              <a:srgbClr val="EEF2F7"/>
            </a:solidFill>
            <a:ln w="25400">
              <a:noFill/>
            </a:ln>
            <a:effectLst/>
          </c:spPr>
          <c:invertIfNegative val="0"/>
          <c:val>
            <c:numRef>
              <c:f>'24 Cash and Margins'!$I$6:$I$14</c:f>
              <c:numCache>
                <c:formatCode>0</c:formatCode>
                <c:ptCount val="9"/>
                <c:pt idx="0">
                  <c:v>0</c:v>
                </c:pt>
                <c:pt idx="1">
                  <c:v>0</c:v>
                </c:pt>
                <c:pt idx="2">
                  <c:v>0</c:v>
                </c:pt>
                <c:pt idx="3">
                  <c:v>0</c:v>
                </c:pt>
                <c:pt idx="4">
                  <c:v>1</c:v>
                </c:pt>
                <c:pt idx="5">
                  <c:v>1</c:v>
                </c:pt>
                <c:pt idx="6">
                  <c:v>1</c:v>
                </c:pt>
                <c:pt idx="7">
                  <c:v>1</c:v>
                </c:pt>
                <c:pt idx="8">
                  <c:v>1</c:v>
                </c:pt>
              </c:numCache>
            </c:numRef>
          </c:val>
          <c:extLst>
            <c:ext xmlns:c16="http://schemas.microsoft.com/office/drawing/2014/chart" uri="{C3380CC4-5D6E-409C-BE32-E72D297353CC}">
              <c16:uniqueId val="{00000005-8C30-4E1E-B6DD-484526B5F779}"/>
            </c:ext>
          </c:extLst>
        </c:ser>
        <c:dLbls>
          <c:showLegendKey val="0"/>
          <c:showVal val="0"/>
          <c:showCatName val="0"/>
          <c:showSerName val="0"/>
          <c:showPercent val="0"/>
          <c:showBubbleSize val="0"/>
        </c:dLbls>
        <c:gapWidth val="150"/>
        <c:axId val="69565695"/>
        <c:axId val="349325455"/>
      </c:barChart>
      <c:lineChart>
        <c:grouping val="standard"/>
        <c:varyColors val="0"/>
        <c:ser>
          <c:idx val="0"/>
          <c:order val="0"/>
          <c:tx>
            <c:strRef>
              <c:f>'24 Cash and Margins'!$G$5</c:f>
              <c:strCache>
                <c:ptCount val="1"/>
                <c:pt idx="0">
                  <c:v>Operating margin</c:v>
                </c:pt>
              </c:strCache>
            </c:strRef>
          </c:tx>
          <c:spPr>
            <a:ln w="34925" cap="rnd">
              <a:solidFill>
                <a:srgbClr val="002F6C"/>
              </a:solidFill>
              <a:prstDash val="solid"/>
              <a:round/>
            </a:ln>
            <a:effectLst/>
          </c:spPr>
          <c:marker>
            <c:symbol val="circle"/>
            <c:size val="5"/>
            <c:spPr>
              <a:solidFill>
                <a:srgbClr val="002F6C"/>
              </a:solidFill>
              <a:ln w="9525">
                <a:solidFill>
                  <a:srgbClr val="002F6C"/>
                </a:solidFill>
                <a:prstDash val="solid"/>
              </a:ln>
              <a:effectLst/>
            </c:spPr>
          </c:marker>
          <c:dLbls>
            <c:dLbl>
              <c:idx val="3"/>
              <c:numFmt formatCode="0%" sourceLinked="0"/>
              <c:spPr>
                <a:noFill/>
                <a:ln>
                  <a:noFill/>
                </a:ln>
                <a:effectLst/>
              </c:spPr>
              <c:txPr>
                <a:bodyPr rot="0" spcFirstLastPara="1" vertOverflow="ellipsis" vert="horz" wrap="square" anchor="ctr" anchorCtr="1"/>
                <a:lstStyle/>
                <a:p>
                  <a:pPr>
                    <a:defRPr sz="900" b="1" i="0" u="none" strike="noStrike" kern="1200" baseline="0">
                      <a:solidFill>
                        <a:srgbClr val="002F6C"/>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30-4E1E-B6DD-484526B5F779}"/>
                </c:ext>
              </c:extLst>
            </c:dLbl>
            <c:dLbl>
              <c:idx val="8"/>
              <c:numFmt formatCode="0%" sourceLinked="0"/>
              <c:spPr>
                <a:noFill/>
                <a:ln>
                  <a:noFill/>
                </a:ln>
                <a:effectLst/>
              </c:spPr>
              <c:txPr>
                <a:bodyPr rot="0" spcFirstLastPara="1" vertOverflow="ellipsis" vert="horz" wrap="square" anchor="ctr" anchorCtr="1"/>
                <a:lstStyle/>
                <a:p>
                  <a:pPr>
                    <a:defRPr sz="900" b="1" i="0" u="none" strike="noStrike" kern="1200" baseline="0">
                      <a:solidFill>
                        <a:srgbClr val="002F6C"/>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30-4E1E-B6DD-484526B5F779}"/>
                </c:ext>
              </c:extLst>
            </c:dLbl>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 Cash and Margins'!$B$6:$B$14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'24 Cash and Margins'!$G$6:$G$14</c:f>
              <c:numCache>
                <c:formatCode>0.0%</c:formatCode>
                <c:ptCount val="9"/>
                <c:pt idx="0">
                  <c:v>0.27421810445226646</c:v>
                </c:pt>
                <c:pt idx="1">
                  <c:v>0.32109777211457696</c:v>
                </c:pt>
                <c:pt idx="2">
                  <c:v>0.32032638592380025</c:v>
                </c:pt>
                <c:pt idx="3">
                  <c:v>0.33110396397123798</c:v>
                </c:pt>
                <c:pt idx="4">
                  <c:v>0.35032833201741137</c:v>
                </c:pt>
                <c:pt idx="5">
                  <c:v>0.33541110485945697</c:v>
                </c:pt>
                <c:pt idx="6">
                  <c:v>0.31457953580234399</c:v>
                </c:pt>
                <c:pt idx="7">
                  <c:v>0.29740936155211511</c:v>
                </c:pt>
                <c:pt idx="8">
                  <c:v>0.28565561423105057</c:v>
                </c:pt>
              </c:numCache>
            </c:numRef>
          </c:val>
          <c:smooth val="1"/>
          <c:extLst>
            <c:ext xmlns:c16="http://schemas.microsoft.com/office/drawing/2014/chart" uri="{C3380CC4-5D6E-409C-BE32-E72D297353CC}">
              <c16:uniqueId val="{00000000-32A6-4306-BAE5-32CE2D52CD46}"/>
            </c:ext>
          </c:extLst>
        </c:ser>
        <c:ser>
          <c:idx val="1"/>
          <c:order val="1"/>
          <c:tx>
            <c:strRef>
              <c:f>'24 Cash and Margins'!$H$5</c:f>
              <c:strCache>
                <c:ptCount val="1"/>
                <c:pt idx="0">
                  <c:v>FCF margin</c:v>
                </c:pt>
              </c:strCache>
            </c:strRef>
          </c:tx>
          <c:spPr>
            <a:ln w="34925" cap="rnd">
              <a:solidFill>
                <a:srgbClr val="E07B2A"/>
              </a:solidFill>
              <a:prstDash val="solid"/>
              <a:round/>
            </a:ln>
            <a:effectLst/>
          </c:spPr>
          <c:marker>
            <c:symbol val="circle"/>
            <c:size val="5"/>
            <c:spPr>
              <a:solidFill>
                <a:srgbClr val="E07B2A"/>
              </a:solidFill>
              <a:ln w="9525">
                <a:solidFill>
                  <a:srgbClr val="E07B2A"/>
                </a:solidFill>
                <a:prstDash val="solid"/>
              </a:ln>
              <a:effectLst/>
            </c:spPr>
          </c:marker>
          <c:dLbls>
            <c:dLbl>
              <c:idx val="3"/>
              <c:numFmt formatCode="0%" sourceLinked="0"/>
              <c:spPr>
                <a:noFill/>
                <a:ln>
                  <a:noFill/>
                </a:ln>
                <a:effectLst/>
              </c:spPr>
              <c:txPr>
                <a:bodyPr rot="0" spcFirstLastPara="1" vertOverflow="ellipsis" vert="horz" wrap="square" anchor="ctr" anchorCtr="1"/>
                <a:lstStyle/>
                <a:p>
                  <a:pPr>
                    <a:defRPr sz="900" b="1" i="0" u="none" strike="noStrike" kern="1200" baseline="0">
                      <a:solidFill>
                        <a:srgbClr val="E07B2A"/>
                      </a:solidFill>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30-4E1E-B6DD-484526B5F779}"/>
                </c:ext>
              </c:extLst>
            </c:dLbl>
            <c:dLbl>
              <c:idx val="4"/>
              <c:numFmt formatCode="0%" sourceLinked="0"/>
              <c:spPr>
                <a:noFill/>
                <a:ln>
                  <a:noFill/>
                </a:ln>
                <a:effectLst/>
              </c:spPr>
              <c:txPr>
                <a:bodyPr rot="0" spcFirstLastPara="1" vertOverflow="ellipsis" vert="horz" wrap="square" anchor="ctr" anchorCtr="1"/>
                <a:lstStyle/>
                <a:p>
                  <a:pPr>
                    <a:defRPr sz="900" b="1" i="0" u="none" strike="noStrike" kern="1200" baseline="0">
                      <a:solidFill>
                        <a:srgbClr val="E07B2A"/>
                      </a:solidFill>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30-4E1E-B6DD-484526B5F779}"/>
                </c:ext>
              </c:extLst>
            </c:dLbl>
            <c:dLbl>
              <c:idx val="8"/>
              <c:numFmt formatCode="0%" sourceLinked="0"/>
              <c:spPr>
                <a:noFill/>
                <a:ln>
                  <a:noFill/>
                </a:ln>
                <a:effectLst/>
              </c:spPr>
              <c:txPr>
                <a:bodyPr rot="0" spcFirstLastPara="1" vertOverflow="ellipsis" vert="horz" wrap="square" anchor="ctr" anchorCtr="1"/>
                <a:lstStyle/>
                <a:p>
                  <a:pPr>
                    <a:defRPr sz="900" b="1" i="0" u="none" strike="noStrike" kern="1200" baseline="0">
                      <a:solidFill>
                        <a:srgbClr val="E07B2A"/>
                      </a:solidFill>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30-4E1E-B6DD-484526B5F779}"/>
                </c:ext>
              </c:extLst>
            </c:dLbl>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 Cash and Margins'!$B$6:$B$14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'24 Cash and Margins'!$H$6:$H$14</c:f>
              <c:numCache>
                <c:formatCode>0.0%</c:formatCode>
                <c:ptCount val="9"/>
                <c:pt idx="0">
                  <c:v>0.22607793255561268</c:v>
                </c:pt>
                <c:pt idx="1">
                  <c:v>0.20788645155392008</c:v>
                </c:pt>
                <c:pt idx="2">
                  <c:v>0.18187550268595656</c:v>
                </c:pt>
                <c:pt idx="3">
                  <c:v>0.11948208654618203</c:v>
                </c:pt>
                <c:pt idx="4">
                  <c:v>-2.3195552343483485E-3</c:v>
                </c:pt>
                <c:pt idx="5">
                  <c:v>-9.9200060727264762E-3</c:v>
                </c:pt>
                <c:pt idx="6">
                  <c:v>5.8916285715245029E-2</c:v>
                </c:pt>
                <c:pt idx="7">
                  <c:v>0.12430132287700536</c:v>
                </c:pt>
                <c:pt idx="8">
                  <c:v>0.18891735797755019</c:v>
                </c:pt>
              </c:numCache>
            </c:numRef>
          </c:val>
          <c:smooth val="1"/>
          <c:extLst>
            <c:ext xmlns:c16="http://schemas.microsoft.com/office/drawing/2014/chart" uri="{C3380CC4-5D6E-409C-BE32-E72D297353CC}">
              <c16:uniqueId val="{00000001-32A6-4306-BAE5-32CE2D52CD46}"/>
            </c:ext>
          </c:extLst>
        </c:ser>
        <c:dLbls>
          <c:showLegendKey val="0"/>
          <c:showVal val="0"/>
          <c:showCatName val="0"/>
          <c:showSerName val="0"/>
          <c:showPercent val="0"/>
          <c:showBubbleSize val="0"/>
        </c:dLbls>
        <c:marker val="1"/>
        <c:smooth val="0"/>
        <c:axId val="1391088543"/>
        <c:axId val="970007087"/>
      </c:lineChart>
      <c:catAx>
        <c:axId val="139108854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low"/>
        <c:spPr>
          <a:noFill/>
          <a:ln w="9525" cap="flat" cmpd="sng" algn="ctr">
            <a:solidFill>
              <a:srgbClr val="B8C0CC"/>
            </a:solidFill>
            <a:prstDash val="solid"/>
            <a:round/>
          </a:ln>
          <a:effectLst/>
        </c:spPr>
        <c:txPr>
          <a:bodyPr rot="-600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crossAx val="970007087"/>
        <c:crosses val="autoZero"/>
        <c:auto val="1"/>
        <c:lblAlgn val="ctr"/>
        <c:lblOffset val="100"/>
        <c:noMultiLvlLbl val="0"/>
      </c:catAx>
      <c:valAx>
        <c:axId val="970007087"/>
        <c:scaling>
          <c:orientation val="minMax"/>
        </c:scaling>
        <c:delete val="0"/>
        <c:axPos val="l"/>
        <c:majorGridlines>
          <c:spPr>
            <a:ln w="9525" cap="flat" cmpd="sng" algn="ctr">
              <a:solidFill>
                <a:srgbClr val="E3E7ED"/>
              </a:solidFill>
              <a:prstDash val="solid"/>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0%" sourceLinked="0"/>
        <c:majorTickMark val="none"/>
        <c:minorTickMark val="none"/>
        <c:tickLblPos val="nextTo"/>
        <c:spPr>
          <a:noFill/>
          <a:ln w="25400">
            <a:noFill/>
          </a:ln>
          <a:effectLst/>
        </c:spPr>
        <c:txPr>
          <a:bodyPr rot="-60000000" spcFirstLastPara="1" vertOverflow="ellipsis" vert="horz" wrap="square" anchor="ctr" anchorCtr="1"/>
          <a:lstStyle/>
          <a:p>
            <a:pPr>
              <a:defRPr sz="800" b="0" i="0" u="none" strike="noStrike" kern="1200" baseline="0">
                <a:solidFill>
                  <a:srgbClr val="8A94A6"/>
                </a:solidFill>
                <a:latin typeface="Arial"/>
                <a:ea typeface="Arial"/>
                <a:cs typeface="Arial"/>
              </a:defRPr>
            </a:pPr>
            <a:endParaRPr lang="en-US"/>
          </a:p>
        </c:txPr>
        <c:crossAx val="1391088543"/>
        <c:crosses val="autoZero"/>
        <c:crossBetween val="between"/>
      </c:valAx>
      <c:valAx>
        <c:axId val="349325455"/>
        <c:scaling>
          <c:orientation val="minMax"/>
          <c:max val="1"/>
          <c:min val="0"/>
        </c:scaling>
        <c:delete val="1"/>
        <c:axPos val="r"/>
        <c:numFmt formatCode="0" sourceLinked="1"/>
        <c:majorTickMark val="out"/>
        <c:minorTickMark val="none"/>
        <c:tickLblPos val="nextTo"/>
        <c:crossAx val="69565695"/>
        <c:crosses val="max"/>
        <c:crossBetween val="between"/>
      </c:valAx>
      <c:catAx>
        <c:axId val="69565695"/>
        <c:scaling>
          <c:orientation val="minMax"/>
        </c:scaling>
        <c:delete val="1"/>
        <c:axPos val="b"/>
        <c:majorTickMark val="out"/>
        <c:minorTickMark val="none"/>
        <c:tickLblPos val="nextTo"/>
        <c:crossAx val="349325455"/>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Depreciation ramp ($B): the delayed cost of the capex build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col"/>
        <c:grouping val="clustered"/>
        <c:varyColors val="0"/>
        <c:ser>
          <c:idx val="0"/>
          <c:order val="0"/>
          <c:tx>
            <c:strRef>
              <c:f>'24 Cash and Margins'!$F$5</c:f>
              <c:strCache>
                <c:ptCount val="1"/>
                <c:pt idx="0">
                  <c:v>Depreciation</c:v>
                </c:pt>
              </c:strCache>
            </c:strRef>
          </c:tx>
          <c:spPr>
            <a:solidFill>
              <a:srgbClr val="002F6C"/>
            </a:solidFill>
            <a:ln>
              <a:solidFill>
                <a:srgbClr val="C00000"/>
              </a:solidFill>
              <a:prstDash val="solid"/>
            </a:ln>
            <a:effectLst/>
          </c:spPr>
          <c:invertIfNegative val="0"/>
          <c:dLbls>
            <c:numFmt formatCode="&quot;$&quot;#,##0,&quot;B&quot;" sourceLinked="0"/>
            <c:spPr>
              <a:noFill/>
              <a:ln>
                <a:noFill/>
              </a:ln>
              <a:effectLst/>
            </c:spPr>
            <c:txPr>
              <a:bodyPr rot="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 Cash and Margins'!$B$6:$B$14</c:f>
              <c:strCache>
                <c:ptCount val="9"/>
                <c:pt idx="0">
                  <c:v>FY2023</c:v>
                </c:pt>
                <c:pt idx="1">
                  <c:v>FY2024</c:v>
                </c:pt>
                <c:pt idx="2">
                  <c:v>FY2025</c:v>
                </c:pt>
                <c:pt idx="3">
                  <c:v>TTM Jun'26</c:v>
                </c:pt>
                <c:pt idx="4">
                  <c:v>FY2026E</c:v>
                </c:pt>
                <c:pt idx="5">
                  <c:v>FY2027E</c:v>
                </c:pt>
                <c:pt idx="6">
                  <c:v>FY2028E</c:v>
                </c:pt>
                <c:pt idx="7">
                  <c:v>FY2029E</c:v>
                </c:pt>
                <c:pt idx="8">
                  <c:v>FY2030E</c:v>
                </c:pt>
              </c:strCache>
            </c:strRef>
          </c:cat>
          <c:val>
            <c:numRef>
              <c:f>'24 Cash and Margins'!$F$6:$F$14</c:f>
              <c:numCache>
                <c:formatCode>#,##0</c:formatCode>
                <c:ptCount val="9"/>
                <c:pt idx="0">
                  <c:v>11946</c:v>
                </c:pt>
                <c:pt idx="1">
                  <c:v>15311</c:v>
                </c:pt>
                <c:pt idx="2">
                  <c:v>21136</c:v>
                </c:pt>
                <c:pt idx="3">
                  <c:v>25237</c:v>
                </c:pt>
                <c:pt idx="4">
                  <c:v>29041.116021549999</c:v>
                </c:pt>
                <c:pt idx="5">
                  <c:v>47039.111221909829</c:v>
                </c:pt>
                <c:pt idx="6">
                  <c:v>74901.844207640097</c:v>
                </c:pt>
                <c:pt idx="7">
                  <c:v>106176.26897497583</c:v>
                </c:pt>
                <c:pt idx="8">
                  <c:v>137384.20790350105</c:v>
                </c:pt>
              </c:numCache>
            </c:numRef>
          </c:val>
          <c:extLst>
            <c:ext xmlns:c16="http://schemas.microsoft.com/office/drawing/2014/chart" uri="{C3380CC4-5D6E-409C-BE32-E72D297353CC}">
              <c16:uniqueId val="{00000000-0400-4BB8-9AA4-C687AAEA91E4}"/>
            </c:ext>
          </c:extLst>
        </c:ser>
        <c:dLbls>
          <c:showLegendKey val="0"/>
          <c:showVal val="0"/>
          <c:showCatName val="0"/>
          <c:showSerName val="0"/>
          <c:showPercent val="0"/>
          <c:showBubbleSize val="0"/>
        </c:dLbls>
        <c:gapWidth val="55"/>
        <c:axId val="1119634623"/>
        <c:axId val="970031087"/>
      </c:barChart>
      <c:catAx>
        <c:axId val="111963462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low"/>
        <c:spPr>
          <a:noFill/>
          <a:ln w="9525" cap="flat" cmpd="sng" algn="ctr">
            <a:solidFill>
              <a:srgbClr val="B8C0CC"/>
            </a:solidFill>
            <a:prstDash val="solid"/>
            <a:round/>
          </a:ln>
          <a:effectLst/>
        </c:spPr>
        <c:txPr>
          <a:bodyPr rot="-600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crossAx val="970031087"/>
        <c:crosses val="autoZero"/>
        <c:auto val="1"/>
        <c:lblAlgn val="ctr"/>
        <c:lblOffset val="100"/>
        <c:noMultiLvlLbl val="0"/>
      </c:catAx>
      <c:valAx>
        <c:axId val="970031087"/>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0" sourceLinked="1"/>
        <c:majorTickMark val="none"/>
        <c:minorTickMark val="none"/>
        <c:tickLblPos val="nextTo"/>
        <c:crossAx val="1119634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orientation="landscape" verticalDpi="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EPIC research priority (score out of 20)</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arChart>
        <c:barDir val="bar"/>
        <c:grouping val="clustered"/>
        <c:varyColors val="0"/>
        <c:ser>
          <c:idx val="0"/>
          <c:order val="0"/>
          <c:tx>
            <c:strRef>
              <c:f>'25 Peers and Priorities'!$C$14</c:f>
              <c:strCache>
                <c:ptCount val="1"/>
                <c:pt idx="0">
                  <c:v>Score</c:v>
                </c:pt>
              </c:strCache>
            </c:strRef>
          </c:tx>
          <c:spPr>
            <a:solidFill>
              <a:srgbClr val="002F6C"/>
            </a:solidFill>
            <a:ln>
              <a:solidFill>
                <a:srgbClr val="4472C4"/>
              </a:solidFill>
              <a:prstDash val="solid"/>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'25 Peers and Priorities'!$B$15:$B$22</c:f>
              <c:strCache>
                <c:ptCount val="8"/>
                <c:pt idx="0">
                  <c:v>Valuation / multiple</c:v>
                </c:pt>
                <c:pt idx="1">
                  <c:v>Cloud growth / margin</c:v>
                </c:pt>
                <c:pt idx="2">
                  <c:v>Capex / FCF conversion</c:v>
                </c:pt>
                <c:pt idx="3">
                  <c:v>Margins / depreciation</c:v>
                </c:pt>
                <c:pt idx="4">
                  <c:v>Search durability</c:v>
                </c:pt>
                <c:pt idx="5">
                  <c:v>Gemini position</c:v>
                </c:pt>
                <c:pt idx="6">
                  <c:v>Capital allocation</c:v>
                </c:pt>
                <c:pt idx="7">
                  <c:v>Regulatory</c:v>
                </c:pt>
              </c:strCache>
            </c:strRef>
          </c:cat>
          <c:val>
            <c:numRef>
              <c:f>'25 Peers and Priorities'!$C$15:$C$22</c:f>
              <c:numCache>
                <c:formatCode>General</c:formatCode>
                <c:ptCount val="8"/>
                <c:pt idx="0">
                  <c:v>17</c:v>
                </c:pt>
                <c:pt idx="1">
                  <c:v>17</c:v>
                </c:pt>
                <c:pt idx="2">
                  <c:v>17</c:v>
                </c:pt>
                <c:pt idx="3">
                  <c:v>16</c:v>
                </c:pt>
                <c:pt idx="4">
                  <c:v>15</c:v>
                </c:pt>
                <c:pt idx="5">
                  <c:v>13</c:v>
                </c:pt>
                <c:pt idx="6">
                  <c:v>13</c:v>
                </c:pt>
                <c:pt idx="7">
                  <c:v>11</c:v>
                </c:pt>
              </c:numCache>
            </c:numRef>
          </c:val>
          <c:extLst>
            <c:ext xmlns:c16="http://schemas.microsoft.com/office/drawing/2014/chart" uri="{C3380CC4-5D6E-409C-BE32-E72D297353CC}">
              <c16:uniqueId val="{00000000-14E5-4DC9-86B5-16F2A7A8BEC8}"/>
            </c:ext>
          </c:extLst>
        </c:ser>
        <c:dLbls>
          <c:showLegendKey val="0"/>
          <c:showVal val="0"/>
          <c:showCatName val="0"/>
          <c:showSerName val="0"/>
          <c:showPercent val="0"/>
          <c:showBubbleSize val="0"/>
        </c:dLbls>
        <c:gapWidth val="45"/>
        <c:axId val="1391147935"/>
        <c:axId val="970035887"/>
      </c:barChart>
      <c:catAx>
        <c:axId val="1391147935"/>
        <c:scaling>
          <c:orientation val="maxMin"/>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nextTo"/>
        <c:spPr>
          <a:noFill/>
          <a:ln w="9525" cap="flat" cmpd="sng" algn="ctr">
            <a:solidFill>
              <a:srgbClr val="B8C0CC"/>
            </a:solidFill>
            <a:prstDash val="solid"/>
            <a:round/>
          </a:ln>
          <a:effectLst/>
        </c:spPr>
        <c:txPr>
          <a:bodyPr rot="-600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crossAx val="970035887"/>
        <c:crosses val="autoZero"/>
        <c:auto val="1"/>
        <c:lblAlgn val="ctr"/>
        <c:lblOffset val="100"/>
        <c:noMultiLvlLbl val="0"/>
      </c:catAx>
      <c:valAx>
        <c:axId val="970035887"/>
        <c:scaling>
          <c:orientation val="minMax"/>
          <c:max val="20"/>
          <c:min val="0"/>
        </c:scaling>
        <c:delete val="1"/>
        <c:axPos val="t"/>
        <c:title>
          <c:overlay val="0"/>
          <c:spPr>
            <a:noFill/>
            <a:ln>
              <a:noFill/>
            </a:ln>
            <a:effectLst/>
          </c:spPr>
          <c:txPr>
            <a:bodyPr rot="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title>
        <c:numFmt formatCode="General" sourceLinked="1"/>
        <c:majorTickMark val="none"/>
        <c:minorTickMark val="none"/>
        <c:tickLblPos val="nextTo"/>
        <c:crossAx val="13911479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r>
              <a:rPr lang="en-US"/>
              <a:t>Peers: TTM capex vs free cash flow (bubble size = market cap)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F6C"/>
              </a:solidFill>
              <a:latin typeface="Arial"/>
              <a:ea typeface="Arial"/>
              <a:cs typeface="Arial"/>
            </a:defRPr>
          </a:pPr>
          <a:endParaRPr lang="en-US"/>
        </a:p>
      </c:txPr>
    </c:title>
    <c:autoTitleDeleted val="0"/>
    <c:plotArea>
      <c:layout/>
      <c:bubbleChart>
        <c:varyColors val="0"/>
        <c:ser>
          <c:idx val="1"/>
          <c:order val="0"/>
          <c:tx>
            <c:v>GOOGL</c:v>
          </c:tx>
          <c:spPr>
            <a:solidFill>
              <a:srgbClr val="E07B2A"/>
            </a:solidFill>
            <a:ln>
              <a:solidFill>
                <a:srgbClr val="4472C4"/>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'25 Peers and Priorities'!$C$6</c:f>
              <c:numCache>
                <c:formatCode>#,##0</c:formatCode>
                <c:ptCount val="1"/>
                <c:pt idx="0">
                  <c:v>132402</c:v>
                </c:pt>
              </c:numCache>
            </c:numRef>
          </c:xVal>
          <c:yVal>
            <c:numRef>
              <c:f>'25 Peers and Priorities'!$D$6</c:f>
              <c:numCache>
                <c:formatCode>#,##0</c:formatCode>
                <c:ptCount val="1"/>
                <c:pt idx="0">
                  <c:v>53273</c:v>
                </c:pt>
              </c:numCache>
            </c:numRef>
          </c:yVal>
          <c:bubbleSize>
            <c:numRef>
              <c:f>'25 Peers and Priorities'!$E$6</c:f>
              <c:numCache>
                <c:formatCode>#,##0</c:formatCode>
                <c:ptCount val="1"/>
                <c:pt idx="0">
                  <c:v>4165415.6999999997</c:v>
                </c:pt>
              </c:numCache>
            </c:numRef>
          </c:bubbleSize>
          <c:bubble3D val="0"/>
          <c:extLst>
            <c:ext xmlns:c16="http://schemas.microsoft.com/office/drawing/2014/chart" uri="{C3380CC4-5D6E-409C-BE32-E72D297353CC}">
              <c16:uniqueId val="{00000001-644D-4C61-B761-15762E318AE5}"/>
            </c:ext>
          </c:extLst>
        </c:ser>
        <c:ser>
          <c:idx val="2"/>
          <c:order val="1"/>
          <c:tx>
            <c:v>MSFT</c:v>
          </c:tx>
          <c:spPr>
            <a:solidFill>
              <a:srgbClr val="002F6C"/>
            </a:solidFill>
            <a:ln>
              <a:solidFill>
                <a:srgbClr val="2F75B5"/>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'25 Peers and Priorities'!$C$7</c:f>
              <c:numCache>
                <c:formatCode>#,##0</c:formatCode>
                <c:ptCount val="1"/>
                <c:pt idx="0">
                  <c:v>115950</c:v>
                </c:pt>
              </c:numCache>
            </c:numRef>
          </c:xVal>
          <c:yVal>
            <c:numRef>
              <c:f>'25 Peers and Priorities'!$D$7</c:f>
              <c:numCache>
                <c:formatCode>#,##0</c:formatCode>
                <c:ptCount val="1"/>
                <c:pt idx="0">
                  <c:v>66990</c:v>
                </c:pt>
              </c:numCache>
            </c:numRef>
          </c:yVal>
          <c:bubbleSize>
            <c:numRef>
              <c:f>'25 Peers and Priorities'!$E$7</c:f>
              <c:numCache>
                <c:formatCode>#,##0</c:formatCode>
                <c:ptCount val="1"/>
                <c:pt idx="0">
                  <c:v>3930000</c:v>
                </c:pt>
              </c:numCache>
            </c:numRef>
          </c:bubbleSize>
          <c:bubble3D val="0"/>
          <c:extLst>
            <c:ext xmlns:c16="http://schemas.microsoft.com/office/drawing/2014/chart" uri="{C3380CC4-5D6E-409C-BE32-E72D297353CC}">
              <c16:uniqueId val="{00000002-644D-4C61-B761-15762E318AE5}"/>
            </c:ext>
          </c:extLst>
        </c:ser>
        <c:ser>
          <c:idx val="3"/>
          <c:order val="2"/>
          <c:tx>
            <c:v>META</c:v>
          </c:tx>
          <c:spPr>
            <a:solidFill>
              <a:srgbClr val="002F6C"/>
            </a:solidFill>
            <a:ln>
              <a:solidFill>
                <a:srgbClr val="70AD47"/>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'25 Peers and Priorities'!$C$8</c:f>
              <c:numCache>
                <c:formatCode>#,##0</c:formatCode>
                <c:ptCount val="1"/>
                <c:pt idx="0">
                  <c:v>89330</c:v>
                </c:pt>
              </c:numCache>
            </c:numRef>
          </c:xVal>
          <c:yVal>
            <c:numRef>
              <c:f>'25 Peers and Priorities'!$D$8</c:f>
              <c:numCache>
                <c:formatCode>#,##0</c:formatCode>
                <c:ptCount val="1"/>
                <c:pt idx="0">
                  <c:v>40980</c:v>
                </c:pt>
              </c:numCache>
            </c:numRef>
          </c:yVal>
          <c:bubbleSize>
            <c:numRef>
              <c:f>'25 Peers and Priorities'!$E$8</c:f>
              <c:numCache>
                <c:formatCode>#,##0</c:formatCode>
                <c:ptCount val="1"/>
                <c:pt idx="0">
                  <c:v>1810000</c:v>
                </c:pt>
              </c:numCache>
            </c:numRef>
          </c:bubbleSize>
          <c:bubble3D val="0"/>
          <c:extLst>
            <c:ext xmlns:c16="http://schemas.microsoft.com/office/drawing/2014/chart" uri="{C3380CC4-5D6E-409C-BE32-E72D297353CC}">
              <c16:uniqueId val="{00000003-644D-4C61-B761-15762E318AE5}"/>
            </c:ext>
          </c:extLst>
        </c:ser>
        <c:ser>
          <c:idx val="4"/>
          <c:order val="3"/>
          <c:tx>
            <c:v>AMZN</c:v>
          </c:tx>
          <c:spPr>
            <a:solidFill>
              <a:srgbClr val="002F6C"/>
            </a:solidFill>
            <a:ln>
              <a:solidFill>
                <a:srgbClr val="ED7D31"/>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'25 Peers and Priorities'!$C$9</c:f>
              <c:numCache>
                <c:formatCode>#,##0</c:formatCode>
                <c:ptCount val="1"/>
                <c:pt idx="0">
                  <c:v>169007</c:v>
                </c:pt>
              </c:numCache>
            </c:numRef>
          </c:xVal>
          <c:yVal>
            <c:numRef>
              <c:f>'25 Peers and Priorities'!$D$9</c:f>
              <c:numCache>
                <c:formatCode>#,##0</c:formatCode>
                <c:ptCount val="1"/>
                <c:pt idx="0">
                  <c:v>-7604</c:v>
                </c:pt>
              </c:numCache>
            </c:numRef>
          </c:yVal>
          <c:bubbleSize>
            <c:numRef>
              <c:f>'25 Peers and Priorities'!$E$9</c:f>
              <c:numCache>
                <c:formatCode>#,##0</c:formatCode>
                <c:ptCount val="1"/>
                <c:pt idx="0">
                  <c:v>2700000</c:v>
                </c:pt>
              </c:numCache>
            </c:numRef>
          </c:bubbleSize>
          <c:bubble3D val="0"/>
          <c:extLst>
            <c:ext xmlns:c16="http://schemas.microsoft.com/office/drawing/2014/chart" uri="{C3380CC4-5D6E-409C-BE32-E72D297353CC}">
              <c16:uniqueId val="{00000004-644D-4C61-B761-15762E318AE5}"/>
            </c:ext>
          </c:extLst>
        </c:ser>
        <c:ser>
          <c:idx val="5"/>
          <c:order val="4"/>
          <c:tx>
            <c:v>AAPL</c:v>
          </c:tx>
          <c:spPr>
            <a:solidFill>
              <a:srgbClr val="8A94A6"/>
            </a:solidFill>
            <a:ln>
              <a:solidFill>
                <a:srgbClr val="FFC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'25 Peers and Priorities'!$C$10</c:f>
              <c:numCache>
                <c:formatCode>#,##0</c:formatCode>
                <c:ptCount val="1"/>
                <c:pt idx="0">
                  <c:v>10040</c:v>
                </c:pt>
              </c:numCache>
            </c:numRef>
          </c:xVal>
          <c:yVal>
            <c:numRef>
              <c:f>'25 Peers and Priorities'!$D$10</c:f>
              <c:numCache>
                <c:formatCode>#,##0</c:formatCode>
                <c:ptCount val="1"/>
                <c:pt idx="0">
                  <c:v>136680</c:v>
                </c:pt>
              </c:numCache>
            </c:numRef>
          </c:yVal>
          <c:bubbleSize>
            <c:numRef>
              <c:f>'25 Peers and Priorities'!$E$10</c:f>
              <c:numCache>
                <c:formatCode>#,##0</c:formatCode>
                <c:ptCount val="1"/>
                <c:pt idx="0">
                  <c:v>5010000</c:v>
                </c:pt>
              </c:numCache>
            </c:numRef>
          </c:bubbleSize>
          <c:bubble3D val="0"/>
          <c:extLst>
            <c:ext xmlns:c16="http://schemas.microsoft.com/office/drawing/2014/chart" uri="{C3380CC4-5D6E-409C-BE32-E72D297353CC}">
              <c16:uniqueId val="{00000005-644D-4C61-B761-15762E318AE5}"/>
            </c:ext>
          </c:extLst>
        </c:ser>
        <c:ser>
          <c:idx val="6"/>
          <c:order val="5"/>
          <c:tx>
            <c:v>NVDA</c:v>
          </c:tx>
          <c:spPr>
            <a:solidFill>
              <a:srgbClr val="8A94A6"/>
            </a:solidFill>
            <a:ln>
              <a:solidFill>
                <a:srgbClr val="C00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Arial"/>
                    <a:ea typeface="Arial"/>
                    <a:cs typeface="Arial"/>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'25 Peers and Priorities'!$C$11</c:f>
              <c:numCache>
                <c:formatCode>#,##0</c:formatCode>
                <c:ptCount val="1"/>
                <c:pt idx="0">
                  <c:v>7350</c:v>
                </c:pt>
              </c:numCache>
            </c:numRef>
          </c:xVal>
          <c:yVal>
            <c:numRef>
              <c:f>'25 Peers and Priorities'!$D$11</c:f>
              <c:numCache>
                <c:formatCode>#,##0</c:formatCode>
                <c:ptCount val="1"/>
                <c:pt idx="0">
                  <c:v>127010</c:v>
                </c:pt>
              </c:numCache>
            </c:numRef>
          </c:yVal>
          <c:bubbleSize>
            <c:numRef>
              <c:f>'25 Peers and Priorities'!$E$11</c:f>
              <c:numCache>
                <c:formatCode>#,##0</c:formatCode>
                <c:ptCount val="1"/>
                <c:pt idx="0">
                  <c:v>5170000</c:v>
                </c:pt>
              </c:numCache>
            </c:numRef>
          </c:bubbleSize>
          <c:bubble3D val="0"/>
          <c:extLst>
            <c:ext xmlns:c16="http://schemas.microsoft.com/office/drawing/2014/chart" uri="{C3380CC4-5D6E-409C-BE32-E72D297353CC}">
              <c16:uniqueId val="{00000006-644D-4C61-B761-15762E318AE5}"/>
            </c:ext>
          </c:extLst>
        </c:ser>
        <c:dLbls>
          <c:showLegendKey val="0"/>
          <c:showVal val="0"/>
          <c:showCatName val="0"/>
          <c:showSerName val="0"/>
          <c:showPercent val="0"/>
          <c:showBubbleSize val="0"/>
        </c:dLbls>
        <c:bubbleScale val="100"/>
        <c:showNegBubbles val="0"/>
        <c:axId val="1119663855"/>
        <c:axId val="970060367"/>
      </c:bubbleChart>
      <c:valAx>
        <c:axId val="1119663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rgbClr val="3C4858"/>
                    </a:solidFill>
                    <a:latin typeface="Arial"/>
                    <a:ea typeface="Arial"/>
                    <a:cs typeface="Arial"/>
                  </a:defRPr>
                </a:pPr>
                <a:r>
                  <a:rPr lang="en-US"/>
                  <a:t>TTM capex ($M)</a:t>
                </a:r>
              </a:p>
            </c:rich>
          </c:tx>
          <c:overlay val="0"/>
          <c:spPr>
            <a:noFill/>
            <a:ln>
              <a:noFill/>
            </a:ln>
            <a:effectLst/>
          </c:spPr>
          <c:txPr>
            <a:bodyPr rot="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title>
        <c:numFmt formatCode="#,##0" sourceLinked="0"/>
        <c:majorTickMark val="none"/>
        <c:minorTickMark val="none"/>
        <c:tickLblPos val="nextTo"/>
        <c:spPr>
          <a:noFill/>
          <a:ln w="9525" cap="flat" cmpd="sng" algn="ctr">
            <a:solidFill>
              <a:srgbClr val="B8C0CC"/>
            </a:solidFill>
            <a:prstDash val="solid"/>
            <a:round/>
          </a:ln>
          <a:effectLst/>
        </c:spPr>
        <c:txPr>
          <a:bodyPr rot="-600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crossAx val="970060367"/>
        <c:crosses val="autoZero"/>
        <c:crossBetween val="midCat"/>
      </c:valAx>
      <c:valAx>
        <c:axId val="970060367"/>
        <c:scaling>
          <c:orientation val="minMax"/>
        </c:scaling>
        <c:delete val="0"/>
        <c:axPos val="l"/>
        <c:majorGridlines>
          <c:spPr>
            <a:ln w="9525" cap="flat" cmpd="sng" algn="ctr">
              <a:solidFill>
                <a:srgbClr val="E3E7ED"/>
              </a:solidFill>
              <a:prstDash val="solid"/>
              <a:round/>
            </a:ln>
            <a:effectLst/>
          </c:spPr>
        </c:majorGridlines>
        <c:title>
          <c:tx>
            <c:rich>
              <a:bodyPr rot="-5400000" spcFirstLastPara="1" vertOverflow="ellipsis" vert="horz" wrap="square" anchor="ctr" anchorCtr="1"/>
              <a:lstStyle/>
              <a:p>
                <a:pPr>
                  <a:defRPr sz="800" b="0" i="0" u="none" strike="noStrike" kern="1200" baseline="0">
                    <a:solidFill>
                      <a:srgbClr val="3C4858"/>
                    </a:solidFill>
                    <a:latin typeface="Arial"/>
                    <a:ea typeface="Arial"/>
                    <a:cs typeface="Arial"/>
                  </a:defRPr>
                </a:pPr>
                <a:r>
                  <a:rPr lang="en-US"/>
                  <a:t>TTM free cash flow ($M)</a:t>
                </a:r>
              </a:p>
            </c:rich>
          </c:tx>
          <c:overlay val="0"/>
          <c:spPr>
            <a:noFill/>
            <a:ln>
              <a:noFill/>
            </a:ln>
            <a:effectLst/>
          </c:spPr>
          <c:txPr>
            <a:bodyPr rot="-5400000" spcFirstLastPara="1" vertOverflow="ellipsis" vert="horz" wrap="square" anchor="ctr" anchorCtr="1"/>
            <a:lstStyle/>
            <a:p>
              <a:pPr>
                <a:defRPr sz="800" b="0" i="0" u="none" strike="noStrike" kern="1200" baseline="0">
                  <a:solidFill>
                    <a:srgbClr val="3C4858"/>
                  </a:solidFill>
                  <a:latin typeface="Arial"/>
                  <a:ea typeface="Arial"/>
                  <a:cs typeface="Arial"/>
                </a:defRPr>
              </a:pPr>
              <a:endParaRPr lang="en-US"/>
            </a:p>
          </c:txPr>
        </c:title>
        <c:numFmt formatCode="#,##0" sourceLinked="0"/>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rgbClr val="3C4858"/>
                </a:solidFill>
                <a:latin typeface="Arial"/>
                <a:ea typeface="Arial"/>
                <a:cs typeface="Arial"/>
              </a:defRPr>
            </a:pPr>
            <a:endParaRPr lang="en-US"/>
          </a:p>
        </c:txPr>
        <c:crossAx val="1119663855"/>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5DBE3"/>
      </a:solidFill>
      <a:prstDash val="solid"/>
      <a:round/>
    </a:ln>
    <a:effectLst/>
  </c:spPr>
  <c:txPr>
    <a:bodyPr/>
    <a:lstStyle/>
    <a:p>
      <a:pPr>
        <a:defRPr sz="900">
          <a:solidFill>
            <a:srgbClr val="3C4858"/>
          </a:solidFill>
          <a:latin typeface="Arial"/>
          <a:ea typeface="Arial"/>
          <a:cs typeface="Arial"/>
        </a:defRPr>
      </a:pPr>
      <a:endParaRPr lang="en-US"/>
    </a:p>
  </c:txPr>
  <c:printSettings>
    <c:headerFooter/>
    <c:pageMargins b="0.75" l="0.7" r="0.7" t="0.75" header="0.3" footer="0.3"/>
    <c:pageSetup orientation="landscape" verticalDpi="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0</xdr:colOff>
      <xdr:row>29</xdr:row>
      <xdr:rowOff>36195</xdr:rowOff>
    </xdr:from>
    <xdr:to>
      <xdr:col>13</xdr:col>
      <xdr:colOff>101600</xdr:colOff>
      <xdr:row>43</xdr:row>
      <xdr:rowOff>165100</xdr:rowOff>
    </xdr:to>
    <xdr:graphicFrame macro="">
      <xdr:nvGraphicFramePr>
        <xdr:cNvPr id="2" name="DCF Scenario Values">
          <a:extLst>
            <a:ext uri="{FF2B5EF4-FFF2-40B4-BE49-F238E27FC236}">
              <a16:creationId xmlns:a16="http://schemas.microsoft.com/office/drawing/2014/main" id="{4FA7E2AD-B919-6734-CD11-35A6D54F2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152399</xdr:colOff>
      <xdr:row>16</xdr:row>
      <xdr:rowOff>5080</xdr:rowOff>
    </xdr:from>
    <xdr:to>
      <xdr:col>5</xdr:col>
      <xdr:colOff>116839</xdr:colOff>
      <xdr:row>36</xdr:row>
      <xdr:rowOff>157480</xdr:rowOff>
    </xdr:to>
    <xdr:graphicFrame macro="">
      <xdr:nvGraphicFramePr>
        <xdr:cNvPr id="2" name="EPS Quality">
          <a:extLst>
            <a:ext uri="{FF2B5EF4-FFF2-40B4-BE49-F238E27FC236}">
              <a16:creationId xmlns:a16="http://schemas.microsoft.com/office/drawing/2014/main" id="{399C442D-0CC0-6954-242F-6372FDDAE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243840</xdr:colOff>
      <xdr:row>16</xdr:row>
      <xdr:rowOff>5080</xdr:rowOff>
    </xdr:from>
    <xdr:to>
      <xdr:col>11</xdr:col>
      <xdr:colOff>269240</xdr:colOff>
      <xdr:row>36</xdr:row>
      <xdr:rowOff>157480</xdr:rowOff>
    </xdr:to>
    <xdr:graphicFrame macro="">
      <xdr:nvGraphicFramePr>
        <xdr:cNvPr id="3" name="PE Distortion">
          <a:extLst>
            <a:ext uri="{FF2B5EF4-FFF2-40B4-BE49-F238E27FC236}">
              <a16:creationId xmlns:a16="http://schemas.microsoft.com/office/drawing/2014/main" id="{6DA07FF5-BDD7-6556-CE76-E9B0D99BF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177800</xdr:rowOff>
    </xdr:from>
    <xdr:to>
      <xdr:col>11</xdr:col>
      <xdr:colOff>269240</xdr:colOff>
      <xdr:row>60</xdr:row>
      <xdr:rowOff>35560</xdr:rowOff>
    </xdr:to>
    <xdr:graphicFrame macro="">
      <xdr:nvGraphicFramePr>
        <xdr:cNvPr id="4" name="EPS Waterfall">
          <a:extLst>
            <a:ext uri="{FF2B5EF4-FFF2-40B4-BE49-F238E27FC236}">
              <a16:creationId xmlns:a16="http://schemas.microsoft.com/office/drawing/2014/main" id="{8519DFD4-D3D0-5EF8-5F17-B3A7A5D1B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152399</xdr:colOff>
      <xdr:row>16</xdr:row>
      <xdr:rowOff>5080</xdr:rowOff>
    </xdr:from>
    <xdr:to>
      <xdr:col>5</xdr:col>
      <xdr:colOff>238759</xdr:colOff>
      <xdr:row>36</xdr:row>
      <xdr:rowOff>157480</xdr:rowOff>
    </xdr:to>
    <xdr:graphicFrame macro="">
      <xdr:nvGraphicFramePr>
        <xdr:cNvPr id="2" name="Operating Scale">
          <a:extLst>
            <a:ext uri="{FF2B5EF4-FFF2-40B4-BE49-F238E27FC236}">
              <a16:creationId xmlns:a16="http://schemas.microsoft.com/office/drawing/2014/main" id="{58FE28D4-EE70-E478-9957-09D8FFD5C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16</xdr:row>
      <xdr:rowOff>5080</xdr:rowOff>
    </xdr:from>
    <xdr:to>
      <xdr:col>11</xdr:col>
      <xdr:colOff>391160</xdr:colOff>
      <xdr:row>36</xdr:row>
      <xdr:rowOff>157480</xdr:rowOff>
    </xdr:to>
    <xdr:graphicFrame macro="">
      <xdr:nvGraphicFramePr>
        <xdr:cNvPr id="3" name="Segment Mix">
          <a:extLst>
            <a:ext uri="{FF2B5EF4-FFF2-40B4-BE49-F238E27FC236}">
              <a16:creationId xmlns:a16="http://schemas.microsoft.com/office/drawing/2014/main" id="{90FFAB06-64F5-69BA-9829-78CC57EC2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177800</xdr:rowOff>
    </xdr:from>
    <xdr:to>
      <xdr:col>11</xdr:col>
      <xdr:colOff>391160</xdr:colOff>
      <xdr:row>60</xdr:row>
      <xdr:rowOff>35560</xdr:rowOff>
    </xdr:to>
    <xdr:graphicFrame macro="">
      <xdr:nvGraphicFramePr>
        <xdr:cNvPr id="4" name="Revenue Waterfall">
          <a:extLst>
            <a:ext uri="{FF2B5EF4-FFF2-40B4-BE49-F238E27FC236}">
              <a16:creationId xmlns:a16="http://schemas.microsoft.com/office/drawing/2014/main" id="{1BE6D848-AEA4-318B-981D-57C49E229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152399</xdr:colOff>
      <xdr:row>16</xdr:row>
      <xdr:rowOff>5080</xdr:rowOff>
    </xdr:from>
    <xdr:to>
      <xdr:col>5</xdr:col>
      <xdr:colOff>238759</xdr:colOff>
      <xdr:row>36</xdr:row>
      <xdr:rowOff>157480</xdr:rowOff>
    </xdr:to>
    <xdr:graphicFrame macro="">
      <xdr:nvGraphicFramePr>
        <xdr:cNvPr id="2" name="Cash Conversion">
          <a:extLst>
            <a:ext uri="{FF2B5EF4-FFF2-40B4-BE49-F238E27FC236}">
              <a16:creationId xmlns:a16="http://schemas.microsoft.com/office/drawing/2014/main" id="{9F17F17D-D11A-5D7C-2B25-95935C09F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365760</xdr:colOff>
      <xdr:row>16</xdr:row>
      <xdr:rowOff>5080</xdr:rowOff>
    </xdr:from>
    <xdr:to>
      <xdr:col>11</xdr:col>
      <xdr:colOff>391160</xdr:colOff>
      <xdr:row>36</xdr:row>
      <xdr:rowOff>157480</xdr:rowOff>
    </xdr:to>
    <xdr:graphicFrame macro="">
      <xdr:nvGraphicFramePr>
        <xdr:cNvPr id="3" name="Margin Path">
          <a:extLst>
            <a:ext uri="{FF2B5EF4-FFF2-40B4-BE49-F238E27FC236}">
              <a16:creationId xmlns:a16="http://schemas.microsoft.com/office/drawing/2014/main" id="{D3C027A4-71CC-4007-7735-CBDDF9D5E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177800</xdr:rowOff>
    </xdr:from>
    <xdr:to>
      <xdr:col>11</xdr:col>
      <xdr:colOff>391160</xdr:colOff>
      <xdr:row>58</xdr:row>
      <xdr:rowOff>147320</xdr:rowOff>
    </xdr:to>
    <xdr:graphicFrame macro="">
      <xdr:nvGraphicFramePr>
        <xdr:cNvPr id="4" name="Depreciation Ramp">
          <a:extLst>
            <a:ext uri="{FF2B5EF4-FFF2-40B4-BE49-F238E27FC236}">
              <a16:creationId xmlns:a16="http://schemas.microsoft.com/office/drawing/2014/main" id="{B9BCD166-511F-8FF7-7995-BE08959DA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365760</xdr:colOff>
      <xdr:row>24</xdr:row>
      <xdr:rowOff>2540</xdr:rowOff>
    </xdr:from>
    <xdr:to>
      <xdr:col>11</xdr:col>
      <xdr:colOff>391160</xdr:colOff>
      <xdr:row>44</xdr:row>
      <xdr:rowOff>154940</xdr:rowOff>
    </xdr:to>
    <xdr:graphicFrame macro="">
      <xdr:nvGraphicFramePr>
        <xdr:cNvPr id="2" name="EPIC Priority">
          <a:extLst>
            <a:ext uri="{FF2B5EF4-FFF2-40B4-BE49-F238E27FC236}">
              <a16:creationId xmlns:a16="http://schemas.microsoft.com/office/drawing/2014/main" id="{72B37F41-F18D-7529-19A2-B05F21597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24</xdr:row>
      <xdr:rowOff>2540</xdr:rowOff>
    </xdr:from>
    <xdr:to>
      <xdr:col>5</xdr:col>
      <xdr:colOff>238760</xdr:colOff>
      <xdr:row>44</xdr:row>
      <xdr:rowOff>154940</xdr:rowOff>
    </xdr:to>
    <xdr:graphicFrame macro="">
      <xdr:nvGraphicFramePr>
        <xdr:cNvPr id="3" name="Peer Capital Efficiency">
          <a:extLst>
            <a:ext uri="{FF2B5EF4-FFF2-40B4-BE49-F238E27FC236}">
              <a16:creationId xmlns:a16="http://schemas.microsoft.com/office/drawing/2014/main" id="{92947074-493B-74C5-D681-2CBF94AEA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17" Type="http://schemas.openxmlformats.org/officeDocument/2006/relationships/hyperlink" Target="https://public.com/stocks/googl/pe-ratio" TargetMode="External"/><Relationship Id="rId21" Type="http://schemas.openxmlformats.org/officeDocument/2006/relationships/hyperlink" Target="https://www.sec.gov/Archives/edgar/data/0001652044/000165204426000012/googexhibit991q42025.htm" TargetMode="External"/><Relationship Id="rId42" Type="http://schemas.openxmlformats.org/officeDocument/2006/relationships/hyperlink" Target="https://www.bloomberg.com/news/articles/2026-06-24/google-poised-to-lose-two-more-high-profile-ai-staffers-to-anthropic" TargetMode="External"/><Relationship Id="rId63" Type="http://schemas.openxmlformats.org/officeDocument/2006/relationships/hyperlink" Target="https://www.cnbc.com/2026/04/29/microsoft-msft-q3-earnings-report-2026.html" TargetMode="External"/><Relationship Id="rId84" Type="http://schemas.openxmlformats.org/officeDocument/2006/relationships/hyperlink" Target="https://techcrunch.com/2026/03/11/google-completes-32b-acquisition-of-wiz/" TargetMode="External"/><Relationship Id="rId138" Type="http://schemas.openxmlformats.org/officeDocument/2006/relationships/hyperlink" Target="https://www.mwe.com/insights/the-saga-continues-european-commission-fines-google-e2-95-billion-for-self-preferencing-conflicts-of-interests-in-the-adtech-market/" TargetMode="External"/><Relationship Id="rId159" Type="http://schemas.openxmlformats.org/officeDocument/2006/relationships/hyperlink" Target="https://www.searchenginejournal.com/google-search-revenue-grew-19-in-q1-pichai-cites-ai/573378/" TargetMode="External"/><Relationship Id="rId170" Type="http://schemas.openxmlformats.org/officeDocument/2006/relationships/hyperlink" Target="https://www.fool.com/earnings/call-transcripts/2026/02/04/alphabet-googl-q4-2025-earnings-call-transcript/" TargetMode="External"/><Relationship Id="rId191" Type="http://schemas.openxmlformats.org/officeDocument/2006/relationships/hyperlink" Target="https://www.slickcharts.com/sp500/returns" TargetMode="External"/><Relationship Id="rId205" Type="http://schemas.openxmlformats.org/officeDocument/2006/relationships/printerSettings" Target="../printerSettings/printerSettings19.bin"/><Relationship Id="rId107" Type="http://schemas.openxmlformats.org/officeDocument/2006/relationships/hyperlink" Target="https://finance.yahoo.com/news/alphabets-ai-surge-makes-4th-001041767.html" TargetMode="External"/><Relationship Id="rId11" Type="http://schemas.openxmlformats.org/officeDocument/2006/relationships/hyperlink" Target="https://gs.statcounter.com/search-engine-market-share" TargetMode="External"/><Relationship Id="rId32" Type="http://schemas.openxmlformats.org/officeDocument/2006/relationships/hyperlink" Target="https://www.sec.gov/Archives/edgar/data/0001326801/000162828026028364/meta-03312026xexhibit991.htm" TargetMode="External"/><Relationship Id="rId53" Type="http://schemas.openxmlformats.org/officeDocument/2006/relationships/hyperlink" Target="https://www.cnbc.com/2026/06/04/stock-market-today-live-updates.html" TargetMode="External"/><Relationship Id="rId74" Type="http://schemas.openxmlformats.org/officeDocument/2006/relationships/hyperlink" Target="https://fortune.com/2025/05/08/apple-eddy-cue-testimony-google-alphabet-safari-ai-search-features/" TargetMode="External"/><Relationship Id="rId128" Type="http://schemas.openxmlformats.org/officeDocument/2006/relationships/hyperlink" Target="https://stockanalysis.com/stocks/msft/statistics/" TargetMode="External"/><Relationship Id="rId149" Type="http://schemas.openxmlformats.org/officeDocument/2006/relationships/hyperlink" Target="https://digiday.com/media/googles-ai-overviews-reach-over-2-billion-monthly-users/" TargetMode="External"/><Relationship Id="rId5" Type="http://schemas.openxmlformats.org/officeDocument/2006/relationships/hyperlink" Target="https://blog.google/company-news/inside-google/message-ceo/alphabet-earnings-q1-2026/" TargetMode="External"/><Relationship Id="rId95" Type="http://schemas.openxmlformats.org/officeDocument/2006/relationships/hyperlink" Target="https://www.emarketer.com/content/ai-search-ads-surge-forward-while-advertisers-wait-proof" TargetMode="External"/><Relationship Id="rId160" Type="http://schemas.openxmlformats.org/officeDocument/2006/relationships/hyperlink" Target="https://www.searchenginejournal.com/google-claims-ai-overviews-monetize-at-same-rate-as-traditional-search/547838/" TargetMode="External"/><Relationship Id="rId181" Type="http://schemas.openxmlformats.org/officeDocument/2006/relationships/hyperlink" Target="https://www.cnn.com/2025/12/31/investing/year-gains-us-stock-market" TargetMode="External"/><Relationship Id="rId22" Type="http://schemas.openxmlformats.org/officeDocument/2006/relationships/hyperlink" Target="https://www.sec.gov/Archives/edgar/data/0001652044/000165204426000043/googexhibit991q12026.htm" TargetMode="External"/><Relationship Id="rId43" Type="http://schemas.openxmlformats.org/officeDocument/2006/relationships/hyperlink" Target="https://www.bloomberg.com/news/articles/2026-06-24/alphabet-s-dow-debut-shows-index-headache-in-tech-driven-economy" TargetMode="External"/><Relationship Id="rId64" Type="http://schemas.openxmlformats.org/officeDocument/2006/relationships/hyperlink" Target="https://www.cnbc.com/2025/11/07/googles-decade-long-bet-on-tpus-companys-secret-weapon-in-ai-race.html" TargetMode="External"/><Relationship Id="rId118" Type="http://schemas.openxmlformats.org/officeDocument/2006/relationships/hyperlink" Target="https://www.similarweb.com/website/chatgpt.com/" TargetMode="External"/><Relationship Id="rId139" Type="http://schemas.openxmlformats.org/officeDocument/2006/relationships/hyperlink" Target="https://www.steptoe.com/en/news-publications/stepahead-antitrust-and-competition-insights/cma-completes-its-initial-designations-in-mobile-ecosystems-and-search.html" TargetMode="External"/><Relationship Id="rId85" Type="http://schemas.openxmlformats.org/officeDocument/2006/relationships/hyperlink" Target="https://techcrunch.com/2025/12/11/epic-gamess-fortnite-is-back-in-us-google-play-store-as-court-partially-reverses-restrictions-it-won-on-ios/" TargetMode="External"/><Relationship Id="rId150" Type="http://schemas.openxmlformats.org/officeDocument/2006/relationships/hyperlink" Target="https://www.digitimes.com/news/a20260427PD236/nvidia-ai-chip-google-tpu-anthropic.html" TargetMode="External"/><Relationship Id="rId171" Type="http://schemas.openxmlformats.org/officeDocument/2006/relationships/hyperlink" Target="https://www.fool.com/earnings/call-transcripts/2026/04/29/alphabet-googl-q1-2026-earnings-call-transcript/" TargetMode="External"/><Relationship Id="rId192" Type="http://schemas.openxmlformats.org/officeDocument/2006/relationships/hyperlink" Target="https://www.slickcharts.com/nasdaq100/returns" TargetMode="External"/><Relationship Id="rId12" Type="http://schemas.openxmlformats.org/officeDocument/2006/relationships/hyperlink" Target="https://www.justice.gov/opa/pr/department-justice-prevails-landmark-antitrust-case-against-google" TargetMode="External"/><Relationship Id="rId33" Type="http://schemas.openxmlformats.org/officeDocument/2006/relationships/hyperlink" Target="https://www.sec.gov/Archives/edgar/data/1652044/000165204426000018/R31.htm" TargetMode="External"/><Relationship Id="rId108" Type="http://schemas.openxmlformats.org/officeDocument/2006/relationships/hyperlink" Target="https://finance.yahoo.com/quote/GOOGL/" TargetMode="External"/><Relationship Id="rId129" Type="http://schemas.openxmlformats.org/officeDocument/2006/relationships/hyperlink" Target="https://stockanalysis.com/stocks/meta/statistics/" TargetMode="External"/><Relationship Id="rId54" Type="http://schemas.openxmlformats.org/officeDocument/2006/relationships/hyperlink" Target="https://www.cnbc.com/2026/06/05/alphabet-ai-data-center-financing.html" TargetMode="External"/><Relationship Id="rId75" Type="http://schemas.openxmlformats.org/officeDocument/2006/relationships/hyperlink" Target="https://fortune.com/2025/09/04/google-stock-hits-all-time-high-after-antitrust-chrome-ai-competition/" TargetMode="External"/><Relationship Id="rId96" Type="http://schemas.openxmlformats.org/officeDocument/2006/relationships/hyperlink" Target="https://www.emarketer.com/content/marketers-expect-ai-chip-away-google-s-search-dominance" TargetMode="External"/><Relationship Id="rId140" Type="http://schemas.openxmlformats.org/officeDocument/2006/relationships/hyperlink" Target="https://www.adexchanger.com/antitrust/the-doj-and-google-sharpen-their-remedy-proposals-as-the-two-sides-prepare-for-closing-arguments/" TargetMode="External"/><Relationship Id="rId161" Type="http://schemas.openxmlformats.org/officeDocument/2006/relationships/hyperlink" Target="https://searchengineland.com/doj-states-appeal-google-search-antitrust-remedies-ruling-468230" TargetMode="External"/><Relationship Id="rId182" Type="http://schemas.openxmlformats.org/officeDocument/2006/relationships/hyperlink" Target="https://www.digitalapplied.com/blog/google-ai-mode-75m-users-ads-in-ai-results-2026" TargetMode="External"/><Relationship Id="rId6" Type="http://schemas.openxmlformats.org/officeDocument/2006/relationships/hyperlink" Target="https://cloud.google.com/blog/products/compute/ironwood-tpus-and-new-axion-based-vms-for-your-ai-workloads" TargetMode="External"/><Relationship Id="rId23" Type="http://schemas.openxmlformats.org/officeDocument/2006/relationships/hyperlink" Target="https://www.sec.gov/cgi-bin/browse-edgar?action=getcompany&amp;CIK=0001652044&amp;type=10-K" TargetMode="External"/><Relationship Id="rId119" Type="http://schemas.openxmlformats.org/officeDocument/2006/relationships/hyperlink" Target="https://simplywall.st/stocks/us/media/nasdaq-googl/alphabet" TargetMode="External"/><Relationship Id="rId44" Type="http://schemas.openxmlformats.org/officeDocument/2006/relationships/hyperlink" Target="https://www.cnbc.com/2025/12/30/stock-market-today-live-updates.html" TargetMode="External"/><Relationship Id="rId65" Type="http://schemas.openxmlformats.org/officeDocument/2006/relationships/hyperlink" Target="https://www.cnbc.com/2025/11/25/nvidia-says-its-gpus-are-a-generation-ahead-of-googles-ai-chips.html" TargetMode="External"/><Relationship Id="rId86" Type="http://schemas.openxmlformats.org/officeDocument/2006/relationships/hyperlink" Target="https://techcrunch.com/2025/12/17/google-launches-gemini-3-flash-makes-it-the-default-model-in-the-gemini-app/" TargetMode="External"/><Relationship Id="rId130" Type="http://schemas.openxmlformats.org/officeDocument/2006/relationships/hyperlink" Target="https://stockanalysis.com/stocks/amzn/statistics/" TargetMode="External"/><Relationship Id="rId151" Type="http://schemas.openxmlformats.org/officeDocument/2006/relationships/hyperlink" Target="https://www.hpcwire.com/off-the-wire/alphabet-announces-80b-capital-raise-including-10b-berkshire-hathaway-investment/" TargetMode="External"/><Relationship Id="rId172" Type="http://schemas.openxmlformats.org/officeDocument/2006/relationships/hyperlink" Target="https://www.nasdaq.com/articles/global-indexes/2025-nasdaq-100-reconstitution-and-performance-highlights" TargetMode="External"/><Relationship Id="rId193" Type="http://schemas.openxmlformats.org/officeDocument/2006/relationships/hyperlink" Target="https://www.stocktitan.net/sec-filings/GOOGL/8-k-alphabet-inc-reports-material-event-99e4ee982355.html" TargetMode="External"/><Relationship Id="rId13" Type="http://schemas.openxmlformats.org/officeDocument/2006/relationships/hyperlink" Target="https://www.justice.gov/opa/pr/department-justice-wins-significant-remedies-against-google" TargetMode="External"/><Relationship Id="rId109" Type="http://schemas.openxmlformats.org/officeDocument/2006/relationships/hyperlink" Target="https://finance.yahoo.com/markets/stocks/articles/alphabet-q1-2026-earnings-google-202101883.html" TargetMode="External"/><Relationship Id="rId34" Type="http://schemas.openxmlformats.org/officeDocument/2006/relationships/hyperlink" Target="https://www.sec.gov/Archives/edgar/data/1652044/000165204426000071/R26.htm" TargetMode="External"/><Relationship Id="rId55" Type="http://schemas.openxmlformats.org/officeDocument/2006/relationships/hyperlink" Target="https://www.cnbc.com/2026/04/29/alphabet-googl-q1-2026-earnings.html" TargetMode="External"/><Relationship Id="rId76" Type="http://schemas.openxmlformats.org/officeDocument/2006/relationships/hyperlink" Target="https://fortune.com/2026/08/27/google-deepmind-losing-talent-to-rival-ai-labs-startups-new-data-show/" TargetMode="External"/><Relationship Id="rId97" Type="http://schemas.openxmlformats.org/officeDocument/2006/relationships/hyperlink" Target="https://futurumgroup.com/insights/microsoft-q3-fy-2026-earnings-show-cloud-growth-with-capacity-still-tight/" TargetMode="External"/><Relationship Id="rId120" Type="http://schemas.openxmlformats.org/officeDocument/2006/relationships/hyperlink" Target="https://www.statista.com/statistics/478176/google-public-cloud-revenue/" TargetMode="External"/><Relationship Id="rId141" Type="http://schemas.openxmlformats.org/officeDocument/2006/relationships/hyperlink" Target="https://www.adexchanger.com/antitrust/google-wont-have-to-break-up-its-ad-tech-business-judge-brinkema-rules/" TargetMode="External"/><Relationship Id="rId7" Type="http://schemas.openxmlformats.org/officeDocument/2006/relationships/hyperlink" Target="https://digital-markets-act.ec.europa.eu/commission-fines-google-eur890-million-breaches-digital-markets-act-2026-07-23_en" TargetMode="External"/><Relationship Id="rId162" Type="http://schemas.openxmlformats.org/officeDocument/2006/relationships/hyperlink" Target="https://searchengineland.com/google-ai-overviews-hurting-clicks-study-459434" TargetMode="External"/><Relationship Id="rId183" Type="http://schemas.openxmlformats.org/officeDocument/2006/relationships/hyperlink" Target="https://electrek.co/2026/02/02/waymo-raises-16-billion-round-at-126-billion-valuation-plans-expansion/" TargetMode="External"/><Relationship Id="rId24" Type="http://schemas.openxmlformats.org/officeDocument/2006/relationships/hyperlink" Target="https://www.sec.gov/Archives/edgar/data/0001652044/000165204425000091/goog-20250930.htm" TargetMode="External"/><Relationship Id="rId40" Type="http://schemas.openxmlformats.org/officeDocument/2006/relationships/hyperlink" Target="https://www.bloomberg.com/news/articles/2025-05-09/alphabet-shares-take-120-billion-blow-as-search-warnings-blare" TargetMode="External"/><Relationship Id="rId45" Type="http://schemas.openxmlformats.org/officeDocument/2006/relationships/hyperlink" Target="https://www.cnbc.com/2024/08/05/google-loses-antitrust-case-over-search.html" TargetMode="External"/><Relationship Id="rId66" Type="http://schemas.openxmlformats.org/officeDocument/2006/relationships/hyperlink" Target="https://www.cnbc.com/2026/06/23/alphabet-verizon-dow-djia.html" TargetMode="External"/><Relationship Id="rId87" Type="http://schemas.openxmlformats.org/officeDocument/2006/relationships/hyperlink" Target="https://techcrunch.com/2025/09/06/eu-fines-google-3-5b-over-adtech-abuse/" TargetMode="External"/><Relationship Id="rId110" Type="http://schemas.openxmlformats.org/officeDocument/2006/relationships/hyperlink" Target="https://finance.yahoo.com/news/oracles-35b-capex-plan-ensure-150300800.html" TargetMode="External"/><Relationship Id="rId115" Type="http://schemas.openxmlformats.org/officeDocument/2006/relationships/hyperlink" Target="https://www.marketbeat.com/stocks/NASDAQ/GOOGL/forecast/" TargetMode="External"/><Relationship Id="rId131" Type="http://schemas.openxmlformats.org/officeDocument/2006/relationships/hyperlink" Target="https://stockanalysis.com/stocks/aapl/statistics/" TargetMode="External"/><Relationship Id="rId136" Type="http://schemas.openxmlformats.org/officeDocument/2006/relationships/hyperlink" Target="https://www.hugheshubbard.com/news/court-issues-remedies-ruling-in-united-states-v-google-search-case" TargetMode="External"/><Relationship Id="rId157" Type="http://schemas.openxmlformats.org/officeDocument/2006/relationships/hyperlink" Target="https://ppc.land/google-files-appeal-challenging-six-year-search-remedies/" TargetMode="External"/><Relationship Id="rId178" Type="http://schemas.openxmlformats.org/officeDocument/2006/relationships/hyperlink" Target="https://capital.com/en-int/market-updates/alphabet-stock-forecast-19-03-2026" TargetMode="External"/><Relationship Id="rId61" Type="http://schemas.openxmlformats.org/officeDocument/2006/relationships/hyperlink" Target="https://www.cnbc.com/2026/07/30/amazon-amzn-q2-earnings-report-2026.html" TargetMode="External"/><Relationship Id="rId82" Type="http://schemas.openxmlformats.org/officeDocument/2006/relationships/hyperlink" Target="https://www.semafor.com/article/07/23/2026/alphabets-free-cash-flow-turns-negative" TargetMode="External"/><Relationship Id="rId152" Type="http://schemas.openxmlformats.org/officeDocument/2006/relationships/hyperlink" Target="https://www.hpcwire.com/off-the-wire/anthropic-signs-google-broadcom-deal-to-add-multi-gigawatt-tpu-capacity/" TargetMode="External"/><Relationship Id="rId173" Type="http://schemas.openxmlformats.org/officeDocument/2006/relationships/hyperlink" Target="https://www.scotusblog.com/2025/10/justices-side-against-google/" TargetMode="External"/><Relationship Id="rId194" Type="http://schemas.openxmlformats.org/officeDocument/2006/relationships/hyperlink" Target="https://www.techi.com/magnificent-seven-stocks/" TargetMode="External"/><Relationship Id="rId199" Type="http://schemas.openxmlformats.org/officeDocument/2006/relationships/hyperlink" Target="https://www.tradingview.com/news/marketbeat:d314450fd094b:0-alphabet-s-pullback-a-second-chance-for-long-term-investors/" TargetMode="External"/><Relationship Id="rId203" Type="http://schemas.openxmlformats.org/officeDocument/2006/relationships/hyperlink" Target="https://winbuzzer.com/2026/04/09/anthropic-triples-google-tpu-deal-to-35gw-as-revenue-hits-30-xcxwbn/" TargetMode="External"/><Relationship Id="rId19" Type="http://schemas.openxmlformats.org/officeDocument/2006/relationships/hyperlink" Target="https://s206.q4cdn.com/479360582/files/doc_financials/2026/q2/2026q2-alphabet-earnings-slides.pdf" TargetMode="External"/><Relationship Id="rId14" Type="http://schemas.openxmlformats.org/officeDocument/2006/relationships/hyperlink" Target="https://www.justice.gov/atr/case/us-and-plaintiff-states-v-google-llc" TargetMode="External"/><Relationship Id="rId30" Type="http://schemas.openxmlformats.org/officeDocument/2006/relationships/hyperlink" Target="https://www.sec.gov/Archives/edgar/data/0001652044/000119312526254490/d110089dfwp.htm" TargetMode="External"/><Relationship Id="rId35" Type="http://schemas.openxmlformats.org/officeDocument/2006/relationships/hyperlink" Target="https://www.sec.gov/Archives/edgar/data/1652044/000165204426000071/R64.htm" TargetMode="External"/><Relationship Id="rId56" Type="http://schemas.openxmlformats.org/officeDocument/2006/relationships/hyperlink" Target="https://www.cnbc.com/2025/11/25/nvidia-shares-today-google-meta-ai-chip-report.html" TargetMode="External"/><Relationship Id="rId77" Type="http://schemas.openxmlformats.org/officeDocument/2006/relationships/hyperlink" Target="https://fortune.com/2026/04/29/meta-zuckerberg-145-billion-ai-spending-roi/" TargetMode="External"/><Relationship Id="rId100" Type="http://schemas.openxmlformats.org/officeDocument/2006/relationships/hyperlink" Target="https://www.goldmansachs.com/insights/articles/tracking-trillions-the-assumptions-shaping-scale-of-the-ai-build-out" TargetMode="External"/><Relationship Id="rId105" Type="http://schemas.openxmlformats.org/officeDocument/2006/relationships/hyperlink" Target="https://finance.yahoo.com/quote/%5EGSPC/history/" TargetMode="External"/><Relationship Id="rId126" Type="http://schemas.openxmlformats.org/officeDocument/2006/relationships/hyperlink" Target="https://stockanalysis.com/stocks/googl/statistics/" TargetMode="External"/><Relationship Id="rId147" Type="http://schemas.openxmlformats.org/officeDocument/2006/relationships/hyperlink" Target="https://www.datacenterdynamics.com/en/news/ai-startup-safe-superintelligence-to-use-googles-tpu-chips-for-research/" TargetMode="External"/><Relationship Id="rId168" Type="http://schemas.openxmlformats.org/officeDocument/2006/relationships/hyperlink" Target="https://virtualizationreview.com/articles/2025/08/19/mit-report-finds-most-ai-business-investments-fail-reveals-genai-divide.aspx" TargetMode="External"/><Relationship Id="rId8" Type="http://schemas.openxmlformats.org/officeDocument/2006/relationships/hyperlink" Target="https://www.dwarkesh.com/p/jensen-huang" TargetMode="External"/><Relationship Id="rId51" Type="http://schemas.openxmlformats.org/officeDocument/2006/relationships/hyperlink" Target="https://www.cnbc.com/2026/01/12/alphabet-4-trillion-market-cap.html" TargetMode="External"/><Relationship Id="rId72" Type="http://schemas.openxmlformats.org/officeDocument/2006/relationships/hyperlink" Target="https://fortune.com/longform/google-cfo-ruth-porat-most-powerful-women/" TargetMode="External"/><Relationship Id="rId93" Type="http://schemas.openxmlformats.org/officeDocument/2006/relationships/hyperlink" Target="https://www.dentsu.com/news-releases/global-ad-spend-set-to-surpass-one-trillion-for-the-first-time-in-2026-as-the-algorithmic-era-redefines-growth" TargetMode="External"/><Relationship Id="rId98" Type="http://schemas.openxmlformats.org/officeDocument/2006/relationships/hyperlink" Target="https://futurumgroup.com/insights/microsoft-q2-fy-2026-cloud-surpasses-50b-azure-up-38-cc/" TargetMode="External"/><Relationship Id="rId121" Type="http://schemas.openxmlformats.org/officeDocument/2006/relationships/hyperlink" Target="https://www.statista.com/chart/18819/worldwide-market-share-of-leading-cloud-infrastructure-service-providers/" TargetMode="External"/><Relationship Id="rId142" Type="http://schemas.openxmlformats.org/officeDocument/2006/relationships/hyperlink" Target="https://www.adexchanger.com/online-advertising/alphabets-revenue-skyrockets-and-ai-overviews-gobble-more-of-the-search-pie/" TargetMode="External"/><Relationship Id="rId163" Type="http://schemas.openxmlformats.org/officeDocument/2006/relationships/hyperlink" Target="https://www.techpolicy.press/breaking-down-the-eus-investigation-into-googles-search-policy/" TargetMode="External"/><Relationship Id="rId184" Type="http://schemas.openxmlformats.org/officeDocument/2006/relationships/hyperlink" Target="https://explore.nemo.money/en/stocks/compare/apple-vs-meta" TargetMode="External"/><Relationship Id="rId189" Type="http://schemas.openxmlformats.org/officeDocument/2006/relationships/hyperlink" Target="https://www.kavout.com/market-lens/google-found-guilty-of-antitrust-violations-immediate-and-long-term-impacts-on-stock-and-search-market" TargetMode="External"/><Relationship Id="rId3" Type="http://schemas.openxmlformats.org/officeDocument/2006/relationships/hyperlink" Target="https://blog.google/alphabet/investor-presentation-june-2026/" TargetMode="External"/><Relationship Id="rId25" Type="http://schemas.openxmlformats.org/officeDocument/2006/relationships/hyperlink" Target="https://www.sec.gov/cgi-bin/browse-edgar?action=getcompany&amp;CIK=0001652044" TargetMode="External"/><Relationship Id="rId46" Type="http://schemas.openxmlformats.org/officeDocument/2006/relationships/hyperlink" Target="https://www.cnbc.com/2025/05/07/alphabet-shares-sink-on-report-apple-may-add-ai-search-to-its-browser.html" TargetMode="External"/><Relationship Id="rId67" Type="http://schemas.openxmlformats.org/officeDocument/2006/relationships/hyperlink" Target="https://www.cnbc.com/2026/06/22/alphabet-goog-stock-ai-departures.html" TargetMode="External"/><Relationship Id="rId116" Type="http://schemas.openxmlformats.org/officeDocument/2006/relationships/hyperlink" Target="https://public.com/stocks/googl/forecast-price-target" TargetMode="External"/><Relationship Id="rId137" Type="http://schemas.openxmlformats.org/officeDocument/2006/relationships/hyperlink" Target="https://www.loyensloeff.com/insights/news--events/news/european-commission-fines-google-eur-2.95-billion-over-abusive-practices-in-online-advertising-technology/" TargetMode="External"/><Relationship Id="rId158" Type="http://schemas.openxmlformats.org/officeDocument/2006/relationships/hyperlink" Target="https://ppc.land/eu-set-to-hit-google-with-record-dma-fine-before-summer-recess/" TargetMode="External"/><Relationship Id="rId20" Type="http://schemas.openxmlformats.org/officeDocument/2006/relationships/hyperlink" Target="https://www.sec.gov/Archives/edgar/data/0001652044/000165204425000087/googexhibit991q32025.htm" TargetMode="External"/><Relationship Id="rId41" Type="http://schemas.openxmlformats.org/officeDocument/2006/relationships/hyperlink" Target="https://www.bloomberg.com/news/articles/2025-11-14/buffett-acquires-4-9-billion-stake-in-google-parent-alphabet" TargetMode="External"/><Relationship Id="rId62" Type="http://schemas.openxmlformats.org/officeDocument/2006/relationships/hyperlink" Target="https://www.cnbc.com/2026/08/05/google-is-expanding-its-ai-empire-and-losing-the-people-who-built-it.html" TargetMode="External"/><Relationship Id="rId83" Type="http://schemas.openxmlformats.org/officeDocument/2006/relationships/hyperlink" Target="https://techcrunch.com/2026/02/04/googles-gemini-app-has-surpassed-750m-monthly-active-users/" TargetMode="External"/><Relationship Id="rId88" Type="http://schemas.openxmlformats.org/officeDocument/2006/relationships/hyperlink" Target="https://www.theregister.com/2025/05/07/google_apple_cue/" TargetMode="External"/><Relationship Id="rId111" Type="http://schemas.openxmlformats.org/officeDocument/2006/relationships/hyperlink" Target="https://finance.yahoo.com/sectors/technology/articles/anthropic-secures-access-3-5-124717374.html" TargetMode="External"/><Relationship Id="rId132" Type="http://schemas.openxmlformats.org/officeDocument/2006/relationships/hyperlink" Target="https://stockanalysis.com/stocks/nvda/statistics/" TargetMode="External"/><Relationship Id="rId153" Type="http://schemas.openxmlformats.org/officeDocument/2006/relationships/hyperlink" Target="https://www.marketingdive.com/news/magna-latest-to-downgrade-global-ad-spending-forecast-expects-979b/750871/" TargetMode="External"/><Relationship Id="rId174" Type="http://schemas.openxmlformats.org/officeDocument/2006/relationships/hyperlink" Target="https://9to5google.com/2026/04/29/alphabet-q1-2026-earnings/" TargetMode="External"/><Relationship Id="rId179" Type="http://schemas.openxmlformats.org/officeDocument/2006/relationships/hyperlink" Target="https://www.cnn.com/2023/02/08/tech/google-ai-bard-demo-error" TargetMode="External"/><Relationship Id="rId195" Type="http://schemas.openxmlformats.org/officeDocument/2006/relationships/hyperlink" Target="https://www.tikr.com/blog/alphabet-stock-surged-10-after-q1-2026-earnings-whats-next-for-googl" TargetMode="External"/><Relationship Id="rId190" Type="http://schemas.openxmlformats.org/officeDocument/2006/relationships/hyperlink" Target="https://siliconangle.com/2025/11/05/google-make-major-changes-app-store-settle-epic-games-lawsuit/" TargetMode="External"/><Relationship Id="rId204" Type="http://schemas.openxmlformats.org/officeDocument/2006/relationships/hyperlink" Target="https://winbuzzer.com/2026/05/26/eu-nears-major-dma-fine-against-google-in-search-case-xcxwbn/" TargetMode="External"/><Relationship Id="rId15" Type="http://schemas.openxmlformats.org/officeDocument/2006/relationships/hyperlink" Target="https://press.spglobal.com/2026-06-23-Alphabet-Set-to-Join-and-Honeywell-International-to-Remain-in-Dow-Jones-Industrial-Average" TargetMode="External"/><Relationship Id="rId36" Type="http://schemas.openxmlformats.org/officeDocument/2006/relationships/hyperlink" Target="https://www.sec.gov/Archives/edgar/data/1652044/000165204426000018/R70.htm" TargetMode="External"/><Relationship Id="rId57" Type="http://schemas.openxmlformats.org/officeDocument/2006/relationships/hyperlink" Target="https://www.cnbc.com/2025/10/23/anthropic-google-cloud-deal-tpu.html" TargetMode="External"/><Relationship Id="rId106" Type="http://schemas.openxmlformats.org/officeDocument/2006/relationships/hyperlink" Target="https://finance.yahoo.com/news/alphabet-stock-sinks-after-google-parent-announces-180-billion-spending-plan-for-2026-in-massive-ai-bet-155410864.html" TargetMode="External"/><Relationship Id="rId127" Type="http://schemas.openxmlformats.org/officeDocument/2006/relationships/hyperlink" Target="https://stockanalysis.com/stocks/googl/ratings/" TargetMode="External"/><Relationship Id="rId10" Type="http://schemas.openxmlformats.org/officeDocument/2006/relationships/hyperlink" Target="https://www.gov.uk/government/news/cma-confirms-google-has-strategic-market-status-in-search-services" TargetMode="External"/><Relationship Id="rId31" Type="http://schemas.openxmlformats.org/officeDocument/2006/relationships/hyperlink" Target="https://www.sec.gov/Archives/edgar/data/0001018724/000101872426000002/amzn-20251231xex991.htm" TargetMode="External"/><Relationship Id="rId52" Type="http://schemas.openxmlformats.org/officeDocument/2006/relationships/hyperlink" Target="https://www.cnbc.com/2026/02/04/alphabet-googl-q4-2025-earnings.html" TargetMode="External"/><Relationship Id="rId73" Type="http://schemas.openxmlformats.org/officeDocument/2006/relationships/hyperlink" Target="https://fortune.com/2026/06/08/stocks-ai-bubble-spacex-ipo/" TargetMode="External"/><Relationship Id="rId78" Type="http://schemas.openxmlformats.org/officeDocument/2006/relationships/hyperlink" Target="https://fortune.com/2025/08/18/mit-report-95-percent-generative-ai-pilots-at-companies-failing-cfo/" TargetMode="External"/><Relationship Id="rId94" Type="http://schemas.openxmlformats.org/officeDocument/2006/relationships/hyperlink" Target="https://www.emarketer.com/content/us-search-advertising-forecast-2026" TargetMode="External"/><Relationship Id="rId99" Type="http://schemas.openxmlformats.org/officeDocument/2006/relationships/hyperlink" Target="https://futurumgroup.com/insights/oracle-q2-fy-2026-cloud-grows-capex-rises-for-ai-buildout/" TargetMode="External"/><Relationship Id="rId101" Type="http://schemas.openxmlformats.org/officeDocument/2006/relationships/hyperlink" Target="https://www.morganstanley.com/insights/articles/ai-market-trends-institute-2026" TargetMode="External"/><Relationship Id="rId122" Type="http://schemas.openxmlformats.org/officeDocument/2006/relationships/hyperlink" Target="https://stockanalysis.com/stocks/googl/" TargetMode="External"/><Relationship Id="rId143" Type="http://schemas.openxmlformats.org/officeDocument/2006/relationships/hyperlink" Target="https://www.adexchanger.com/antitrust/closing-arguments-are-done-in-the-us-v-google-ad-tech-case/" TargetMode="External"/><Relationship Id="rId148" Type="http://schemas.openxmlformats.org/officeDocument/2006/relationships/hyperlink" Target="https://digiday.com/marketing/googles-ad-tech-antitrust-remedy-phase-explained-doj-wants-googles-offerings-and-where-the-judge-might-land/" TargetMode="External"/><Relationship Id="rId164" Type="http://schemas.openxmlformats.org/officeDocument/2006/relationships/hyperlink" Target="https://www.theasianbanker.com/updates-and-articles/hsbc-expands-google-cloud-ai-partnership-with-100-million-use-case-threshold" TargetMode="External"/><Relationship Id="rId169" Type="http://schemas.openxmlformats.org/officeDocument/2006/relationships/hyperlink" Target="https://www.cbsnews.com/sanfrancisco/news/google-shareholders-receive-65-1-billion-windfall-in-friday-trading/" TargetMode="External"/><Relationship Id="rId185" Type="http://schemas.openxmlformats.org/officeDocument/2006/relationships/hyperlink" Target="https://fullratio.com/stocks/nasdaq-googl/pe-ratio" TargetMode="External"/><Relationship Id="rId4" Type="http://schemas.openxmlformats.org/officeDocument/2006/relationships/hyperlink" Target="https://blog.google/products/google-cloud/ironwood-tpu-age-of-inference/" TargetMode="External"/><Relationship Id="rId9" Type="http://schemas.openxmlformats.org/officeDocument/2006/relationships/hyperlink" Target="https://ec.europa.eu/commission/presscorner/detail/en/ip_25_1992" TargetMode="External"/><Relationship Id="rId180" Type="http://schemas.openxmlformats.org/officeDocument/2006/relationships/hyperlink" Target="https://www.cnn.com/2026/06/09/investing/nasdaq-sp500-dow-drop-ai" TargetMode="External"/><Relationship Id="rId26" Type="http://schemas.openxmlformats.org/officeDocument/2006/relationships/hyperlink" Target="https://www.sec.gov/Archives/edgar/data/1652044/000165204426000066/googexhibit991q22026.htm" TargetMode="External"/><Relationship Id="rId47" Type="http://schemas.openxmlformats.org/officeDocument/2006/relationships/hyperlink" Target="https://www.cnbc.com/2025/09/03/alphabet-pops-after-google-avoids-breakup-in-antitrust-case.html" TargetMode="External"/><Relationship Id="rId68" Type="http://schemas.openxmlformats.org/officeDocument/2006/relationships/hyperlink" Target="https://www.cnbc.com/2026/07/28/hyperscalers-face-higher-capex-scrutiny-after-alphabet-report-panned.html" TargetMode="External"/><Relationship Id="rId89" Type="http://schemas.openxmlformats.org/officeDocument/2006/relationships/hyperlink" Target="https://www.theregister.com/off-prem/2026/08/04/cloud_giants_pour_nearly_600b_into_capex_as_ai_demand_surges/5282679" TargetMode="External"/><Relationship Id="rId112" Type="http://schemas.openxmlformats.org/officeDocument/2006/relationships/hyperlink" Target="https://finance.yahoo.com/news/meta-google-discuss-tpu-deal-233823637.html" TargetMode="External"/><Relationship Id="rId133" Type="http://schemas.openxmlformats.org/officeDocument/2006/relationships/hyperlink" Target="https://stockanalysis.com/stocks/googl/transcripts/657320-q2-2026/" TargetMode="External"/><Relationship Id="rId154" Type="http://schemas.openxmlformats.org/officeDocument/2006/relationships/hyperlink" Target="https://www.mediapost.com/publications/article/412527/google-search-ruling-appealed-by-doj-states.html" TargetMode="External"/><Relationship Id="rId175" Type="http://schemas.openxmlformats.org/officeDocument/2006/relationships/hyperlink" Target="https://9to5google.com/2025/10/21/google-epic-agree-week-long-extension-play-store-changes/" TargetMode="External"/><Relationship Id="rId196" Type="http://schemas.openxmlformats.org/officeDocument/2006/relationships/hyperlink" Target="https://www.tikr.com/blog/google-cloud-just-crossed-462-billion-in-backlog-heres-what-it-means-for-googl" TargetMode="External"/><Relationship Id="rId200" Type="http://schemas.openxmlformats.org/officeDocument/2006/relationships/hyperlink" Target="https://www.tradingview.com/news/tradingview:da3b1ad56fc60:0-alphabet-inc-sec-10-k-report/" TargetMode="External"/><Relationship Id="rId16" Type="http://schemas.openxmlformats.org/officeDocument/2006/relationships/hyperlink" Target="https://s206.q4cdn.com/479360582/files/doc_financials/2026/q1/2026q1-alphabet-earnings-release.pdf" TargetMode="External"/><Relationship Id="rId37" Type="http://schemas.openxmlformats.org/officeDocument/2006/relationships/hyperlink" Target="https://www.sec.gov/Archives/edgar/data/0001652044/000165204426000018/goog-20251231.htm" TargetMode="External"/><Relationship Id="rId58" Type="http://schemas.openxmlformats.org/officeDocument/2006/relationships/hyperlink" Target="https://www.cnbc.com/2025/09/05/google-slapped-by-eu-with-3point45-billion-antitrust-fine.html" TargetMode="External"/><Relationship Id="rId79" Type="http://schemas.openxmlformats.org/officeDocument/2006/relationships/hyperlink" Target="https://fortune.com/2026/06/23/google-deepmind-ai-researcher-departures-raise-doubts-about-ability-to-win-the-ai-race-shazeer-jumper-eye-on-ai/" TargetMode="External"/><Relationship Id="rId102" Type="http://schemas.openxmlformats.org/officeDocument/2006/relationships/hyperlink" Target="https://www.morganstanley.com/insights/articles/ai-capex-740-billion-banking-opportunity" TargetMode="External"/><Relationship Id="rId123" Type="http://schemas.openxmlformats.org/officeDocument/2006/relationships/hyperlink" Target="https://stockanalysis.com/etf/qqq/" TargetMode="External"/><Relationship Id="rId144" Type="http://schemas.openxmlformats.org/officeDocument/2006/relationships/hyperlink" Target="https://www.adexchanger.com/online-advertising/doj-v-google-judge-brinkema-calls-for-less-ad-tech-window-dressing-in-the-adx-and-dfp-divestiture-debate/" TargetMode="External"/><Relationship Id="rId90" Type="http://schemas.openxmlformats.org/officeDocument/2006/relationships/hyperlink" Target="https://www.theregister.com/off-prem/2026/04/30/microsoft-lifts-2026-capex-by-25b-to-cover-price-rises/5221545" TargetMode="External"/><Relationship Id="rId165" Type="http://schemas.openxmlformats.org/officeDocument/2006/relationships/hyperlink" Target="https://www.tomshardware.com/tech-industry/billion-dollar-ai-chip-deal-between-google-and-meta-could-be-on-the-cards-would-involve-renting-google-cloud-tpus-next-year-outright-purchases-in-2027" TargetMode="External"/><Relationship Id="rId186" Type="http://schemas.openxmlformats.org/officeDocument/2006/relationships/hyperlink" Target="https://www.googlecloudpresscorner.com/2025-10-23-Anthropic-to-Expand-Use-of-Google-Cloud-TPUs-and-Services" TargetMode="External"/><Relationship Id="rId27" Type="http://schemas.openxmlformats.org/officeDocument/2006/relationships/hyperlink" Target="https://www.sec.gov/Archives/edgar/data/1652044/000165204426000071/goog-20260630.htm" TargetMode="External"/><Relationship Id="rId48" Type="http://schemas.openxmlformats.org/officeDocument/2006/relationships/hyperlink" Target="https://www.cnbc.com/2025/09/15/alphabet-3-trillion-market-cap.html" TargetMode="External"/><Relationship Id="rId69" Type="http://schemas.openxmlformats.org/officeDocument/2006/relationships/hyperlink" Target="https://www.courthousenews.com/google-dodges-antitrust-breakup-of-ad-tech-business/" TargetMode="External"/><Relationship Id="rId113" Type="http://schemas.openxmlformats.org/officeDocument/2006/relationships/hyperlink" Target="https://finance.yahoo.com/news/wall-street-lifts-broadcom-targets-144324109.html" TargetMode="External"/><Relationship Id="rId134" Type="http://schemas.openxmlformats.org/officeDocument/2006/relationships/hyperlink" Target="https://www.tipranks.com/news/google-overhauls-ai-coding-team-in-desperate-bid-to-catch-anthropic-and-openai" TargetMode="External"/><Relationship Id="rId80" Type="http://schemas.openxmlformats.org/officeDocument/2006/relationships/hyperlink" Target="https://www.npr.org/2023/02/09/1155650909/google-chatbot--error-bard-shares" TargetMode="External"/><Relationship Id="rId155" Type="http://schemas.openxmlformats.org/officeDocument/2006/relationships/hyperlink" Target="https://ppc.land/judge-spares-googles-ad-exchange-and-rewrites-its-auction-rules-instead/" TargetMode="External"/><Relationship Id="rId176" Type="http://schemas.openxmlformats.org/officeDocument/2006/relationships/hyperlink" Target="https://www.ainvest.com/news/google-antitrust-crossroads-strategic-buy-regulatory-risks-ai-momentum-august-2025-2508/" TargetMode="External"/><Relationship Id="rId197" Type="http://schemas.openxmlformats.org/officeDocument/2006/relationships/hyperlink" Target="https://www.tomsguide.com/ai/google-gemini/gemini-3-is-here-googles-most-powerful-ai-model-yet-is-crushing-benchmarks-improving-search-and-outperforming-chatgpt" TargetMode="External"/><Relationship Id="rId201" Type="http://schemas.openxmlformats.org/officeDocument/2006/relationships/hyperlink" Target="https://www.visualcapitalist.com/magnificent-seven-stock-returns-in-2025/" TargetMode="External"/><Relationship Id="rId17" Type="http://schemas.openxmlformats.org/officeDocument/2006/relationships/hyperlink" Target="https://s206.q4cdn.com/479360582/files/doc_financials/2025/q4/2025q4-alphabet-earnings-release.pdf" TargetMode="External"/><Relationship Id="rId38" Type="http://schemas.openxmlformats.org/officeDocument/2006/relationships/hyperlink" Target="https://www.srgresearch.com/articles/cloud-market-annual-revenue-run-rate-topped-half-a-trillion-dollars-in-q1-as-growth-surge-continues" TargetMode="External"/><Relationship Id="rId59" Type="http://schemas.openxmlformats.org/officeDocument/2006/relationships/hyperlink" Target="https://www.cnbc.com/2026/02/02/waymo-announced-16-billion-fundraising-round.html" TargetMode="External"/><Relationship Id="rId103" Type="http://schemas.openxmlformats.org/officeDocument/2006/relationships/hyperlink" Target="https://newsletter.semianalysis.com/p/tpuv7-google-takes-a-swing-at-the" TargetMode="External"/><Relationship Id="rId124" Type="http://schemas.openxmlformats.org/officeDocument/2006/relationships/hyperlink" Target="https://stockanalysis.com/etf/spy/" TargetMode="External"/><Relationship Id="rId70" Type="http://schemas.openxmlformats.org/officeDocument/2006/relationships/hyperlink" Target="https://www.courthousenews.com/judge-hands-google-partial-defeat-in-ad-tech-monopoly-case/" TargetMode="External"/><Relationship Id="rId91" Type="http://schemas.openxmlformats.org/officeDocument/2006/relationships/hyperlink" Target="https://variety.com/2026/digital/news/amazon-q4-2025-earnings-capex-advertising-sales-1236653797/" TargetMode="External"/><Relationship Id="rId145" Type="http://schemas.openxmlformats.org/officeDocument/2006/relationships/hyperlink" Target="https://www.costar.com/article/907046102/hyperscalers-680-billion-ai-capital-expenditure-investment-raises-the-stakes" TargetMode="External"/><Relationship Id="rId166" Type="http://schemas.openxmlformats.org/officeDocument/2006/relationships/hyperlink" Target="https://www.tomshardware.com/tech-industry/semiconductors/custom-ai-asics-examined-from-broadcom-to-mtia" TargetMode="External"/><Relationship Id="rId187" Type="http://schemas.openxmlformats.org/officeDocument/2006/relationships/hyperlink" Target="https://investinglive.com/stocks/alphabet-beats-q4-revenue-but-shocks-markets-with-massive-2026-capex-outlook-20260204/" TargetMode="External"/><Relationship Id="rId1" Type="http://schemas.openxmlformats.org/officeDocument/2006/relationships/hyperlink" Target="https://www.anthropic.com/news/expanding-our-use-of-google-cloud-tpus-and-services" TargetMode="External"/><Relationship Id="rId28" Type="http://schemas.openxmlformats.org/officeDocument/2006/relationships/hyperlink" Target="https://www.sec.gov/Archives/edgar/data/0001652044/000165204426000048/goog-20260331.htm" TargetMode="External"/><Relationship Id="rId49" Type="http://schemas.openxmlformats.org/officeDocument/2006/relationships/hyperlink" Target="https://www.cnbc.com/2025/11/19/alphabet-stock-gemini-3-ai.html" TargetMode="External"/><Relationship Id="rId114" Type="http://schemas.openxmlformats.org/officeDocument/2006/relationships/hyperlink" Target="https://www.macrotrends.net/stocks/charts/GOOGL/alphabet/stock-price-history" TargetMode="External"/><Relationship Id="rId60" Type="http://schemas.openxmlformats.org/officeDocument/2006/relationships/hyperlink" Target="https://www.cnbc.com/2026/09/02/google-starts-september-with-ai-momentum-after-long-losing-streak.html" TargetMode="External"/><Relationship Id="rId81" Type="http://schemas.openxmlformats.org/officeDocument/2006/relationships/hyperlink" Target="https://www.npr.org/2025/09/02/nx-s1-5478625/google-chrome-doj-antitrust-ruling" TargetMode="External"/><Relationship Id="rId135" Type="http://schemas.openxmlformats.org/officeDocument/2006/relationships/hyperlink" Target="https://www.dlapiper.com/en/insights/publications/2025/09/federal-court-orders-remedies-in-google-antitrust-case" TargetMode="External"/><Relationship Id="rId156" Type="http://schemas.openxmlformats.org/officeDocument/2006/relationships/hyperlink" Target="https://ppc.land/google-appeals-doj-search-ruling-asks-to-pause-data-sharing-remedies/" TargetMode="External"/><Relationship Id="rId177" Type="http://schemas.openxmlformats.org/officeDocument/2006/relationships/hyperlink" Target="https://www.barchart.com/story/news/2095554/microsoft-vs-apple-stock-the-numbers-reveal-a-clear-winner-heading-into-h2-2026" TargetMode="External"/><Relationship Id="rId198" Type="http://schemas.openxmlformats.org/officeDocument/2006/relationships/hyperlink" Target="https://www.tradingview.com/news/reuters.com,2025:newsml_L4N3UQ0JA:0-alphabet-apple-shares-rise-after-antitrust-ruling/" TargetMode="External"/><Relationship Id="rId202" Type="http://schemas.openxmlformats.org/officeDocument/2006/relationships/hyperlink" Target="https://waymo.com/blog/2026/02/waymo-raises-usd16-billion-investment-round/" TargetMode="External"/><Relationship Id="rId18" Type="http://schemas.openxmlformats.org/officeDocument/2006/relationships/hyperlink" Target="https://s206.q4cdn.com/479360582/files/doc_financials/2025/q4/GOOG-10-K-2025.pdf" TargetMode="External"/><Relationship Id="rId39" Type="http://schemas.openxmlformats.org/officeDocument/2006/relationships/hyperlink" Target="https://www.srgresearch.com/articles/cloud-market-share-trends-big-three-together-hold-63-while-oracle-and-the-neoclouds-inch-higher" TargetMode="External"/><Relationship Id="rId50" Type="http://schemas.openxmlformats.org/officeDocument/2006/relationships/hyperlink" Target="https://www.cnbc.com/2025/12/05/judge-finalize-remedies-in-google-antitrust-case.html" TargetMode="External"/><Relationship Id="rId104" Type="http://schemas.openxmlformats.org/officeDocument/2006/relationships/hyperlink" Target="https://finance.yahoo.com/quote/GOOGL/history/" TargetMode="External"/><Relationship Id="rId125" Type="http://schemas.openxmlformats.org/officeDocument/2006/relationships/hyperlink" Target="https://stockanalysis.com/stocks/googl/forecast/" TargetMode="External"/><Relationship Id="rId146" Type="http://schemas.openxmlformats.org/officeDocument/2006/relationships/hyperlink" Target="https://www.datacenterdynamics.com/en/news/amazon-capex-to-hit-200bn-in-2026-will-mostly-fund-aws-data-centers/" TargetMode="External"/><Relationship Id="rId167" Type="http://schemas.openxmlformats.org/officeDocument/2006/relationships/hyperlink" Target="https://www.tomshardware.com/tech-industry/semiconductors/nvidia-responds-as-meta-explores-switch-to-google-tpus" TargetMode="External"/><Relationship Id="rId188" Type="http://schemas.openxmlformats.org/officeDocument/2006/relationships/hyperlink" Target="https://investinglive.com/stocks/microsoft-q3-beats-on-revenue-eps-and-cloud-as-capex-comes-in-34bn-below-estimates-20260429/" TargetMode="External"/><Relationship Id="rId71" Type="http://schemas.openxmlformats.org/officeDocument/2006/relationships/hyperlink" Target="https://www.forbes.com/sites/hershshefrin/2026/07/27/market-experiences-an-ai-capex-turning-point-with-tipping-point-to-follow/" TargetMode="External"/><Relationship Id="rId92" Type="http://schemas.openxmlformats.org/officeDocument/2006/relationships/hyperlink" Target="https://www.constellationr.com/insights/news/amazon-sees-200-billion-capex-ahead-aws-sales-surge-24" TargetMode="External"/><Relationship Id="rId2" Type="http://schemas.openxmlformats.org/officeDocument/2006/relationships/hyperlink" Target="https://www.anthropic.com/news/google-broadcom-partnership-compute" TargetMode="External"/><Relationship Id="rId29" Type="http://schemas.openxmlformats.org/officeDocument/2006/relationships/hyperlink" Target="https://www.sec.gov/Archives/edgar/data/0001652044/000119312526257724/d83560dex991.htm"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2223C"/>
    <pageSetUpPr fitToPage="1"/>
  </sheetPr>
  <dimension ref="B1:J70"/>
  <sheetViews>
    <sheetView showGridLines="0" workbookViewId="0">
      <pane ySplit="5" topLeftCell="A31" activePane="bottomLeft" state="frozen"/>
      <selection pane="bottomLeft" activeCell="B3" sqref="B3"/>
    </sheetView>
  </sheetViews>
  <sheetFormatPr defaultRowHeight="14.4" x14ac:dyDescent="0.3"/>
  <cols>
    <col min="1" max="1" width="3.33203125" customWidth="1"/>
    <col min="2" max="2" width="28.6640625" customWidth="1"/>
    <col min="3" max="3" width="61.109375" customWidth="1"/>
  </cols>
  <sheetData>
    <row r="1" spans="2:10" ht="6" customHeight="1" x14ac:dyDescent="0.3"/>
    <row r="2" spans="2:10" ht="28.05" customHeight="1" thickBot="1" x14ac:dyDescent="0.45">
      <c r="B2" s="395" t="s">
        <v>1804</v>
      </c>
      <c r="C2" s="395"/>
      <c r="D2" s="396"/>
      <c r="E2" s="396"/>
      <c r="F2" s="396"/>
      <c r="G2" s="396"/>
      <c r="H2" s="396"/>
      <c r="I2" s="396"/>
      <c r="J2" s="396"/>
    </row>
    <row r="3" spans="2:10" ht="138.6" thickBot="1" x14ac:dyDescent="0.35">
      <c r="B3" s="301" t="s">
        <v>2756</v>
      </c>
      <c r="C3" s="341"/>
      <c r="D3" s="364"/>
      <c r="E3" s="364"/>
      <c r="F3" s="364"/>
      <c r="G3" s="364"/>
      <c r="H3" s="364"/>
      <c r="I3" s="364"/>
      <c r="J3" s="364"/>
    </row>
    <row r="4" spans="2:10" x14ac:dyDescent="0.3">
      <c r="B4" s="305"/>
      <c r="C4" s="305"/>
      <c r="D4" s="364"/>
      <c r="E4" s="364"/>
      <c r="F4" s="364"/>
      <c r="G4" s="364"/>
      <c r="H4" s="364"/>
      <c r="I4" s="364"/>
      <c r="J4" s="364"/>
    </row>
    <row r="5" spans="2:10" x14ac:dyDescent="0.3">
      <c r="B5" s="324" t="s">
        <v>0</v>
      </c>
      <c r="C5" s="324" t="s">
        <v>1182</v>
      </c>
      <c r="D5" s="364"/>
      <c r="E5" s="364"/>
      <c r="F5" s="364"/>
      <c r="G5" s="364"/>
      <c r="H5" s="364"/>
      <c r="I5" s="364"/>
      <c r="J5" s="364"/>
    </row>
    <row r="6" spans="2:10" ht="24.6" x14ac:dyDescent="0.3">
      <c r="B6" s="342" t="s">
        <v>1183</v>
      </c>
      <c r="C6" s="342"/>
      <c r="D6" s="364"/>
      <c r="E6" s="364"/>
      <c r="F6" s="364"/>
      <c r="G6" s="364"/>
      <c r="H6" s="364"/>
      <c r="I6" s="364"/>
      <c r="J6" s="364"/>
    </row>
    <row r="7" spans="2:10" ht="24" x14ac:dyDescent="0.3">
      <c r="B7" s="302" t="s">
        <v>1</v>
      </c>
      <c r="C7" s="302" t="s">
        <v>1184</v>
      </c>
      <c r="D7" s="364"/>
      <c r="E7" s="364"/>
      <c r="F7" s="364"/>
      <c r="G7" s="364"/>
      <c r="H7" s="364"/>
      <c r="I7" s="364"/>
      <c r="J7" s="364"/>
    </row>
    <row r="8" spans="2:10" ht="24" x14ac:dyDescent="0.3">
      <c r="B8" s="303" t="s">
        <v>2</v>
      </c>
      <c r="C8" s="303" t="s">
        <v>1185</v>
      </c>
      <c r="D8" s="364"/>
      <c r="E8" s="364"/>
      <c r="F8" s="364"/>
      <c r="G8" s="364"/>
      <c r="H8" s="364"/>
      <c r="I8" s="364"/>
      <c r="J8" s="364"/>
    </row>
    <row r="9" spans="2:10" ht="24" x14ac:dyDescent="0.3">
      <c r="B9" s="303" t="s">
        <v>1133</v>
      </c>
      <c r="C9" s="303" t="str">
        <f>"Revenue, operating income, growth and margin by segment. Establishes that ~"&amp;TEXT('02 Quarterly'!$D$29,"0")&amp;"% operating margin is the real earning power."</f>
        <v>Revenue, operating income, growth and margin by segment. Establishes that ~34% operating margin is the real earning power.</v>
      </c>
      <c r="D9" s="364"/>
      <c r="E9" s="364"/>
      <c r="F9" s="364"/>
      <c r="G9" s="364"/>
      <c r="H9" s="364"/>
      <c r="I9" s="364"/>
      <c r="J9" s="364"/>
    </row>
    <row r="10" spans="2:10" ht="24" x14ac:dyDescent="0.3">
      <c r="B10" s="303" t="s">
        <v>1134</v>
      </c>
      <c r="C10" s="303" t="s">
        <v>1186</v>
      </c>
      <c r="D10" s="364"/>
      <c r="E10" s="364"/>
      <c r="F10" s="364"/>
      <c r="G10" s="364"/>
      <c r="H10" s="364"/>
      <c r="I10" s="364"/>
      <c r="J10" s="364"/>
    </row>
    <row r="11" spans="2:10" ht="24" x14ac:dyDescent="0.3">
      <c r="B11" s="304" t="s">
        <v>1137</v>
      </c>
      <c r="C11" s="304" t="s">
        <v>1187</v>
      </c>
      <c r="D11" s="364"/>
      <c r="E11" s="364"/>
      <c r="F11" s="364"/>
      <c r="G11" s="364"/>
      <c r="H11" s="364"/>
      <c r="I11" s="364"/>
      <c r="J11" s="364"/>
    </row>
    <row r="12" spans="2:10" ht="36.6" x14ac:dyDescent="0.3">
      <c r="B12" s="342" t="s">
        <v>1188</v>
      </c>
      <c r="C12" s="342"/>
      <c r="D12" s="364"/>
      <c r="E12" s="364"/>
      <c r="F12" s="364"/>
      <c r="G12" s="364"/>
      <c r="H12" s="364"/>
      <c r="I12" s="364"/>
      <c r="J12" s="364"/>
    </row>
    <row r="13" spans="2:10" ht="24" x14ac:dyDescent="0.3">
      <c r="B13" s="302" t="s">
        <v>1132</v>
      </c>
      <c r="C13" s="302" t="s">
        <v>1189</v>
      </c>
      <c r="D13" s="364"/>
      <c r="E13" s="364"/>
      <c r="F13" s="364"/>
      <c r="G13" s="364"/>
      <c r="H13" s="364"/>
      <c r="I13" s="364"/>
      <c r="J13" s="364"/>
    </row>
    <row r="14" spans="2:10" ht="24" x14ac:dyDescent="0.3">
      <c r="B14" s="304" t="s">
        <v>1140</v>
      </c>
      <c r="C14" s="304" t="str">
        <f>"Consensus is GAAP-basis: FY2026 EPS of "&amp;TEXT('07 Consensus'!$C$6,"0.00")&amp;" implies a "&amp;TEXT('07 Consensus'!$C$9/100,"0.0%")&amp;" net margin against a "&amp;TEXT('07 Consensus'!$C$11/100,"0.0%")&amp;" Q2 operating margin because it books the H1'26 marks. The reported "&amp;TEXT('11 Valuation'!$C$11,"0.0")&amp;"x flatters the stock on a screen; it is not a consensus error."</f>
        <v>Consensus is GAAP-basis: FY2026 EPS of 20.60 implies a 50.8% net margin against a 34.0% Q2 operating margin because it books the H1'26 marks. The reported 17.1x flatters the stock on a screen; it is not a consensus error.</v>
      </c>
      <c r="D14" s="364"/>
      <c r="E14" s="364"/>
      <c r="F14" s="364"/>
      <c r="G14" s="364"/>
      <c r="H14" s="364"/>
      <c r="I14" s="364"/>
      <c r="J14" s="364"/>
    </row>
    <row r="15" spans="2:10" ht="24.6" x14ac:dyDescent="0.3">
      <c r="B15" s="342" t="s">
        <v>1190</v>
      </c>
      <c r="C15" s="342"/>
      <c r="D15" s="364"/>
      <c r="E15" s="364"/>
      <c r="F15" s="364"/>
      <c r="G15" s="364"/>
      <c r="H15" s="364"/>
      <c r="I15" s="364"/>
      <c r="J15" s="364"/>
    </row>
    <row r="16" spans="2:10" ht="24" x14ac:dyDescent="0.3">
      <c r="B16" s="302" t="s">
        <v>1136</v>
      </c>
      <c r="C16" s="302" t="str">
        <f>"Asset classes, useful lives, and the "&amp;TEXT('08 PPE and Depreciation'!$C$24,"#,##0")&amp;" sitting in assets NOT YET IN SERVICE - the future depreciation charge."</f>
        <v>Asset classes, useful lives, and the 122,814 sitting in assets NOT YET IN SERVICE - the future depreciation charge.</v>
      </c>
      <c r="D16" s="364"/>
      <c r="E16" s="364"/>
      <c r="F16" s="364"/>
      <c r="G16" s="364"/>
      <c r="H16" s="364"/>
      <c r="I16" s="364"/>
      <c r="J16" s="364"/>
    </row>
    <row r="17" spans="2:10" ht="24" x14ac:dyDescent="0.3">
      <c r="B17" s="303" t="s">
        <v>1135</v>
      </c>
      <c r="C17" s="303" t="s">
        <v>1191</v>
      </c>
      <c r="D17" s="364"/>
      <c r="E17" s="364"/>
      <c r="F17" s="364"/>
      <c r="G17" s="364"/>
      <c r="H17" s="364"/>
      <c r="I17" s="364"/>
      <c r="J17" s="364"/>
    </row>
    <row r="18" spans="2:10" ht="24" x14ac:dyDescent="0.3">
      <c r="B18" s="304" t="s">
        <v>1141</v>
      </c>
      <c r="C18" s="304" t="s">
        <v>1192</v>
      </c>
      <c r="D18" s="364"/>
      <c r="E18" s="364"/>
      <c r="F18" s="364"/>
      <c r="G18" s="364"/>
      <c r="H18" s="364"/>
      <c r="I18" s="364"/>
      <c r="J18" s="364"/>
    </row>
    <row r="19" spans="2:10" ht="24.6" x14ac:dyDescent="0.3">
      <c r="B19" s="342" t="s">
        <v>1193</v>
      </c>
      <c r="C19" s="342"/>
      <c r="D19" s="364"/>
      <c r="E19" s="364"/>
      <c r="F19" s="364"/>
      <c r="G19" s="364"/>
      <c r="H19" s="364"/>
      <c r="I19" s="364"/>
      <c r="J19" s="364"/>
    </row>
    <row r="20" spans="2:10" ht="24" x14ac:dyDescent="0.3">
      <c r="B20" s="305" t="s">
        <v>1138</v>
      </c>
      <c r="C20" s="305" t="str">
        <f>"Reported versus core multiples at "&amp;TEXT('11 Valuation'!$C$6,"$0.00")&amp;". "&amp;TEXT('11 Valuation'!$C$11,"0.0")&amp;"x reported, "&amp;TEXT('11 Valuation'!$C$12,"0.0")&amp;"x core - the gap Parts 2 and 3 explain."</f>
        <v>Reported versus core multiples at $340.59. 17.1x reported, 33.0x core - the gap Parts 2 and 3 explain.</v>
      </c>
      <c r="D20" s="364"/>
      <c r="E20" s="364"/>
      <c r="F20" s="364"/>
      <c r="G20" s="364"/>
      <c r="H20" s="364"/>
      <c r="I20" s="364"/>
      <c r="J20" s="364"/>
    </row>
    <row r="21" spans="2:10" ht="24" x14ac:dyDescent="0.3">
      <c r="B21" s="308" t="s">
        <v>1139</v>
      </c>
      <c r="C21" s="308" t="s">
        <v>1194</v>
      </c>
      <c r="D21" s="364"/>
      <c r="E21" s="364"/>
      <c r="F21" s="364"/>
      <c r="G21" s="364"/>
      <c r="H21" s="364"/>
      <c r="I21" s="364"/>
      <c r="J21" s="364"/>
    </row>
    <row r="22" spans="2:10" ht="24" x14ac:dyDescent="0.3">
      <c r="B22" s="472" t="s">
        <v>3</v>
      </c>
      <c r="C22" s="305" t="s">
        <v>2419</v>
      </c>
      <c r="D22" s="364"/>
      <c r="E22" s="364"/>
      <c r="F22" s="364"/>
      <c r="G22" s="364"/>
      <c r="H22" s="364"/>
      <c r="I22" s="364"/>
      <c r="J22" s="364"/>
    </row>
    <row r="23" spans="2:10" x14ac:dyDescent="0.3">
      <c r="B23" s="656" t="s">
        <v>1195</v>
      </c>
      <c r="C23" s="657"/>
      <c r="D23" s="364"/>
      <c r="E23" s="364"/>
      <c r="F23" s="364"/>
      <c r="G23" s="364"/>
      <c r="H23" s="364"/>
      <c r="I23" s="364"/>
      <c r="J23" s="364"/>
    </row>
    <row r="24" spans="2:10" x14ac:dyDescent="0.3">
      <c r="B24" s="472" t="s">
        <v>1142</v>
      </c>
      <c r="C24" s="305" t="s">
        <v>1798</v>
      </c>
      <c r="D24" s="364"/>
      <c r="E24" s="364"/>
      <c r="F24" s="364"/>
      <c r="G24" s="364"/>
      <c r="H24" s="364"/>
      <c r="I24" s="364"/>
      <c r="J24" s="364"/>
    </row>
    <row r="25" spans="2:10" ht="24" x14ac:dyDescent="0.3">
      <c r="B25" s="472" t="s">
        <v>1143</v>
      </c>
      <c r="C25" s="305" t="s">
        <v>1799</v>
      </c>
      <c r="D25" s="364"/>
      <c r="E25" s="364"/>
      <c r="F25" s="364"/>
      <c r="G25" s="364"/>
      <c r="H25" s="364"/>
      <c r="I25" s="364"/>
      <c r="J25" s="364"/>
    </row>
    <row r="26" spans="2:10" x14ac:dyDescent="0.3">
      <c r="B26" s="472" t="s">
        <v>1144</v>
      </c>
      <c r="C26" s="305" t="s">
        <v>1800</v>
      </c>
      <c r="D26" s="364"/>
      <c r="E26" s="364"/>
      <c r="F26" s="364"/>
      <c r="G26" s="364"/>
      <c r="H26" s="364"/>
      <c r="I26" s="364"/>
      <c r="J26" s="364"/>
    </row>
    <row r="27" spans="2:10" ht="24" x14ac:dyDescent="0.3">
      <c r="B27" s="472" t="s">
        <v>1145</v>
      </c>
      <c r="C27" s="305" t="s">
        <v>1801</v>
      </c>
      <c r="D27" s="364"/>
      <c r="E27" s="364"/>
      <c r="F27" s="364"/>
      <c r="G27" s="364"/>
      <c r="H27" s="364"/>
      <c r="I27" s="364"/>
      <c r="J27" s="364"/>
    </row>
    <row r="28" spans="2:10" ht="24" x14ac:dyDescent="0.3">
      <c r="B28" s="472" t="s">
        <v>1823</v>
      </c>
      <c r="C28" s="305" t="s">
        <v>1765</v>
      </c>
      <c r="D28" s="364"/>
      <c r="E28" s="364"/>
      <c r="F28" s="364"/>
      <c r="G28" s="364"/>
      <c r="H28" s="364"/>
      <c r="I28" s="364"/>
      <c r="J28" s="364"/>
    </row>
    <row r="29" spans="2:10" x14ac:dyDescent="0.3">
      <c r="B29" s="472" t="s">
        <v>1824</v>
      </c>
      <c r="C29" s="305" t="s">
        <v>1802</v>
      </c>
      <c r="D29" s="364"/>
      <c r="E29" s="364"/>
      <c r="F29" s="364"/>
      <c r="G29" s="364"/>
      <c r="H29" s="364"/>
      <c r="I29" s="364"/>
      <c r="J29" s="364"/>
    </row>
    <row r="30" spans="2:10" ht="22.8" x14ac:dyDescent="0.3">
      <c r="B30" s="472" t="s">
        <v>1825</v>
      </c>
      <c r="C30" s="343" t="s">
        <v>2675</v>
      </c>
      <c r="D30" s="364"/>
      <c r="E30" s="364"/>
      <c r="F30" s="364"/>
      <c r="G30" s="364"/>
      <c r="H30" s="364"/>
      <c r="I30" s="364"/>
      <c r="J30" s="364"/>
    </row>
    <row r="31" spans="2:10" ht="35.549999999999997" customHeight="1" x14ac:dyDescent="0.3">
      <c r="B31" s="305" t="s">
        <v>2577</v>
      </c>
      <c r="C31" s="305" t="s">
        <v>2420</v>
      </c>
      <c r="D31" s="364"/>
      <c r="E31" s="364"/>
      <c r="F31" s="364"/>
      <c r="G31" s="364"/>
      <c r="H31" s="364"/>
      <c r="I31" s="364"/>
      <c r="J31" s="364"/>
    </row>
    <row r="32" spans="2:10" ht="24" x14ac:dyDescent="0.3">
      <c r="B32" s="344" t="s">
        <v>1507</v>
      </c>
      <c r="C32" s="345"/>
      <c r="D32" s="364"/>
      <c r="E32" s="364"/>
      <c r="F32" s="364"/>
      <c r="G32" s="364"/>
      <c r="H32" s="364"/>
      <c r="I32" s="364"/>
      <c r="J32" s="364"/>
    </row>
    <row r="33" spans="2:10" ht="24" x14ac:dyDescent="0.3">
      <c r="B33" s="343" t="s">
        <v>2569</v>
      </c>
      <c r="C33" s="305" t="s">
        <v>1508</v>
      </c>
      <c r="D33" s="364"/>
      <c r="E33" s="364"/>
      <c r="F33" s="364"/>
      <c r="G33" s="364"/>
      <c r="H33" s="364"/>
      <c r="I33" s="364"/>
      <c r="J33" s="364"/>
    </row>
    <row r="34" spans="2:10" x14ac:dyDescent="0.3">
      <c r="B34" s="343" t="s">
        <v>2570</v>
      </c>
      <c r="C34" s="305" t="s">
        <v>1509</v>
      </c>
      <c r="D34" s="364"/>
      <c r="E34" s="364"/>
      <c r="F34" s="364"/>
      <c r="G34" s="364"/>
      <c r="H34" s="364"/>
      <c r="I34" s="364"/>
      <c r="J34" s="364"/>
    </row>
    <row r="35" spans="2:10" x14ac:dyDescent="0.3">
      <c r="B35" s="343" t="s">
        <v>2571</v>
      </c>
      <c r="C35" s="305" t="s">
        <v>1510</v>
      </c>
      <c r="D35" s="364"/>
      <c r="E35" s="364"/>
      <c r="F35" s="364"/>
      <c r="G35" s="364"/>
      <c r="H35" s="364"/>
      <c r="I35" s="364"/>
      <c r="J35" s="364"/>
    </row>
    <row r="36" spans="2:10" x14ac:dyDescent="0.3">
      <c r="B36" s="343" t="s">
        <v>2572</v>
      </c>
      <c r="C36" s="305" t="s">
        <v>1511</v>
      </c>
      <c r="D36" s="364"/>
      <c r="E36" s="364"/>
      <c r="F36" s="364"/>
      <c r="G36" s="364"/>
      <c r="H36" s="364"/>
      <c r="I36" s="364"/>
      <c r="J36" s="364"/>
    </row>
    <row r="37" spans="2:10" x14ac:dyDescent="0.3">
      <c r="B37" s="654" t="s">
        <v>1512</v>
      </c>
      <c r="C37" s="655"/>
      <c r="D37" s="364"/>
      <c r="E37" s="364"/>
      <c r="F37" s="364"/>
      <c r="G37" s="364"/>
      <c r="H37" s="364"/>
      <c r="I37" s="364"/>
      <c r="J37" s="364"/>
    </row>
    <row r="38" spans="2:10" ht="24" x14ac:dyDescent="0.3">
      <c r="B38" s="472" t="s">
        <v>2573</v>
      </c>
      <c r="C38" s="305" t="str">
        <f>(COUNTIF('26 Pack Audit'!$F:$F,"TIES")+COUNTIF('26 Pack Audit'!$F:$F,"DOES NOT TIE"))&amp;" live cross-sheet checks re-deriving key research-pack figures from source cells."</f>
        <v>26 live cross-sheet checks re-deriving key research-pack figures from source cells.</v>
      </c>
      <c r="D38" s="364"/>
      <c r="E38" s="364"/>
      <c r="F38" s="364"/>
      <c r="G38" s="364"/>
      <c r="H38" s="364"/>
      <c r="I38" s="364"/>
      <c r="J38" s="364"/>
    </row>
    <row r="39" spans="2:10" x14ac:dyDescent="0.3">
      <c r="B39" s="305" t="s">
        <v>2574</v>
      </c>
      <c r="C39" s="305" t="str">
        <f>(COUNTIF('27 Model Audit'!$F:$F,"TIES")+COUNTIF('27 Model Audit'!$F:$F,"DOES NOT TIE"))&amp;" live checks re-deriving the model from the original pack sources."</f>
        <v>71 live checks re-deriving the model from the original pack sources.</v>
      </c>
      <c r="D39" s="364"/>
      <c r="E39" s="364"/>
      <c r="F39" s="364"/>
      <c r="G39" s="364"/>
      <c r="H39" s="364"/>
      <c r="I39" s="364"/>
      <c r="J39" s="364"/>
    </row>
    <row r="40" spans="2:10" x14ac:dyDescent="0.3">
      <c r="B40" s="308" t="s">
        <v>2575</v>
      </c>
      <c r="C40" s="308" t="s">
        <v>1826</v>
      </c>
      <c r="D40" s="364"/>
      <c r="E40" s="364"/>
      <c r="F40" s="364"/>
      <c r="G40" s="364"/>
      <c r="H40" s="364"/>
      <c r="I40" s="364"/>
      <c r="J40" s="364"/>
    </row>
    <row r="41" spans="2:10" x14ac:dyDescent="0.3">
      <c r="B41" s="305" t="s">
        <v>2576</v>
      </c>
      <c r="C41" s="305" t="s">
        <v>1827</v>
      </c>
      <c r="D41" s="364"/>
      <c r="E41" s="364"/>
      <c r="F41" s="364"/>
      <c r="G41" s="364"/>
      <c r="H41" s="364"/>
      <c r="I41" s="364"/>
      <c r="J41" s="364"/>
    </row>
    <row r="42" spans="2:10" ht="24.6" x14ac:dyDescent="0.3">
      <c r="B42" s="332" t="s">
        <v>1196</v>
      </c>
      <c r="C42" s="332"/>
      <c r="D42" s="364"/>
      <c r="E42" s="364"/>
      <c r="F42" s="364"/>
      <c r="G42" s="364"/>
      <c r="H42" s="364"/>
      <c r="I42" s="364"/>
      <c r="J42" s="364"/>
    </row>
    <row r="43" spans="2:10" ht="240.6" x14ac:dyDescent="0.3">
      <c r="B43" s="305" t="str">
        <f>"Alphabet's reported earnings overstate its earning power, so the reported multiple makes the stock look cheaper than it is. At $"&amp;TEXT('11 Valuation'!$C$6,"0.00")&amp;" the stock trades at "&amp;TEXT('06 Core EPS Bridge'!$C$19,"0.0")&amp;"x trailing REPORTED earnings and "&amp;TEXT('06 Core EPS Bridge'!$D$19,"0.0")&amp;"x trailing CORE earnings, because TTM net income of "&amp;TEXT('01 Income Statement'!$G$18,"#,##0")&amp;" contains "&amp;TEXT('17 Model'!$K$28,"#,##0")&amp;" of pretax mark-to-market gains on the equity-securities portfolio. Consensus does not appear to be misled by it: FY2026 consensus EPS of "&amp;TEXT('07 Consensus'!$C$6,"0.00")&amp;" is about "&amp;TEXT('07 Consensus'!$C$63,"0.00")&amp;" of core earnings plus the H1'26 marks already booked, FY2027 consensus of "&amp;TEXT('07 Consensus'!$C$34,"0.00")&amp;" is "&amp;TEXT(1-'07 Consensus'!$C$34/'07 Consensus'!$C$6,"0%")&amp;" lower, consistent with marks that do not recur, and the stock fell "&amp;TEXT(-'12 Peers'!$E$15/100,"0.0%")&amp;" over the eleven weeks to Sep 10 while Q2 reported EPS rose "&amp;TEXT('02 Quarterly'!$E$37,"0")&amp;"%. The "&amp;TEXT('11 Valuation'!$C$11,"0.0")&amp;"x flatters the stock for anyone who strikes a multiple off GAAP EPS. Parts 1 and 2 establish the gap from filed figures. Part 3 shows the cash question underneath it: capex has pushed free cash flow negative for th"&amp;"e first time, and "&amp;TEXT('08 PPE and Depreciation'!$C$24,"#,##0")&amp;" of assets are not yet in service, so the depreciation charge is still ahead of the business. Part 4 prices it. Part 5 forecasts what free cash flow normalises to once capex plateaus. Part 6 visualise"&amp;"s the evidence, and Part 7 proves the model ties back to its sources."</f>
        <v>Alphabet's reported earnings overstate its earning power, so the reported multiple makes the stock look cheaper than it is. At $340.59 the stock trades at 17.1x trailing REPORTED earnings and 33.0x trailing CORE earnings, because TTM net income of 244,205 contains 148,982 of pretax mark-to-market gains on the equity-securities portfolio. Consensus does not appear to be misled by it: FY2026 consensus EPS of 20.60 is about 11.85 of core earnings plus the H1'26 marks already booked, FY2027 consensus of 15.24 is 26% lower, consistent with marks that do not recur, and the stock fell 1.6% over the eleven weeks to Sep 10 while Q2 reported EPS rose 294%. The 17.1x flatters the stock for anyone who strikes a multiple off GAAP EPS. Parts 1 and 2 establish the gap from filed figures. Part 3 shows the cash question underneath it: capex has pushed free cash flow negative for the first time, and 122,814 of assets are not yet in service, so the depreciation charge is still ahead of the business. Part 4 prices it. Part 5 forecasts what free cash flow normalises to once capex plateaus. Part 6 visualises the evidence, and Part 7 proves the model ties back to its sources.</v>
      </c>
      <c r="C43" s="305"/>
      <c r="D43" s="364"/>
      <c r="E43" s="364"/>
      <c r="F43" s="364"/>
      <c r="G43" s="364"/>
      <c r="H43" s="364"/>
      <c r="I43" s="364"/>
      <c r="J43" s="364"/>
    </row>
    <row r="44" spans="2:10" x14ac:dyDescent="0.3">
      <c r="B44" s="306"/>
      <c r="C44" s="305"/>
      <c r="D44" s="364"/>
      <c r="E44" s="364"/>
      <c r="F44" s="364"/>
      <c r="G44" s="364"/>
      <c r="H44" s="364"/>
      <c r="I44" s="364"/>
      <c r="J44" s="364"/>
    </row>
    <row r="45" spans="2:10" ht="42" customHeight="1" x14ac:dyDescent="0.3">
      <c r="B45" s="658" t="s">
        <v>2757</v>
      </c>
      <c r="C45" s="658"/>
      <c r="D45" s="658"/>
      <c r="E45" s="658"/>
      <c r="F45" s="658"/>
      <c r="G45" s="658"/>
      <c r="H45" s="658"/>
      <c r="I45" s="658"/>
      <c r="J45" s="658"/>
    </row>
    <row r="46" spans="2:10" x14ac:dyDescent="0.3">
      <c r="B46" s="346" t="s">
        <v>4</v>
      </c>
      <c r="C46" s="346"/>
      <c r="D46" s="364"/>
      <c r="E46" s="364"/>
      <c r="F46" s="364"/>
      <c r="G46" s="364"/>
      <c r="H46" s="364"/>
      <c r="I46" s="364"/>
      <c r="J46" s="364"/>
    </row>
    <row r="47" spans="2:10" ht="69.599999999999994" x14ac:dyDescent="0.3">
      <c r="B47" s="307" t="s">
        <v>2758</v>
      </c>
      <c r="C47" s="307"/>
      <c r="D47" s="364"/>
      <c r="E47" s="364"/>
      <c r="F47" s="364"/>
      <c r="G47" s="364"/>
      <c r="H47" s="364"/>
      <c r="I47" s="364"/>
      <c r="J47" s="364"/>
    </row>
    <row r="48" spans="2:10" x14ac:dyDescent="0.3">
      <c r="B48" s="652" t="str">
        <f>"•  PP&amp;E IS CARRIED AS FILED. Standardized data feeds fold lease right-of-use assets into PP&amp;E, which overstates it by a gap that grows year over year. Filed net PP&amp;E is "&amp;TEXT('04 Balance Sheet'!$D$12,"#,##0")&amp;" at Dec 2024 and "&amp;TEXT('04 Balance Sheet'!$E$12,"#,##0")&amp;" at Dec 2025. Sheet '04 Balance Sheet' carries an AS FILED row, complete for every period - use it."</f>
        <v>•  PP&amp;E IS CARRIED AS FILED. Standardized data feeds fold lease right-of-use assets into PP&amp;E, which overstates it by a gap that grows year over year. Filed net PP&amp;E is 171,036 at Dec 2024 and 246,597 at Dec 2025. Sheet '04 Balance Sheet' carries an AS FILED row, complete for every period - use it.</v>
      </c>
      <c r="C48" s="652"/>
      <c r="D48" s="364"/>
      <c r="E48" s="364"/>
      <c r="F48" s="364"/>
      <c r="G48" s="364"/>
      <c r="H48" s="364"/>
      <c r="I48" s="364"/>
      <c r="J48" s="364"/>
    </row>
    <row r="49" spans="2:10" ht="103.8" x14ac:dyDescent="0.3">
      <c r="B49" s="307" t="str">
        <f>"•  THE FORMER ~85 TTM NET-INCOME DISCREPANCY IS RESOLVED. The difference is the H1'26 preferred-dividend allocation: consolidated TTM net income is "&amp;TEXT('01 Income Statement'!$G$18,"#,##0")&amp;", while income available to common is 244,119, effectively the provider's rounded 244,120. See '01 Income Statement'."</f>
        <v>•  THE FORMER ~85 TTM NET-INCOME DISCREPANCY IS RESOLVED. The difference is the H1'26 preferred-dividend allocation: consolidated TTM net income is 244,205, while income available to common is 244,119, effectively the provider's rounded 244,120. See '01 Income Statement'.</v>
      </c>
      <c r="C49" s="307"/>
      <c r="D49" s="364"/>
      <c r="E49" s="364"/>
      <c r="F49" s="364"/>
      <c r="G49" s="364"/>
      <c r="H49" s="364"/>
      <c r="I49" s="364"/>
      <c r="J49" s="364"/>
    </row>
    <row r="50" spans="2:10" ht="103.8" x14ac:dyDescent="0.3">
      <c r="B50" s="305" t="s">
        <v>1828</v>
      </c>
      <c r="C50" s="305"/>
      <c r="D50" s="364"/>
      <c r="E50" s="364"/>
      <c r="F50" s="364"/>
      <c r="G50" s="364"/>
      <c r="H50" s="364"/>
      <c r="I50" s="364"/>
      <c r="J50" s="364"/>
    </row>
    <row r="51" spans="2:10" x14ac:dyDescent="0.3">
      <c r="B51" s="653" t="str">
        <f>"•  ACTIVE SOURCES: "&amp;(COUNTA('28 Sources'!$I$6:$I$216)-COUNTIF('28 Sources'!$E$6:$E$216,"Archive - not used in workbook exhibits"))&amp;" URLs support the workbook; "&amp;COUNTIF('28 Sources'!$E$6:$E$216,"Archive - not used in workbook exhibits")&amp;" research-only links are retained as an archive. Dead links are zero."</f>
        <v>•  ACTIVE SOURCES: 179 URLs support the workbook; 32 research-only links are retained as an archive. Dead links are zero.</v>
      </c>
      <c r="C51" s="653"/>
      <c r="D51" s="364"/>
      <c r="E51" s="364"/>
      <c r="F51" s="364"/>
      <c r="G51" s="364"/>
      <c r="H51" s="364"/>
      <c r="I51" s="364"/>
      <c r="J51" s="364"/>
    </row>
    <row r="52" spans="2:10" ht="69.599999999999994" x14ac:dyDescent="0.3">
      <c r="B52" s="305" t="s">
        <v>2578</v>
      </c>
      <c r="C52" s="255"/>
      <c r="D52" s="364"/>
      <c r="E52" s="364"/>
      <c r="F52" s="364"/>
      <c r="G52" s="364"/>
      <c r="H52" s="364"/>
      <c r="I52" s="364"/>
      <c r="J52" s="364"/>
    </row>
    <row r="53" spans="2:10" ht="92.4" x14ac:dyDescent="0.3">
      <c r="B53" s="305" t="str">
        <f>"•  FOUR CONTROL LAYERS ARE LIVE. '26 Pack Audit' carries "&amp;(COUNTIF('26 Pack Audit'!$F:$F,"TIES")+COUNTIF('26 Pack Audit'!$F:$F,"DOES NOT TIE"))&amp;" checks, '27 Model Audit' carries "&amp;(COUNTIF('27 Model Audit'!$F:$F,"TIES")+COUNTIF('27 Model Audit'!$F:$F,"DOES NOT TIE"))&amp;", '18 Balance Sheet' carries "&amp;(COUNTIF('18 Balance Sheet'!$I:$I,"TIES")+COUNTIF('18 Balance Sheet'!$I:$I,"DOES NOT TIE"))&amp;", and '20 DCF Valuation' carries "&amp;(COUNTIF('20 DCF Valuation'!$F:$F,"TIES")+COUNTIF('20 DCF Valuation'!$F:$F,"DOES NOT TIE"))&amp;". "&amp;IF((COUNTIF('26 Pack Audit'!$F:$F,"DOES NOT TIE")+COUNTIF('27 Model Audit'!$F:$F,"DOES NOT TIE")+COUNTIF('18 Balance Sheet'!$I:$I,"DOES NOT TIE")+COUNTIF('20 DCF Valuation'!$F:$F,"DOES NOT TIE"))=0,"All "&amp;((COUNTIF('26 Pack Audit'!$F:$F,"TIES")+COUNTIF('26 Pack Audit'!$F:$F,"DOES NOT TIE"))+(COUNTIF('27 Model Audit'!$F:$F,"TIES")+COUNTIF('27 Model Audit'!$F:$F,"DOES NOT TIE"))+(COUNTIF('18 Balance Sheet'!$I:$I,"TIES")+COUNTIF('18 Balance Sheet'!$I:$I,"DOES NOT TIE"))+(COUNTIF('20 DCF Valuation'!$F:$F,"TIES")+COUNTIF('20 DCF Valuation'!$F:$F,"DOES NOT TIE")))&amp;" tie in the active scenario ("&amp;'16 Scenarios'!$F$6&amp;"); flip '16 Scenarios'!D6 to confirm the other two cases.",(COUNTIF('26 Pack Audit'!$F:$F,"DOES NOT TIE")+COUNTIF('27 Model Audit'!$F:$F,"DOES NOT TIE")+COUNTIF('18 Balance Sheet'!$I:$I,"DOES NOT TIE")+COUNTIF('20 DCF Valuation'!$F:$F,"DOES NOT TIE"))&amp;" of "&amp;((COUNTIF('26 Pack Audit'!$F:$F,"TIES")+COUNTIF('26 Pack Audit'!$F:$F,"DOES NOT TIE"))+(COUNTIF('27 Model Audit'!$F:$F,"TIES")+COUNTIF('27 Model Audit'!$F:$F,"DOES NOT TIE"))+(COUNTIF('18 Balance Sheet'!$I:$I,"TIES")+COUNTIF('18 Balance Sheet'!$I:$I,"DOES NOT TIE"))+(COUNTIF('20 DCF Valuation'!$F:$F,"TIES")+COUNTIF('20 DCF Valuation'!$F:$F,"DOES NOT TIE")))&amp;" DO NOT TIE in the active scenario.")</f>
        <v>•  FOUR CONTROL LAYERS ARE LIVE. '26 Pack Audit' carries 26 checks, '27 Model Audit' carries 71, '18 Balance Sheet' carries 8, and '20 DCF Valuation' carries 19. All 124 tie in the active scenario (BASE CASE); flip '16 Scenarios'!D6 to confirm the other two cases.</v>
      </c>
      <c r="C53" s="255"/>
      <c r="D53" s="364"/>
      <c r="E53" s="364"/>
      <c r="F53" s="364"/>
      <c r="G53" s="364"/>
      <c r="H53" s="364"/>
      <c r="I53" s="364"/>
      <c r="J53" s="364"/>
    </row>
    <row r="54" spans="2:10" x14ac:dyDescent="0.3">
      <c r="B54" s="305"/>
      <c r="C54" s="255"/>
      <c r="D54" s="364"/>
      <c r="E54" s="364"/>
      <c r="F54" s="364"/>
      <c r="G54" s="364"/>
      <c r="H54" s="364"/>
      <c r="I54" s="364"/>
      <c r="J54" s="364"/>
    </row>
    <row r="55" spans="2:10" ht="24.6" x14ac:dyDescent="0.3">
      <c r="B55" s="332" t="s">
        <v>850</v>
      </c>
      <c r="C55" s="327"/>
      <c r="D55" s="364"/>
      <c r="E55" s="364"/>
      <c r="F55" s="364"/>
      <c r="G55" s="364"/>
      <c r="H55" s="364"/>
      <c r="I55" s="364"/>
      <c r="J55" s="364"/>
    </row>
    <row r="56" spans="2:10" ht="24" x14ac:dyDescent="0.3">
      <c r="B56" s="338" t="s">
        <v>851</v>
      </c>
      <c r="C56" s="308" t="s">
        <v>852</v>
      </c>
      <c r="D56" s="364"/>
      <c r="E56" s="364"/>
      <c r="F56" s="364"/>
      <c r="G56" s="364"/>
      <c r="H56" s="364"/>
      <c r="I56" s="364"/>
      <c r="J56" s="364"/>
    </row>
    <row r="57" spans="2:10" x14ac:dyDescent="0.3">
      <c r="B57" s="322" t="s">
        <v>853</v>
      </c>
      <c r="C57" s="339" t="s">
        <v>854</v>
      </c>
      <c r="D57" s="364"/>
      <c r="E57" s="364"/>
      <c r="F57" s="364"/>
      <c r="G57" s="364"/>
      <c r="H57" s="364"/>
      <c r="I57" s="364"/>
      <c r="J57" s="364"/>
    </row>
    <row r="58" spans="2:10" ht="24" x14ac:dyDescent="0.3">
      <c r="B58" s="340" t="s">
        <v>855</v>
      </c>
      <c r="C58" s="305" t="s">
        <v>856</v>
      </c>
      <c r="D58" s="364"/>
      <c r="E58" s="364"/>
      <c r="F58" s="364"/>
      <c r="G58" s="364"/>
      <c r="H58" s="364"/>
      <c r="I58" s="364"/>
      <c r="J58" s="364"/>
    </row>
    <row r="59" spans="2:10" x14ac:dyDescent="0.3">
      <c r="B59" s="305"/>
      <c r="C59" s="305" t="s">
        <v>857</v>
      </c>
      <c r="D59" s="364"/>
      <c r="E59" s="364"/>
      <c r="F59" s="364"/>
      <c r="G59" s="364"/>
      <c r="H59" s="364"/>
      <c r="I59" s="364"/>
      <c r="J59" s="364"/>
    </row>
    <row r="60" spans="2:10" x14ac:dyDescent="0.3">
      <c r="B60" s="305"/>
      <c r="C60" s="305"/>
      <c r="D60" s="364"/>
      <c r="E60" s="364"/>
      <c r="F60" s="364"/>
      <c r="G60" s="364"/>
      <c r="H60" s="364"/>
      <c r="I60" s="364"/>
      <c r="J60" s="364"/>
    </row>
    <row r="61" spans="2:10" ht="24.6" x14ac:dyDescent="0.3">
      <c r="B61" s="332" t="s">
        <v>1197</v>
      </c>
      <c r="C61" s="332"/>
      <c r="D61" s="364"/>
      <c r="E61" s="364"/>
      <c r="F61" s="364"/>
      <c r="G61" s="364"/>
      <c r="H61" s="364"/>
      <c r="I61" s="364"/>
      <c r="J61" s="364"/>
    </row>
    <row r="62" spans="2:10" ht="24" x14ac:dyDescent="0.3">
      <c r="B62" s="305" t="s">
        <v>858</v>
      </c>
      <c r="C62" s="305" t="s">
        <v>859</v>
      </c>
      <c r="D62" s="364"/>
      <c r="E62" s="364"/>
      <c r="F62" s="364"/>
      <c r="G62" s="364"/>
      <c r="H62" s="364"/>
      <c r="I62" s="364"/>
      <c r="J62" s="364"/>
    </row>
    <row r="63" spans="2:10" x14ac:dyDescent="0.3">
      <c r="B63" s="305" t="s">
        <v>860</v>
      </c>
      <c r="C63" s="305" t="s">
        <v>861</v>
      </c>
      <c r="D63" s="364"/>
      <c r="E63" s="364"/>
      <c r="F63" s="364"/>
      <c r="G63" s="364"/>
      <c r="H63" s="364"/>
      <c r="I63" s="364"/>
      <c r="J63" s="364"/>
    </row>
    <row r="64" spans="2:10" ht="24" x14ac:dyDescent="0.3">
      <c r="B64" s="305" t="s">
        <v>862</v>
      </c>
      <c r="C64" s="305" t="s">
        <v>863</v>
      </c>
      <c r="D64" s="364"/>
      <c r="E64" s="364"/>
      <c r="F64" s="364"/>
      <c r="G64" s="364"/>
      <c r="H64" s="364"/>
      <c r="I64" s="364"/>
      <c r="J64" s="364"/>
    </row>
    <row r="65" spans="2:10" ht="24" x14ac:dyDescent="0.3">
      <c r="B65" s="305" t="s">
        <v>864</v>
      </c>
      <c r="C65" s="305" t="s">
        <v>1786</v>
      </c>
      <c r="D65" s="364"/>
      <c r="E65" s="364"/>
      <c r="F65" s="364"/>
      <c r="G65" s="364"/>
      <c r="H65" s="364"/>
      <c r="I65" s="364"/>
      <c r="J65" s="364"/>
    </row>
    <row r="66" spans="2:10" ht="24" x14ac:dyDescent="0.3">
      <c r="B66" s="305" t="s">
        <v>1198</v>
      </c>
      <c r="C66" s="305" t="s">
        <v>2322</v>
      </c>
      <c r="D66" s="364"/>
      <c r="E66" s="364"/>
      <c r="F66" s="364"/>
      <c r="G66" s="364"/>
      <c r="H66" s="364"/>
      <c r="I66" s="364"/>
      <c r="J66" s="364"/>
    </row>
    <row r="67" spans="2:10" ht="35.4" x14ac:dyDescent="0.3">
      <c r="B67" s="305" t="s">
        <v>1199</v>
      </c>
      <c r="C67" s="305" t="s">
        <v>1200</v>
      </c>
      <c r="D67" s="364"/>
      <c r="E67" s="364"/>
      <c r="F67" s="364"/>
      <c r="G67" s="364"/>
      <c r="H67" s="364"/>
      <c r="I67" s="364"/>
      <c r="J67" s="364"/>
    </row>
    <row r="68" spans="2:10" ht="22.8" x14ac:dyDescent="0.3">
      <c r="B68" s="305" t="s">
        <v>1224</v>
      </c>
      <c r="C68" s="339" t="s">
        <v>1787</v>
      </c>
      <c r="D68" s="256">
        <v>1</v>
      </c>
      <c r="E68" s="257">
        <v>2</v>
      </c>
      <c r="F68" s="258">
        <v>3</v>
      </c>
      <c r="G68" s="259">
        <v>4</v>
      </c>
      <c r="H68" s="260">
        <v>5</v>
      </c>
      <c r="I68" s="261">
        <v>6</v>
      </c>
      <c r="J68" s="393">
        <v>7</v>
      </c>
    </row>
    <row r="69" spans="2:10" ht="195" x14ac:dyDescent="0.3">
      <c r="B69" s="309" t="s">
        <v>2579</v>
      </c>
      <c r="C69" s="309"/>
      <c r="D69" s="364"/>
      <c r="E69" s="364"/>
      <c r="F69" s="364"/>
      <c r="G69" s="364"/>
      <c r="H69" s="364"/>
      <c r="I69" s="364"/>
      <c r="J69" s="364"/>
    </row>
    <row r="70" spans="2:10" ht="195" x14ac:dyDescent="0.3">
      <c r="B70" s="309" t="s">
        <v>2676</v>
      </c>
      <c r="C70" s="309"/>
      <c r="D70" s="364"/>
      <c r="E70" s="364"/>
      <c r="F70" s="364"/>
      <c r="G70" s="364"/>
      <c r="H70" s="364"/>
      <c r="I70" s="364"/>
      <c r="J70" s="364"/>
    </row>
  </sheetData>
  <mergeCells count="5">
    <mergeCell ref="B48:C48"/>
    <mergeCell ref="B51:C51"/>
    <mergeCell ref="B37:C37"/>
    <mergeCell ref="B23:C23"/>
    <mergeCell ref="B45:J45"/>
  </mergeCells>
  <printOptions horizontalCentered="1"/>
  <pageMargins left="0.30000000000000004" right="0.30000000000000004" top="0.41666666666666669" bottom="0.41666666666666669" header="0.19444444444444445" footer="0.19444444444444445"/>
  <pageSetup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3597B"/>
    <pageSetUpPr fitToPage="1"/>
  </sheetPr>
  <dimension ref="B1:J27"/>
  <sheetViews>
    <sheetView showGridLines="0" workbookViewId="0">
      <pane xSplit="2" ySplit="5" topLeftCell="C6" activePane="bottomRight" state="frozen"/>
      <selection pane="topRight" activeCell="C1" sqref="C1"/>
      <selection pane="bottomLeft" activeCell="A6" sqref="A6"/>
      <selection pane="bottomRight" activeCell="B26" sqref="B26:J26"/>
    </sheetView>
  </sheetViews>
  <sheetFormatPr defaultRowHeight="14.4" x14ac:dyDescent="0.3"/>
  <cols>
    <col min="1" max="1" width="3.33203125" customWidth="1"/>
    <col min="2" max="2" width="46.33203125" customWidth="1"/>
    <col min="3" max="7" width="17.5546875" customWidth="1"/>
    <col min="8" max="8" width="31.44140625" customWidth="1"/>
  </cols>
  <sheetData>
    <row r="1" spans="2:10" ht="6" customHeight="1" x14ac:dyDescent="0.3"/>
    <row r="2" spans="2:10" ht="28.05" customHeight="1" thickBot="1" x14ac:dyDescent="0.45">
      <c r="B2" s="396" t="s">
        <v>1805</v>
      </c>
      <c r="C2" s="396"/>
      <c r="D2" s="396"/>
      <c r="E2" s="396"/>
      <c r="F2" s="396"/>
      <c r="G2" s="396"/>
      <c r="H2" s="396"/>
      <c r="I2" s="396"/>
      <c r="J2" s="396"/>
    </row>
    <row r="3" spans="2:10" ht="15" thickBot="1" x14ac:dyDescent="0.35">
      <c r="B3" s="80" t="s">
        <v>5</v>
      </c>
      <c r="C3" s="4"/>
      <c r="D3" s="4"/>
      <c r="E3" s="4"/>
      <c r="F3" s="4"/>
      <c r="G3" s="4"/>
      <c r="H3" s="4"/>
      <c r="I3" s="4"/>
      <c r="J3" s="4"/>
    </row>
    <row r="4" spans="2:10" x14ac:dyDescent="0.3">
      <c r="B4" s="1"/>
      <c r="C4" s="1"/>
      <c r="D4" s="1"/>
      <c r="E4" s="1"/>
      <c r="F4" s="1"/>
      <c r="G4" s="1"/>
      <c r="H4" s="1"/>
      <c r="I4" s="1"/>
      <c r="J4" s="1"/>
    </row>
    <row r="5" spans="2:10" ht="18" customHeight="1" x14ac:dyDescent="0.3">
      <c r="B5" s="128" t="s">
        <v>6</v>
      </c>
      <c r="C5" s="129" t="s">
        <v>7</v>
      </c>
      <c r="D5" s="129" t="s">
        <v>8</v>
      </c>
      <c r="E5" s="129" t="s">
        <v>9</v>
      </c>
      <c r="F5" s="129" t="s">
        <v>10</v>
      </c>
      <c r="G5" s="129" t="s">
        <v>11</v>
      </c>
      <c r="H5" s="129" t="s">
        <v>12</v>
      </c>
      <c r="I5" s="16"/>
      <c r="J5" s="16"/>
    </row>
    <row r="6" spans="2:10" x14ac:dyDescent="0.3">
      <c r="B6" s="93" t="s">
        <v>13</v>
      </c>
      <c r="C6" s="94">
        <v>307394</v>
      </c>
      <c r="D6" s="94">
        <v>350018</v>
      </c>
      <c r="E6" s="94">
        <v>402836</v>
      </c>
      <c r="F6" s="94">
        <v>422498</v>
      </c>
      <c r="G6" s="95">
        <f>E6+'02 Quarterly'!D7+'02 Quarterly'!D23-'02 Quarterly'!C7-'02 Quarterly'!C23</f>
        <v>445866</v>
      </c>
      <c r="H6" s="120" t="s">
        <v>14</v>
      </c>
      <c r="I6" s="1"/>
      <c r="J6" s="1"/>
    </row>
    <row r="7" spans="2:10" x14ac:dyDescent="0.3">
      <c r="B7" s="96" t="s">
        <v>15</v>
      </c>
      <c r="C7" s="97">
        <v>133332</v>
      </c>
      <c r="D7" s="97">
        <v>146306</v>
      </c>
      <c r="E7" s="97">
        <v>162535</v>
      </c>
      <c r="F7" s="97">
        <v>167445</v>
      </c>
      <c r="G7" s="98">
        <f>E7+'02 Quarterly'!D8+'02 Quarterly'!D24-'02 Quarterly'!C8-'02 Quarterly'!C24</f>
        <v>174349</v>
      </c>
      <c r="H7" s="121" t="s">
        <v>14</v>
      </c>
      <c r="I7" s="1"/>
      <c r="J7" s="1"/>
    </row>
    <row r="8" spans="2:10" x14ac:dyDescent="0.3">
      <c r="B8" s="99" t="s">
        <v>16</v>
      </c>
      <c r="C8" s="100">
        <v>45427</v>
      </c>
      <c r="D8" s="100">
        <v>49326</v>
      </c>
      <c r="E8" s="100">
        <v>61087</v>
      </c>
      <c r="F8" s="100">
        <v>64563</v>
      </c>
      <c r="G8" s="100">
        <v>68974</v>
      </c>
      <c r="H8" s="120" t="s">
        <v>14</v>
      </c>
      <c r="I8" s="1"/>
      <c r="J8" s="1"/>
    </row>
    <row r="9" spans="2:10" x14ac:dyDescent="0.3">
      <c r="B9" s="96" t="s">
        <v>17</v>
      </c>
      <c r="C9" s="97">
        <v>27917</v>
      </c>
      <c r="D9" s="97">
        <v>27808</v>
      </c>
      <c r="E9" s="97">
        <v>28693</v>
      </c>
      <c r="F9" s="101"/>
      <c r="G9" s="97">
        <v>31429</v>
      </c>
      <c r="H9" s="121" t="s">
        <v>14</v>
      </c>
      <c r="I9" s="1"/>
      <c r="J9" s="1"/>
    </row>
    <row r="10" spans="2:10" x14ac:dyDescent="0.3">
      <c r="B10" s="102" t="s">
        <v>18</v>
      </c>
      <c r="C10" s="103">
        <v>16425</v>
      </c>
      <c r="D10" s="103">
        <v>14188</v>
      </c>
      <c r="E10" s="103">
        <v>21482</v>
      </c>
      <c r="F10" s="104"/>
      <c r="G10" s="103">
        <v>23486</v>
      </c>
      <c r="H10" s="122" t="s">
        <v>14</v>
      </c>
      <c r="I10" s="1"/>
      <c r="J10" s="1"/>
    </row>
    <row r="11" spans="2:10" x14ac:dyDescent="0.3">
      <c r="B11" s="105" t="s">
        <v>19</v>
      </c>
      <c r="C11" s="106">
        <f>C7+C8+C9+C10</f>
        <v>223101</v>
      </c>
      <c r="D11" s="106">
        <f>D7+D8+D9+D10</f>
        <v>237628</v>
      </c>
      <c r="E11" s="106">
        <f>E7+E8+E9+E10</f>
        <v>273797</v>
      </c>
      <c r="F11" s="107">
        <v>284369</v>
      </c>
      <c r="G11" s="106">
        <f>G7+G8+G9+G10</f>
        <v>298238</v>
      </c>
      <c r="H11" s="123" t="s">
        <v>14</v>
      </c>
      <c r="I11" s="1"/>
      <c r="J11" s="1"/>
    </row>
    <row r="12" spans="2:10" x14ac:dyDescent="0.3">
      <c r="B12" s="108" t="s">
        <v>20</v>
      </c>
      <c r="C12" s="109">
        <f>C6-C11</f>
        <v>84293</v>
      </c>
      <c r="D12" s="109">
        <f>D6-D11</f>
        <v>112390</v>
      </c>
      <c r="E12" s="109">
        <f>E6-E11</f>
        <v>129039</v>
      </c>
      <c r="F12" s="109">
        <f>F6-F11</f>
        <v>138129</v>
      </c>
      <c r="G12" s="109">
        <f>G6-G11</f>
        <v>147628</v>
      </c>
      <c r="H12" s="124" t="s">
        <v>14</v>
      </c>
      <c r="I12" s="1"/>
      <c r="J12" s="1"/>
    </row>
    <row r="13" spans="2:10" x14ac:dyDescent="0.3">
      <c r="B13" s="110" t="s">
        <v>21</v>
      </c>
      <c r="C13" s="111">
        <f>C12/C6*100</f>
        <v>27.421810445226647</v>
      </c>
      <c r="D13" s="111">
        <f>D12/D6*100</f>
        <v>32.109777211457697</v>
      </c>
      <c r="E13" s="111">
        <f>E12/E6*100</f>
        <v>32.032638592380025</v>
      </c>
      <c r="F13" s="111">
        <f>F12/F6*100</f>
        <v>32.693409199570176</v>
      </c>
      <c r="G13" s="111">
        <f>G12/G6*100</f>
        <v>33.1103963971238</v>
      </c>
      <c r="H13" s="125" t="s">
        <v>22</v>
      </c>
      <c r="I13" s="1"/>
      <c r="J13" s="1"/>
    </row>
    <row r="14" spans="2:10" x14ac:dyDescent="0.3">
      <c r="B14" s="102" t="s">
        <v>23</v>
      </c>
      <c r="C14" s="103">
        <v>1424</v>
      </c>
      <c r="D14" s="103">
        <v>7425</v>
      </c>
      <c r="E14" s="103">
        <v>29787</v>
      </c>
      <c r="F14" s="103">
        <v>56320</v>
      </c>
      <c r="G14" s="112">
        <f>E14+'02 Quarterly'!D12+'02 Quarterly'!D30-'02 Quarterly'!C12-'02 Quarterly'!C30</f>
        <v>151641</v>
      </c>
      <c r="H14" s="122" t="s">
        <v>14</v>
      </c>
      <c r="I14" s="1"/>
      <c r="J14" s="1"/>
    </row>
    <row r="15" spans="2:10" x14ac:dyDescent="0.3">
      <c r="B15" s="108" t="s">
        <v>24</v>
      </c>
      <c r="C15" s="109">
        <f>C12+C14</f>
        <v>85717</v>
      </c>
      <c r="D15" s="109">
        <f>D12+D14</f>
        <v>119815</v>
      </c>
      <c r="E15" s="109">
        <f>E12+E14</f>
        <v>158826</v>
      </c>
      <c r="F15" s="109">
        <f>F12+F14</f>
        <v>194449</v>
      </c>
      <c r="G15" s="109">
        <f>G12+G14</f>
        <v>299269</v>
      </c>
      <c r="H15" s="124" t="s">
        <v>14</v>
      </c>
      <c r="I15" s="1"/>
      <c r="J15" s="1"/>
    </row>
    <row r="16" spans="2:10" x14ac:dyDescent="0.3">
      <c r="B16" s="113" t="s">
        <v>25</v>
      </c>
      <c r="C16" s="114">
        <v>11922</v>
      </c>
      <c r="D16" s="114">
        <v>19697</v>
      </c>
      <c r="E16" s="114">
        <v>26656</v>
      </c>
      <c r="F16" s="114">
        <v>34241</v>
      </c>
      <c r="G16" s="115">
        <f>E16+'02 Quarterly'!D15+'02 Quarterly'!D34-'02 Quarterly'!C15-'02 Quarterly'!C34</f>
        <v>55064</v>
      </c>
      <c r="H16" s="126" t="s">
        <v>14</v>
      </c>
      <c r="I16" s="1"/>
      <c r="J16" s="1"/>
    </row>
    <row r="17" spans="2:10" x14ac:dyDescent="0.3">
      <c r="B17" s="116" t="s">
        <v>26</v>
      </c>
      <c r="C17" s="117">
        <f>C16/C15*100</f>
        <v>13.908559562280528</v>
      </c>
      <c r="D17" s="117">
        <f>D16/D15*100</f>
        <v>16.439510912657013</v>
      </c>
      <c r="E17" s="117">
        <f>E16/E15*100</f>
        <v>16.783146336242176</v>
      </c>
      <c r="F17" s="117">
        <f>F16/F15*100</f>
        <v>17.609244583412618</v>
      </c>
      <c r="G17" s="117">
        <f>G16/G15*100</f>
        <v>18.399500115280901</v>
      </c>
      <c r="H17" s="127" t="s">
        <v>22</v>
      </c>
      <c r="I17" s="1"/>
      <c r="J17" s="1"/>
    </row>
    <row r="18" spans="2:10" x14ac:dyDescent="0.3">
      <c r="B18" s="108" t="s">
        <v>27</v>
      </c>
      <c r="C18" s="109">
        <f>C15-C16</f>
        <v>73795</v>
      </c>
      <c r="D18" s="109">
        <f>D15-D16</f>
        <v>100118</v>
      </c>
      <c r="E18" s="109">
        <f>E15-E16</f>
        <v>132170</v>
      </c>
      <c r="F18" s="109">
        <f>F15-F16</f>
        <v>160208</v>
      </c>
      <c r="G18" s="109">
        <f>G15-G16</f>
        <v>244205</v>
      </c>
      <c r="H18" s="124" t="s">
        <v>1575</v>
      </c>
      <c r="I18" s="1"/>
      <c r="J18" s="1"/>
    </row>
    <row r="19" spans="2:10" x14ac:dyDescent="0.3">
      <c r="B19" s="110" t="s">
        <v>28</v>
      </c>
      <c r="C19" s="118">
        <v>5.8</v>
      </c>
      <c r="D19" s="118">
        <v>8.0399999999999991</v>
      </c>
      <c r="E19" s="118">
        <v>10.81</v>
      </c>
      <c r="F19" s="118">
        <v>13.11</v>
      </c>
      <c r="G19" s="118">
        <v>19.93</v>
      </c>
      <c r="H19" s="125" t="str">
        <f>"DERIVED from filed: FY2025 "&amp;TEXT($E$19,"0.00")&amp;" + H1'26 "&amp;TEXT('06 Core EPS Bridge'!$J$13,"0.00")&amp;" - H1'25 "&amp;TEXT('06 Core EPS Bridge'!$F$13+'06 Core EPS Bridge'!$H$13,"0.00")</f>
        <v>DERIVED from filed: FY2025 10.81 + H1'26 14.24 - H1'25 5.12</v>
      </c>
      <c r="I19" s="1"/>
      <c r="J19" s="1"/>
    </row>
    <row r="20" spans="2:10" x14ac:dyDescent="0.3">
      <c r="B20" s="99" t="s">
        <v>29</v>
      </c>
      <c r="C20" s="119">
        <v>12722</v>
      </c>
      <c r="D20" s="119">
        <v>12447</v>
      </c>
      <c r="E20" s="119">
        <v>12230</v>
      </c>
      <c r="F20" s="119">
        <v>12217</v>
      </c>
      <c r="G20" s="176">
        <f>E20+'05 Capital Structure'!C16-'05 Capital Structure'!C21</f>
        <v>12259</v>
      </c>
      <c r="H20" s="120" t="s">
        <v>2001</v>
      </c>
      <c r="I20" s="1"/>
      <c r="J20" s="1"/>
    </row>
    <row r="21" spans="2:10" x14ac:dyDescent="0.3">
      <c r="B21" s="1"/>
      <c r="C21" s="1"/>
      <c r="D21" s="1"/>
      <c r="E21" s="1"/>
      <c r="F21" s="1"/>
      <c r="G21" s="1"/>
      <c r="H21" s="1"/>
      <c r="I21" s="1"/>
      <c r="J21" s="1"/>
    </row>
    <row r="22" spans="2:10" x14ac:dyDescent="0.3">
      <c r="B22" s="130" t="s">
        <v>30</v>
      </c>
      <c r="C22" s="131"/>
      <c r="D22" s="131"/>
      <c r="E22" s="131"/>
      <c r="F22" s="131"/>
      <c r="G22" s="131"/>
      <c r="H22" s="131"/>
      <c r="I22" s="131"/>
      <c r="J22" s="131"/>
    </row>
    <row r="23" spans="2:10" ht="30" customHeight="1" x14ac:dyDescent="0.3">
      <c r="B23" s="659" t="s">
        <v>31</v>
      </c>
      <c r="C23" s="660"/>
      <c r="D23" s="660"/>
      <c r="E23" s="660"/>
      <c r="F23" s="660"/>
      <c r="G23" s="660"/>
      <c r="H23" s="660"/>
      <c r="I23" s="660"/>
      <c r="J23" s="660"/>
    </row>
    <row r="24" spans="2:10" x14ac:dyDescent="0.3">
      <c r="B24" s="659" t="s">
        <v>1576</v>
      </c>
      <c r="C24" s="660"/>
      <c r="D24" s="660"/>
      <c r="E24" s="660"/>
      <c r="F24" s="660"/>
      <c r="G24" s="660"/>
      <c r="H24" s="660"/>
      <c r="I24" s="660"/>
      <c r="J24" s="660"/>
    </row>
    <row r="25" spans="2:10" ht="34.049999999999997" customHeight="1" x14ac:dyDescent="0.3">
      <c r="B25" s="659" t="str">
        <f>"•  TTM diluted EPS of "&amp;TEXT($G$19,"0.00")&amp;" is as-reported by the data provider. A TTM EPS cannot be built by summing weighted-average share counts."</f>
        <v>•  TTM diluted EPS of 19.93 is as-reported by the data provider. A TTM EPS cannot be built by summing weighted-average share counts.</v>
      </c>
      <c r="C25" s="660"/>
      <c r="D25" s="660"/>
      <c r="E25" s="660"/>
      <c r="F25" s="660"/>
      <c r="G25" s="660"/>
      <c r="H25" s="660"/>
      <c r="I25" s="660"/>
      <c r="J25" s="660"/>
    </row>
    <row r="26" spans="2:10" ht="30" customHeight="1" x14ac:dyDescent="0.3">
      <c r="B26" s="659" t="str">
        <f>"•  FY2025 G&amp;A jumped "&amp;"("&amp;TEXT($E$10,"#,##0")&amp;" vs "&amp;TEXT($D$10,"#,##0")&amp;")"&amp;" partly on the EUR 2.95B EU ad-tech fine booked in Q3 2025 plus legal charges."</f>
        <v>•  FY2025 G&amp;A jumped (21,482 vs 14,188) partly on the EUR 2.95B EU ad-tech fine booked in Q3 2025 plus legal charges.</v>
      </c>
      <c r="C26" s="660"/>
      <c r="D26" s="660"/>
      <c r="E26" s="660"/>
      <c r="F26" s="660"/>
      <c r="G26" s="660"/>
      <c r="H26" s="660"/>
      <c r="I26" s="660"/>
      <c r="J26" s="660"/>
    </row>
    <row r="27" spans="2:10" ht="28.05" customHeight="1" x14ac:dyDescent="0.3">
      <c r="B27" s="659" t="s">
        <v>32</v>
      </c>
      <c r="C27" s="660"/>
      <c r="D27" s="660"/>
      <c r="E27" s="660"/>
      <c r="F27" s="660"/>
      <c r="G27" s="660"/>
      <c r="H27" s="660"/>
      <c r="I27" s="660"/>
      <c r="J27" s="660"/>
    </row>
  </sheetData>
  <mergeCells count="5">
    <mergeCell ref="B26:J26"/>
    <mergeCell ref="B24:J24"/>
    <mergeCell ref="B23:J23"/>
    <mergeCell ref="B27:J27"/>
    <mergeCell ref="B25:J25"/>
  </mergeCells>
  <printOptions horizontalCentered="1"/>
  <pageMargins left="0.30000000000000004" right="0.30000000000000004" top="0.41666666666666669" bottom="0.41666666666666669" header="0.19444444444444445" footer="0.19444444444444445"/>
  <pageSetup scale="72"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3597B"/>
    <pageSetUpPr fitToPage="1"/>
  </sheetPr>
  <dimension ref="B1:J44"/>
  <sheetViews>
    <sheetView showGridLines="0" workbookViewId="0">
      <pane xSplit="2" ySplit="5" topLeftCell="C6" activePane="bottomRight" state="frozen"/>
      <selection pane="topRight" activeCell="C1" sqref="C1"/>
      <selection pane="bottomLeft" activeCell="A6" sqref="A6"/>
      <selection pane="bottomRight" activeCell="B43" sqref="B43:J43"/>
    </sheetView>
  </sheetViews>
  <sheetFormatPr defaultRowHeight="14.4" x14ac:dyDescent="0.3"/>
  <cols>
    <col min="1" max="1" width="3.33203125" customWidth="1"/>
    <col min="2" max="2" width="46.33203125" customWidth="1"/>
    <col min="3" max="5" width="17.5546875" customWidth="1"/>
  </cols>
  <sheetData>
    <row r="1" spans="2:10" ht="6" customHeight="1" x14ac:dyDescent="0.3"/>
    <row r="2" spans="2:10" ht="28.05" customHeight="1" thickBot="1" x14ac:dyDescent="0.45">
      <c r="B2" s="396" t="s">
        <v>1806</v>
      </c>
      <c r="C2" s="396"/>
      <c r="D2" s="396"/>
      <c r="E2" s="396"/>
      <c r="F2" s="396"/>
      <c r="G2" s="396"/>
      <c r="H2" s="396"/>
      <c r="I2" s="396"/>
      <c r="J2" s="396"/>
    </row>
    <row r="3" spans="2:10" ht="15" thickBot="1" x14ac:dyDescent="0.35">
      <c r="B3" s="80" t="s">
        <v>33</v>
      </c>
      <c r="C3" s="4"/>
      <c r="D3" s="4"/>
      <c r="E3" s="4"/>
      <c r="F3" s="4"/>
      <c r="G3" s="4"/>
      <c r="H3" s="4"/>
      <c r="I3" s="4"/>
      <c r="J3" s="4"/>
    </row>
    <row r="4" spans="2:10" x14ac:dyDescent="0.3">
      <c r="B4" s="1"/>
      <c r="C4" s="1"/>
      <c r="D4" s="1"/>
      <c r="E4" s="1"/>
      <c r="F4" s="1"/>
      <c r="G4" s="1"/>
      <c r="H4" s="1"/>
      <c r="I4" s="1"/>
      <c r="J4" s="1"/>
    </row>
    <row r="5" spans="2:10" x14ac:dyDescent="0.3">
      <c r="B5" s="170" t="s">
        <v>34</v>
      </c>
      <c r="C5" s="170"/>
      <c r="D5" s="170"/>
      <c r="E5" s="170"/>
      <c r="F5" s="170"/>
      <c r="G5" s="170"/>
      <c r="H5" s="170"/>
      <c r="I5" s="170"/>
      <c r="J5" s="170"/>
    </row>
    <row r="6" spans="2:10" ht="18" customHeight="1" x14ac:dyDescent="0.3">
      <c r="B6" s="128" t="s">
        <v>6</v>
      </c>
      <c r="C6" s="129" t="s">
        <v>35</v>
      </c>
      <c r="D6" s="129" t="s">
        <v>36</v>
      </c>
      <c r="E6" s="16"/>
      <c r="F6" s="16"/>
      <c r="G6" s="16"/>
      <c r="H6" s="16"/>
      <c r="I6" s="16"/>
      <c r="J6" s="16"/>
    </row>
    <row r="7" spans="2:10" x14ac:dyDescent="0.3">
      <c r="B7" s="93" t="s">
        <v>37</v>
      </c>
      <c r="C7" s="94">
        <v>90234</v>
      </c>
      <c r="D7" s="94">
        <v>109896</v>
      </c>
      <c r="E7" s="154"/>
      <c r="F7" s="155"/>
      <c r="G7" s="155"/>
      <c r="H7" s="155"/>
      <c r="I7" s="155"/>
      <c r="J7" s="155"/>
    </row>
    <row r="8" spans="2:10" x14ac:dyDescent="0.3">
      <c r="B8" s="96" t="s">
        <v>38</v>
      </c>
      <c r="C8" s="97">
        <v>36361</v>
      </c>
      <c r="D8" s="97">
        <v>41271</v>
      </c>
      <c r="E8" s="156"/>
      <c r="F8" s="157"/>
      <c r="G8" s="157"/>
      <c r="H8" s="157"/>
      <c r="I8" s="157"/>
      <c r="J8" s="157"/>
    </row>
    <row r="9" spans="2:10" x14ac:dyDescent="0.3">
      <c r="B9" s="102" t="s">
        <v>39</v>
      </c>
      <c r="C9" s="103">
        <v>23267</v>
      </c>
      <c r="D9" s="103">
        <v>28929</v>
      </c>
      <c r="E9" s="158"/>
      <c r="F9" s="159"/>
      <c r="G9" s="159"/>
      <c r="H9" s="159"/>
      <c r="I9" s="159"/>
      <c r="J9" s="159"/>
    </row>
    <row r="10" spans="2:10" x14ac:dyDescent="0.3">
      <c r="B10" s="108" t="s">
        <v>20</v>
      </c>
      <c r="C10" s="109">
        <f>C7-C8-C9</f>
        <v>30606</v>
      </c>
      <c r="D10" s="109">
        <f>D7-D8-D9</f>
        <v>39696</v>
      </c>
      <c r="E10" s="160"/>
      <c r="F10" s="161"/>
      <c r="G10" s="161"/>
      <c r="H10" s="161"/>
      <c r="I10" s="161"/>
      <c r="J10" s="161"/>
    </row>
    <row r="11" spans="2:10" x14ac:dyDescent="0.3">
      <c r="B11" s="113" t="s">
        <v>21</v>
      </c>
      <c r="C11" s="133">
        <f>C10/C7*100</f>
        <v>33.91847862224882</v>
      </c>
      <c r="D11" s="133">
        <f>D10/D7*100</f>
        <v>36.121423891679406</v>
      </c>
      <c r="E11" s="162"/>
      <c r="F11" s="163"/>
      <c r="G11" s="163"/>
      <c r="H11" s="163"/>
      <c r="I11" s="163"/>
      <c r="J11" s="163"/>
    </row>
    <row r="12" spans="2:10" x14ac:dyDescent="0.3">
      <c r="B12" s="96" t="s">
        <v>23</v>
      </c>
      <c r="C12" s="97">
        <v>11183</v>
      </c>
      <c r="D12" s="97">
        <v>37716</v>
      </c>
      <c r="E12" s="156"/>
      <c r="F12" s="157"/>
      <c r="G12" s="157"/>
      <c r="H12" s="157"/>
      <c r="I12" s="157"/>
      <c r="J12" s="157"/>
    </row>
    <row r="13" spans="2:10" x14ac:dyDescent="0.3">
      <c r="B13" s="102" t="s">
        <v>2000</v>
      </c>
      <c r="C13" s="103">
        <v>9758</v>
      </c>
      <c r="D13" s="103">
        <v>36915</v>
      </c>
      <c r="E13" s="158"/>
      <c r="F13" s="159"/>
      <c r="G13" s="159"/>
      <c r="H13" s="159"/>
      <c r="I13" s="159"/>
      <c r="J13" s="159"/>
    </row>
    <row r="14" spans="2:10" x14ac:dyDescent="0.3">
      <c r="B14" s="108" t="s">
        <v>40</v>
      </c>
      <c r="C14" s="109">
        <f>C10+C12</f>
        <v>41789</v>
      </c>
      <c r="D14" s="109">
        <f>D10+D12</f>
        <v>77412</v>
      </c>
      <c r="E14" s="160"/>
      <c r="F14" s="161"/>
      <c r="G14" s="161"/>
      <c r="H14" s="161"/>
      <c r="I14" s="161"/>
      <c r="J14" s="161"/>
    </row>
    <row r="15" spans="2:10" x14ac:dyDescent="0.3">
      <c r="B15" s="134" t="s">
        <v>41</v>
      </c>
      <c r="C15" s="135">
        <v>7249</v>
      </c>
      <c r="D15" s="135">
        <v>14834</v>
      </c>
      <c r="E15" s="164"/>
      <c r="F15" s="165"/>
      <c r="G15" s="165"/>
      <c r="H15" s="165"/>
      <c r="I15" s="165"/>
      <c r="J15" s="165"/>
    </row>
    <row r="16" spans="2:10" x14ac:dyDescent="0.3">
      <c r="B16" s="108" t="s">
        <v>27</v>
      </c>
      <c r="C16" s="109">
        <f>C14-C15</f>
        <v>34540</v>
      </c>
      <c r="D16" s="109">
        <f>D14-D15</f>
        <v>62578</v>
      </c>
      <c r="E16" s="160"/>
      <c r="F16" s="161"/>
      <c r="G16" s="161"/>
      <c r="H16" s="161"/>
      <c r="I16" s="161"/>
      <c r="J16" s="161"/>
    </row>
    <row r="17" spans="2:10" x14ac:dyDescent="0.3">
      <c r="B17" s="113" t="s">
        <v>42</v>
      </c>
      <c r="C17" s="136">
        <v>2.81</v>
      </c>
      <c r="D17" s="136">
        <v>5.1100000000000003</v>
      </c>
      <c r="E17" s="166"/>
      <c r="F17" s="163"/>
      <c r="G17" s="163"/>
      <c r="H17" s="163"/>
      <c r="I17" s="163"/>
      <c r="J17" s="163"/>
    </row>
    <row r="18" spans="2:10" x14ac:dyDescent="0.3">
      <c r="B18" s="96" t="s">
        <v>43</v>
      </c>
      <c r="C18" s="137">
        <f>'06 Core EPS Bridge'!F12</f>
        <v>2.1829940606948175</v>
      </c>
      <c r="D18" s="137">
        <f>'06 Core EPS Bridge'!G12</f>
        <v>2.7304420656970096</v>
      </c>
      <c r="E18" s="167"/>
      <c r="F18" s="157"/>
      <c r="G18" s="157"/>
      <c r="H18" s="157"/>
      <c r="I18" s="157"/>
      <c r="J18" s="157"/>
    </row>
    <row r="19" spans="2:10" x14ac:dyDescent="0.3">
      <c r="B19" s="99" t="s">
        <v>44</v>
      </c>
      <c r="C19" s="100">
        <v>12291</v>
      </c>
      <c r="D19" s="100">
        <v>12238</v>
      </c>
      <c r="E19" s="154"/>
      <c r="F19" s="155"/>
      <c r="G19" s="155"/>
      <c r="H19" s="155"/>
      <c r="I19" s="155"/>
      <c r="J19" s="155"/>
    </row>
    <row r="20" spans="2:10" x14ac:dyDescent="0.3">
      <c r="B20" s="1"/>
      <c r="C20" s="1"/>
      <c r="D20" s="1"/>
      <c r="E20" s="1"/>
      <c r="F20" s="1"/>
      <c r="G20" s="1"/>
      <c r="H20" s="1"/>
      <c r="I20" s="1"/>
      <c r="J20" s="1"/>
    </row>
    <row r="21" spans="2:10" x14ac:dyDescent="0.3">
      <c r="B21" s="170" t="s">
        <v>45</v>
      </c>
      <c r="C21" s="170"/>
      <c r="D21" s="170"/>
      <c r="E21" s="170"/>
      <c r="F21" s="170"/>
      <c r="G21" s="170"/>
      <c r="H21" s="170"/>
      <c r="I21" s="170"/>
      <c r="J21" s="170"/>
    </row>
    <row r="22" spans="2:10" ht="18" customHeight="1" x14ac:dyDescent="0.3">
      <c r="B22" s="128" t="s">
        <v>6</v>
      </c>
      <c r="C22" s="129" t="s">
        <v>46</v>
      </c>
      <c r="D22" s="129" t="s">
        <v>47</v>
      </c>
      <c r="E22" s="129" t="s">
        <v>48</v>
      </c>
      <c r="F22" s="16"/>
      <c r="G22" s="16"/>
      <c r="H22" s="16"/>
      <c r="I22" s="16"/>
      <c r="J22" s="16"/>
    </row>
    <row r="23" spans="2:10" x14ac:dyDescent="0.3">
      <c r="B23" s="93" t="s">
        <v>37</v>
      </c>
      <c r="C23" s="94">
        <v>96428</v>
      </c>
      <c r="D23" s="94">
        <v>119796</v>
      </c>
      <c r="E23" s="138">
        <f t="shared" ref="E23:E28" si="0">(D23/C23-1)*100</f>
        <v>24.233625088148681</v>
      </c>
      <c r="F23" s="155"/>
      <c r="G23" s="155"/>
      <c r="H23" s="155"/>
      <c r="I23" s="155"/>
      <c r="J23" s="155"/>
    </row>
    <row r="24" spans="2:10" x14ac:dyDescent="0.3">
      <c r="B24" s="96" t="s">
        <v>38</v>
      </c>
      <c r="C24" s="97">
        <v>39039</v>
      </c>
      <c r="D24" s="97">
        <v>45943</v>
      </c>
      <c r="E24" s="139">
        <f t="shared" si="0"/>
        <v>17.684879223340765</v>
      </c>
      <c r="F24" s="157"/>
      <c r="G24" s="157"/>
      <c r="H24" s="157"/>
      <c r="I24" s="157"/>
      <c r="J24" s="157"/>
    </row>
    <row r="25" spans="2:10" x14ac:dyDescent="0.3">
      <c r="B25" s="99" t="s">
        <v>16</v>
      </c>
      <c r="C25" s="100">
        <v>13808</v>
      </c>
      <c r="D25" s="100">
        <v>18219</v>
      </c>
      <c r="E25" s="140">
        <f t="shared" si="0"/>
        <v>31.945249130938592</v>
      </c>
      <c r="F25" s="155"/>
      <c r="G25" s="155"/>
      <c r="H25" s="155"/>
      <c r="I25" s="155"/>
      <c r="J25" s="155"/>
    </row>
    <row r="26" spans="2:10" x14ac:dyDescent="0.3">
      <c r="B26" s="96" t="s">
        <v>17</v>
      </c>
      <c r="C26" s="97">
        <v>7101</v>
      </c>
      <c r="D26" s="97">
        <v>8403</v>
      </c>
      <c r="E26" s="139">
        <f>(D26/C26-1)*100</f>
        <v>18.335445711871557</v>
      </c>
      <c r="F26" s="157"/>
      <c r="G26" s="157"/>
      <c r="H26" s="157"/>
      <c r="I26" s="157"/>
      <c r="J26" s="157"/>
    </row>
    <row r="27" spans="2:10" x14ac:dyDescent="0.3">
      <c r="B27" s="102" t="s">
        <v>18</v>
      </c>
      <c r="C27" s="103">
        <v>5209</v>
      </c>
      <c r="D27" s="103">
        <v>6461</v>
      </c>
      <c r="E27" s="141">
        <f t="shared" si="0"/>
        <v>24.035323478594741</v>
      </c>
      <c r="F27" s="159"/>
      <c r="G27" s="159"/>
      <c r="H27" s="159"/>
      <c r="I27" s="159"/>
      <c r="J27" s="159"/>
    </row>
    <row r="28" spans="2:10" x14ac:dyDescent="0.3">
      <c r="B28" s="108" t="s">
        <v>20</v>
      </c>
      <c r="C28" s="109">
        <f>C23-C24-C25-C26-C27</f>
        <v>31271</v>
      </c>
      <c r="D28" s="109">
        <f>D23-D24-D25-D26-D27</f>
        <v>40770</v>
      </c>
      <c r="E28" s="109">
        <f t="shared" si="0"/>
        <v>30.376387067890388</v>
      </c>
      <c r="F28" s="161"/>
      <c r="G28" s="161"/>
      <c r="H28" s="161"/>
      <c r="I28" s="161"/>
      <c r="J28" s="161"/>
    </row>
    <row r="29" spans="2:10" x14ac:dyDescent="0.3">
      <c r="B29" s="113" t="s">
        <v>21</v>
      </c>
      <c r="C29" s="133">
        <f>C28/C23*100</f>
        <v>32.429377359273239</v>
      </c>
      <c r="D29" s="133">
        <f>D28/D23*100</f>
        <v>34.032855854953418</v>
      </c>
      <c r="E29" s="142"/>
      <c r="F29" s="163"/>
      <c r="G29" s="163"/>
      <c r="H29" s="163"/>
      <c r="I29" s="163"/>
      <c r="J29" s="163"/>
    </row>
    <row r="30" spans="2:10" x14ac:dyDescent="0.3">
      <c r="B30" s="96" t="s">
        <v>23</v>
      </c>
      <c r="C30" s="97">
        <v>2662</v>
      </c>
      <c r="D30" s="97">
        <v>97983</v>
      </c>
      <c r="E30" s="101"/>
      <c r="F30" s="157"/>
      <c r="G30" s="157"/>
      <c r="H30" s="157"/>
      <c r="I30" s="157"/>
      <c r="J30" s="157"/>
    </row>
    <row r="31" spans="2:10" x14ac:dyDescent="0.3">
      <c r="B31" s="99" t="s">
        <v>49</v>
      </c>
      <c r="C31" s="100">
        <v>1286</v>
      </c>
      <c r="D31" s="100">
        <v>99031</v>
      </c>
      <c r="E31" s="143"/>
      <c r="F31" s="155"/>
      <c r="G31" s="155"/>
      <c r="H31" s="155"/>
      <c r="I31" s="155"/>
      <c r="J31" s="155"/>
    </row>
    <row r="32" spans="2:10" x14ac:dyDescent="0.3">
      <c r="B32" s="116" t="s">
        <v>50</v>
      </c>
      <c r="C32" s="144">
        <f>C30-C31</f>
        <v>1376</v>
      </c>
      <c r="D32" s="144">
        <f>D30-D31</f>
        <v>-1048</v>
      </c>
      <c r="E32" s="145"/>
      <c r="F32" s="168"/>
      <c r="G32" s="168"/>
      <c r="H32" s="168"/>
      <c r="I32" s="168"/>
      <c r="J32" s="168"/>
    </row>
    <row r="33" spans="2:10" x14ac:dyDescent="0.3">
      <c r="B33" s="108" t="s">
        <v>40</v>
      </c>
      <c r="C33" s="109">
        <f>C28+C30</f>
        <v>33933</v>
      </c>
      <c r="D33" s="109">
        <f>D28+D30</f>
        <v>138753</v>
      </c>
      <c r="E33" s="146"/>
      <c r="F33" s="161"/>
      <c r="G33" s="161"/>
      <c r="H33" s="161"/>
      <c r="I33" s="161"/>
      <c r="J33" s="161"/>
    </row>
    <row r="34" spans="2:10" x14ac:dyDescent="0.3">
      <c r="B34" s="110" t="s">
        <v>41</v>
      </c>
      <c r="C34" s="147">
        <v>5737</v>
      </c>
      <c r="D34" s="147">
        <v>26560</v>
      </c>
      <c r="E34" s="148"/>
      <c r="F34" s="169"/>
      <c r="G34" s="169"/>
      <c r="H34" s="169"/>
      <c r="I34" s="169"/>
      <c r="J34" s="169"/>
    </row>
    <row r="35" spans="2:10" x14ac:dyDescent="0.3">
      <c r="B35" s="102" t="s">
        <v>26</v>
      </c>
      <c r="C35" s="149">
        <f>C34/C33*100</f>
        <v>16.906845843279402</v>
      </c>
      <c r="D35" s="149">
        <f>D34/D33*100</f>
        <v>19.141928462808011</v>
      </c>
      <c r="E35" s="150"/>
      <c r="F35" s="159"/>
      <c r="G35" s="159"/>
      <c r="H35" s="159"/>
      <c r="I35" s="159"/>
      <c r="J35" s="159"/>
    </row>
    <row r="36" spans="2:10" x14ac:dyDescent="0.3">
      <c r="B36" s="108" t="s">
        <v>27</v>
      </c>
      <c r="C36" s="109">
        <f>C33-C34</f>
        <v>28196</v>
      </c>
      <c r="D36" s="109">
        <f>D33-D34</f>
        <v>112193</v>
      </c>
      <c r="E36" s="109">
        <f>(D36/C36-1)*100</f>
        <v>297.90395800822813</v>
      </c>
      <c r="F36" s="161"/>
      <c r="G36" s="161"/>
      <c r="H36" s="161"/>
      <c r="I36" s="161"/>
      <c r="J36" s="161"/>
    </row>
    <row r="37" spans="2:10" x14ac:dyDescent="0.3">
      <c r="B37" s="113" t="s">
        <v>42</v>
      </c>
      <c r="C37" s="136">
        <v>2.31</v>
      </c>
      <c r="D37" s="136">
        <v>9.11</v>
      </c>
      <c r="E37" s="151">
        <f>(D37/C37-1)*100</f>
        <v>294.37229437229433</v>
      </c>
      <c r="F37" s="163"/>
      <c r="G37" s="163"/>
      <c r="H37" s="163"/>
      <c r="I37" s="163"/>
      <c r="J37" s="163"/>
    </row>
    <row r="38" spans="2:10" x14ac:dyDescent="0.3">
      <c r="B38" s="96" t="s">
        <v>43</v>
      </c>
      <c r="C38" s="137">
        <f>'06 Core EPS Bridge'!H12</f>
        <v>2.2282390555828826</v>
      </c>
      <c r="D38" s="137">
        <f>'06 Core EPS Bridge'!I12</f>
        <v>2.7588358111950599</v>
      </c>
      <c r="E38" s="152">
        <f>(D38/C38-1)*100</f>
        <v>23.812380196943405</v>
      </c>
      <c r="F38" s="157"/>
      <c r="G38" s="157"/>
      <c r="H38" s="157"/>
      <c r="I38" s="157"/>
      <c r="J38" s="157"/>
    </row>
    <row r="39" spans="2:10" x14ac:dyDescent="0.3">
      <c r="B39" s="99" t="s">
        <v>44</v>
      </c>
      <c r="C39" s="100">
        <v>12198</v>
      </c>
      <c r="D39" s="100">
        <v>12309</v>
      </c>
      <c r="E39" s="140">
        <f>(D39/C39-1)*100</f>
        <v>0.90998524348253618</v>
      </c>
      <c r="F39" s="155"/>
      <c r="G39" s="155"/>
      <c r="H39" s="155"/>
      <c r="I39" s="155"/>
      <c r="J39" s="155"/>
    </row>
    <row r="40" spans="2:10" x14ac:dyDescent="0.3">
      <c r="B40" s="1"/>
      <c r="C40" s="1"/>
      <c r="D40" s="1"/>
      <c r="E40" s="1"/>
      <c r="F40" s="1"/>
      <c r="G40" s="1"/>
      <c r="H40" s="1"/>
      <c r="I40" s="1"/>
      <c r="J40" s="1"/>
    </row>
    <row r="41" spans="2:10" x14ac:dyDescent="0.3">
      <c r="B41" s="130" t="s">
        <v>30</v>
      </c>
      <c r="C41" s="131"/>
      <c r="D41" s="131"/>
      <c r="E41" s="131"/>
      <c r="F41" s="131"/>
      <c r="G41" s="131"/>
      <c r="H41" s="131"/>
      <c r="I41" s="131"/>
      <c r="J41" s="131"/>
    </row>
    <row r="42" spans="2:10" ht="28.05" customHeight="1" x14ac:dyDescent="0.3">
      <c r="B42" s="659" t="s">
        <v>1546</v>
      </c>
      <c r="C42" s="660"/>
      <c r="D42" s="660"/>
      <c r="E42" s="660"/>
      <c r="F42" s="660"/>
      <c r="G42" s="660"/>
      <c r="H42" s="660"/>
      <c r="I42" s="660"/>
      <c r="J42" s="660"/>
    </row>
    <row r="43" spans="2:10" ht="54" customHeight="1" x14ac:dyDescent="0.3">
      <c r="B43" s="659" t="str">
        <f>"•  THE EX-GAIN LINE: other income excluding the securities gain went "&amp;"+"&amp;TEXT($C$32,"#,##0")&amp;" (Q2'25) to "&amp;TEXT($D$32,"#,##0")&amp;" (Q2'26). Interest expense rose to 1,278 from 261 on a debt book that grew from "&amp;TEXT('04 Balance Sheet'!$D$17,"#,##0")&amp;" (FY2024) to "&amp;TEXT('04 Balance Sheet'!$G$17,"#,##0")&amp;" (Jun'26), but interest income of 1,430 still exceeds it; most of the swing is the 'other' line (-973). Model it explicitly."</f>
        <v>•  THE EX-GAIN LINE: other income excluding the securities gain went +1,376 (Q2'25) to -1,048 (Q2'26). Interest expense rose to 1,278 from 261 on a debt book that grew from 13,559 (FY2024) to 102,754 (Jun'26), but interest income of 1,430 still exceeds it; most of the swing is the 'other' line (-973). Model it explicitly.</v>
      </c>
      <c r="C43" s="660"/>
      <c r="D43" s="660"/>
      <c r="E43" s="660"/>
      <c r="F43" s="660"/>
      <c r="G43" s="660"/>
      <c r="H43" s="660"/>
      <c r="I43" s="660"/>
      <c r="J43" s="660"/>
    </row>
    <row r="44" spans="2:10" ht="30" customHeight="1" x14ac:dyDescent="0.3">
      <c r="B44" s="659" t="str">
        <f>"•  Reported Q2 net income grew "&amp;"+"&amp;TEXT($E$36,"0.0")&amp;"%"&amp;" and reported EPS "&amp;"+"&amp;TEXT($E$37,"0.0")&amp;"%"&amp;". Core EPS grew "&amp;"+"&amp;TEXT($E$38,"0.0")&amp;"%"&amp;"."</f>
        <v>•  Reported Q2 net income grew +297.9% and reported EPS +294.4%. Core EPS grew +23.8%.</v>
      </c>
      <c r="C44" s="660"/>
      <c r="D44" s="660"/>
      <c r="E44" s="660"/>
      <c r="F44" s="660"/>
      <c r="G44" s="660"/>
      <c r="H44" s="660"/>
      <c r="I44" s="660"/>
      <c r="J44" s="660"/>
    </row>
  </sheetData>
  <mergeCells count="3">
    <mergeCell ref="B43:J43"/>
    <mergeCell ref="B44:J44"/>
    <mergeCell ref="B42:J42"/>
  </mergeCells>
  <printOptions horizontalCentered="1"/>
  <pageMargins left="0.30000000000000004" right="0.30000000000000004" top="0.41666666666666669" bottom="0.41666666666666669" header="0.19444444444444445" footer="0.19444444444444445"/>
  <pageSetup scale="92"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3597B"/>
    <pageSetUpPr fitToPage="1"/>
  </sheetPr>
  <dimension ref="B1:J46"/>
  <sheetViews>
    <sheetView showGridLines="0" workbookViewId="0">
      <pane xSplit="2" ySplit="5" topLeftCell="C32" activePane="bottomRight" state="frozen"/>
      <selection pane="topRight" activeCell="C1" sqref="C1"/>
      <selection pane="bottomLeft" activeCell="A6" sqref="A6"/>
      <selection pane="bottomRight" activeCell="H20" sqref="H20:I25"/>
    </sheetView>
  </sheetViews>
  <sheetFormatPr defaultRowHeight="14.4" x14ac:dyDescent="0.3"/>
  <cols>
    <col min="1" max="1" width="3.33203125" customWidth="1"/>
    <col min="2" max="2" width="46.33203125" customWidth="1"/>
    <col min="3" max="10" width="16.33203125" customWidth="1"/>
  </cols>
  <sheetData>
    <row r="1" spans="2:10" ht="6" customHeight="1" x14ac:dyDescent="0.3"/>
    <row r="2" spans="2:10" ht="28.05" customHeight="1" thickBot="1" x14ac:dyDescent="0.45">
      <c r="B2" s="396" t="s">
        <v>1807</v>
      </c>
      <c r="C2" s="396"/>
      <c r="D2" s="396"/>
      <c r="E2" s="396"/>
      <c r="F2" s="396"/>
      <c r="G2" s="396"/>
      <c r="H2" s="396"/>
      <c r="I2" s="396"/>
      <c r="J2" s="396"/>
    </row>
    <row r="3" spans="2:10" ht="15" thickBot="1" x14ac:dyDescent="0.35">
      <c r="B3" s="80" t="s">
        <v>68</v>
      </c>
      <c r="C3" s="4"/>
      <c r="D3" s="4"/>
      <c r="E3" s="4"/>
      <c r="F3" s="4"/>
      <c r="G3" s="4"/>
      <c r="H3" s="4"/>
      <c r="I3" s="4"/>
      <c r="J3" s="4"/>
    </row>
    <row r="4" spans="2:10" x14ac:dyDescent="0.3">
      <c r="B4" s="1"/>
      <c r="C4" s="1"/>
      <c r="D4" s="1"/>
      <c r="E4" s="1"/>
      <c r="F4" s="1"/>
      <c r="G4" s="1"/>
      <c r="H4" s="1"/>
      <c r="I4" s="1"/>
      <c r="J4" s="1"/>
    </row>
    <row r="5" spans="2:10" x14ac:dyDescent="0.3">
      <c r="B5" s="170" t="s">
        <v>69</v>
      </c>
      <c r="C5" s="170"/>
      <c r="D5" s="170"/>
      <c r="E5" s="170"/>
      <c r="F5" s="170"/>
      <c r="G5" s="170"/>
      <c r="H5" s="170"/>
      <c r="I5" s="170"/>
      <c r="J5" s="170"/>
    </row>
    <row r="6" spans="2:10" ht="18" customHeight="1" x14ac:dyDescent="0.3">
      <c r="B6" s="128" t="s">
        <v>6</v>
      </c>
      <c r="C6" s="129" t="s">
        <v>7</v>
      </c>
      <c r="D6" s="129" t="s">
        <v>8</v>
      </c>
      <c r="E6" s="129" t="s">
        <v>9</v>
      </c>
      <c r="F6" s="129" t="s">
        <v>35</v>
      </c>
      <c r="G6" s="129" t="s">
        <v>36</v>
      </c>
      <c r="H6" s="129" t="s">
        <v>46</v>
      </c>
      <c r="I6" s="129" t="s">
        <v>47</v>
      </c>
      <c r="J6" s="16"/>
    </row>
    <row r="7" spans="2:10" x14ac:dyDescent="0.3">
      <c r="B7" s="99" t="s">
        <v>70</v>
      </c>
      <c r="C7" s="100">
        <v>175033</v>
      </c>
      <c r="D7" s="100">
        <v>198084</v>
      </c>
      <c r="E7" s="100">
        <v>224532</v>
      </c>
      <c r="F7" s="100">
        <v>50702</v>
      </c>
      <c r="G7" s="100">
        <v>60399</v>
      </c>
      <c r="H7" s="100">
        <v>54190</v>
      </c>
      <c r="I7" s="100">
        <v>63271</v>
      </c>
      <c r="J7" s="154"/>
    </row>
    <row r="8" spans="2:10" x14ac:dyDescent="0.3">
      <c r="B8" s="96" t="s">
        <v>71</v>
      </c>
      <c r="C8" s="97">
        <v>31510</v>
      </c>
      <c r="D8" s="97">
        <v>36147</v>
      </c>
      <c r="E8" s="97">
        <v>40367</v>
      </c>
      <c r="F8" s="97">
        <v>8927</v>
      </c>
      <c r="G8" s="97">
        <v>9883</v>
      </c>
      <c r="H8" s="97">
        <v>9796</v>
      </c>
      <c r="I8" s="97">
        <v>11055</v>
      </c>
      <c r="J8" s="156"/>
    </row>
    <row r="9" spans="2:10" x14ac:dyDescent="0.3">
      <c r="B9" s="102" t="s">
        <v>72</v>
      </c>
      <c r="C9" s="103">
        <v>31312</v>
      </c>
      <c r="D9" s="103">
        <v>30359</v>
      </c>
      <c r="E9" s="103">
        <v>29792</v>
      </c>
      <c r="F9" s="103">
        <v>7256</v>
      </c>
      <c r="G9" s="103">
        <v>6971</v>
      </c>
      <c r="H9" s="103">
        <v>7354</v>
      </c>
      <c r="I9" s="103">
        <v>7303</v>
      </c>
      <c r="J9" s="158"/>
    </row>
    <row r="10" spans="2:10" x14ac:dyDescent="0.3">
      <c r="B10" s="108" t="s">
        <v>73</v>
      </c>
      <c r="C10" s="109">
        <f t="shared" ref="C10:I10" si="0">C7+C8+C9</f>
        <v>237855</v>
      </c>
      <c r="D10" s="109">
        <f t="shared" si="0"/>
        <v>264590</v>
      </c>
      <c r="E10" s="109">
        <f t="shared" si="0"/>
        <v>294691</v>
      </c>
      <c r="F10" s="109">
        <f t="shared" si="0"/>
        <v>66885</v>
      </c>
      <c r="G10" s="109">
        <f t="shared" si="0"/>
        <v>77253</v>
      </c>
      <c r="H10" s="109">
        <f t="shared" si="0"/>
        <v>71340</v>
      </c>
      <c r="I10" s="109">
        <f t="shared" si="0"/>
        <v>81629</v>
      </c>
      <c r="J10" s="160"/>
    </row>
    <row r="11" spans="2:10" x14ac:dyDescent="0.3">
      <c r="B11" s="134" t="s">
        <v>74</v>
      </c>
      <c r="C11" s="135">
        <v>34688</v>
      </c>
      <c r="D11" s="135">
        <v>40340</v>
      </c>
      <c r="E11" s="135">
        <v>48030</v>
      </c>
      <c r="F11" s="135">
        <v>10379</v>
      </c>
      <c r="G11" s="135">
        <v>12384</v>
      </c>
      <c r="H11" s="135">
        <v>11203</v>
      </c>
      <c r="I11" s="135">
        <v>12911</v>
      </c>
      <c r="J11" s="164"/>
    </row>
    <row r="12" spans="2:10" x14ac:dyDescent="0.3">
      <c r="B12" s="108" t="s">
        <v>75</v>
      </c>
      <c r="C12" s="109">
        <f t="shared" ref="C12:I12" si="1">C10+C11</f>
        <v>272543</v>
      </c>
      <c r="D12" s="109">
        <f t="shared" si="1"/>
        <v>304930</v>
      </c>
      <c r="E12" s="109">
        <f t="shared" si="1"/>
        <v>342721</v>
      </c>
      <c r="F12" s="109">
        <f t="shared" si="1"/>
        <v>77264</v>
      </c>
      <c r="G12" s="109">
        <f t="shared" si="1"/>
        <v>89637</v>
      </c>
      <c r="H12" s="109">
        <f t="shared" si="1"/>
        <v>82543</v>
      </c>
      <c r="I12" s="109">
        <f t="shared" si="1"/>
        <v>94540</v>
      </c>
      <c r="J12" s="160"/>
    </row>
    <row r="13" spans="2:10" x14ac:dyDescent="0.3">
      <c r="B13" s="113" t="s">
        <v>76</v>
      </c>
      <c r="C13" s="114">
        <v>33088</v>
      </c>
      <c r="D13" s="114">
        <v>43229</v>
      </c>
      <c r="E13" s="114">
        <v>58705</v>
      </c>
      <c r="F13" s="114">
        <v>12260</v>
      </c>
      <c r="G13" s="114">
        <v>20028</v>
      </c>
      <c r="H13" s="114">
        <v>13624</v>
      </c>
      <c r="I13" s="114">
        <v>24768</v>
      </c>
      <c r="J13" s="191"/>
    </row>
    <row r="14" spans="2:10" x14ac:dyDescent="0.3">
      <c r="B14" s="96" t="s">
        <v>77</v>
      </c>
      <c r="C14" s="97">
        <v>1527</v>
      </c>
      <c r="D14" s="97">
        <v>1648</v>
      </c>
      <c r="E14" s="97">
        <v>1537</v>
      </c>
      <c r="F14" s="97">
        <v>450</v>
      </c>
      <c r="G14" s="97">
        <v>411</v>
      </c>
      <c r="H14" s="97">
        <v>373</v>
      </c>
      <c r="I14" s="97">
        <v>382</v>
      </c>
      <c r="J14" s="156"/>
    </row>
    <row r="15" spans="2:10" x14ac:dyDescent="0.3">
      <c r="B15" s="102" t="s">
        <v>78</v>
      </c>
      <c r="C15" s="103">
        <v>236</v>
      </c>
      <c r="D15" s="103">
        <v>211</v>
      </c>
      <c r="E15" s="103">
        <v>-127</v>
      </c>
      <c r="F15" s="103">
        <v>260</v>
      </c>
      <c r="G15" s="103">
        <v>-180</v>
      </c>
      <c r="H15" s="103">
        <v>-112</v>
      </c>
      <c r="I15" s="103">
        <v>106</v>
      </c>
      <c r="J15" s="158"/>
    </row>
    <row r="16" spans="2:10" x14ac:dyDescent="0.3">
      <c r="B16" s="108" t="s">
        <v>79</v>
      </c>
      <c r="C16" s="109">
        <f t="shared" ref="C16:I16" si="2">C12+C13+C14+C15</f>
        <v>307394</v>
      </c>
      <c r="D16" s="109">
        <f t="shared" si="2"/>
        <v>350018</v>
      </c>
      <c r="E16" s="109">
        <f t="shared" si="2"/>
        <v>402836</v>
      </c>
      <c r="F16" s="109">
        <f t="shared" si="2"/>
        <v>90234</v>
      </c>
      <c r="G16" s="109">
        <f t="shared" si="2"/>
        <v>109896</v>
      </c>
      <c r="H16" s="109">
        <f t="shared" si="2"/>
        <v>96428</v>
      </c>
      <c r="I16" s="109">
        <f t="shared" si="2"/>
        <v>119796</v>
      </c>
      <c r="J16" s="160"/>
    </row>
    <row r="17" spans="2:10" x14ac:dyDescent="0.3">
      <c r="B17" s="1"/>
      <c r="C17" s="1"/>
      <c r="D17" s="1"/>
      <c r="E17" s="1"/>
      <c r="F17" s="1"/>
      <c r="G17" s="1"/>
      <c r="H17" s="1"/>
      <c r="I17" s="1"/>
      <c r="J17" s="1"/>
    </row>
    <row r="18" spans="2:10" x14ac:dyDescent="0.3">
      <c r="B18" s="170" t="s">
        <v>80</v>
      </c>
      <c r="C18" s="170"/>
      <c r="D18" s="170"/>
      <c r="E18" s="170"/>
      <c r="F18" s="170"/>
      <c r="G18" s="170"/>
      <c r="H18" s="170"/>
      <c r="I18" s="170"/>
      <c r="J18" s="170"/>
    </row>
    <row r="19" spans="2:10" ht="18" customHeight="1" x14ac:dyDescent="0.3">
      <c r="B19" s="128" t="s">
        <v>6</v>
      </c>
      <c r="C19" s="129" t="s">
        <v>7</v>
      </c>
      <c r="D19" s="129" t="s">
        <v>8</v>
      </c>
      <c r="E19" s="129" t="s">
        <v>9</v>
      </c>
      <c r="F19" s="129" t="s">
        <v>35</v>
      </c>
      <c r="G19" s="129" t="s">
        <v>36</v>
      </c>
      <c r="H19" s="129" t="s">
        <v>46</v>
      </c>
      <c r="I19" s="129" t="s">
        <v>47</v>
      </c>
      <c r="J19" s="16"/>
    </row>
    <row r="20" spans="2:10" x14ac:dyDescent="0.3">
      <c r="B20" s="99" t="s">
        <v>81</v>
      </c>
      <c r="C20" s="100">
        <v>95858</v>
      </c>
      <c r="D20" s="100">
        <v>121263</v>
      </c>
      <c r="E20" s="100">
        <v>139404</v>
      </c>
      <c r="F20" s="100">
        <v>32682</v>
      </c>
      <c r="G20" s="100">
        <v>40589</v>
      </c>
      <c r="H20" s="100">
        <v>33063</v>
      </c>
      <c r="I20" s="100">
        <v>39544</v>
      </c>
      <c r="J20" s="154"/>
    </row>
    <row r="21" spans="2:10" x14ac:dyDescent="0.3">
      <c r="B21" s="96" t="s">
        <v>76</v>
      </c>
      <c r="C21" s="97">
        <v>1716</v>
      </c>
      <c r="D21" s="97">
        <v>6112</v>
      </c>
      <c r="E21" s="97">
        <v>13910</v>
      </c>
      <c r="F21" s="97">
        <v>2177</v>
      </c>
      <c r="G21" s="97">
        <v>6598</v>
      </c>
      <c r="H21" s="97">
        <v>2826</v>
      </c>
      <c r="I21" s="97">
        <v>8814</v>
      </c>
      <c r="J21" s="156"/>
    </row>
    <row r="22" spans="2:10" x14ac:dyDescent="0.3">
      <c r="B22" s="99" t="s">
        <v>77</v>
      </c>
      <c r="C22" s="100">
        <v>-4095</v>
      </c>
      <c r="D22" s="100">
        <v>-4444</v>
      </c>
      <c r="E22" s="100">
        <v>-7515</v>
      </c>
      <c r="F22" s="100">
        <v>-1226</v>
      </c>
      <c r="G22" s="100">
        <v>-2100</v>
      </c>
      <c r="H22" s="100">
        <v>-1246</v>
      </c>
      <c r="I22" s="100">
        <v>-1799</v>
      </c>
      <c r="J22" s="154"/>
    </row>
    <row r="23" spans="2:10" x14ac:dyDescent="0.3">
      <c r="B23" s="116" t="s">
        <v>82</v>
      </c>
      <c r="C23" s="171">
        <v>-9186</v>
      </c>
      <c r="D23" s="171">
        <v>-10541</v>
      </c>
      <c r="E23" s="171">
        <v>-16760</v>
      </c>
      <c r="F23" s="171">
        <v>-3027</v>
      </c>
      <c r="G23" s="171">
        <v>-5391</v>
      </c>
      <c r="H23" s="171">
        <v>-3372</v>
      </c>
      <c r="I23" s="171">
        <v>-5789</v>
      </c>
      <c r="J23" s="192"/>
    </row>
    <row r="24" spans="2:10" x14ac:dyDescent="0.3">
      <c r="B24" s="108" t="s">
        <v>83</v>
      </c>
      <c r="C24" s="109">
        <f t="shared" ref="C24:I24" si="3">C20+C21+C22+C23</f>
        <v>84293</v>
      </c>
      <c r="D24" s="109">
        <f t="shared" si="3"/>
        <v>112390</v>
      </c>
      <c r="E24" s="109">
        <f t="shared" si="3"/>
        <v>129039</v>
      </c>
      <c r="F24" s="109">
        <f t="shared" si="3"/>
        <v>30606</v>
      </c>
      <c r="G24" s="109">
        <f t="shared" si="3"/>
        <v>39696</v>
      </c>
      <c r="H24" s="109">
        <f t="shared" si="3"/>
        <v>31271</v>
      </c>
      <c r="I24" s="109">
        <f t="shared" si="3"/>
        <v>40770</v>
      </c>
      <c r="J24" s="160"/>
    </row>
    <row r="25" spans="2:10" x14ac:dyDescent="0.3">
      <c r="B25" s="1"/>
      <c r="C25" s="1"/>
      <c r="D25" s="1"/>
      <c r="E25" s="1"/>
      <c r="F25" s="1"/>
      <c r="G25" s="1"/>
      <c r="H25" s="1"/>
      <c r="I25" s="1"/>
      <c r="J25" s="1"/>
    </row>
    <row r="26" spans="2:10" x14ac:dyDescent="0.3">
      <c r="B26" s="170" t="s">
        <v>84</v>
      </c>
      <c r="C26" s="170"/>
      <c r="D26" s="170"/>
      <c r="E26" s="170"/>
      <c r="F26" s="170"/>
      <c r="G26" s="170"/>
      <c r="H26" s="170"/>
      <c r="I26" s="170"/>
      <c r="J26" s="170"/>
    </row>
    <row r="27" spans="2:10" ht="18" customHeight="1" x14ac:dyDescent="0.3">
      <c r="B27" s="128" t="s">
        <v>6</v>
      </c>
      <c r="C27" s="129" t="s">
        <v>8</v>
      </c>
      <c r="D27" s="129" t="s">
        <v>9</v>
      </c>
      <c r="E27" s="129" t="s">
        <v>36</v>
      </c>
      <c r="F27" s="129" t="s">
        <v>47</v>
      </c>
      <c r="G27" s="16"/>
      <c r="H27" s="16"/>
      <c r="I27" s="16"/>
      <c r="J27" s="16"/>
    </row>
    <row r="28" spans="2:10" x14ac:dyDescent="0.3">
      <c r="B28" s="99" t="s">
        <v>85</v>
      </c>
      <c r="C28" s="186">
        <f t="shared" ref="C28:D30" si="4">(D7/C7-1)*100</f>
        <v>13.169516605440123</v>
      </c>
      <c r="D28" s="186">
        <f t="shared" si="4"/>
        <v>13.351911310353181</v>
      </c>
      <c r="E28" s="186">
        <f>(G7/F7-1)*100</f>
        <v>19.12547828488027</v>
      </c>
      <c r="F28" s="186">
        <f>(I7/H7-1)*100</f>
        <v>16.757704373500637</v>
      </c>
      <c r="G28" s="193"/>
      <c r="H28" s="193"/>
      <c r="I28" s="193"/>
      <c r="J28" s="193"/>
    </row>
    <row r="29" spans="2:10" x14ac:dyDescent="0.3">
      <c r="B29" s="96" t="s">
        <v>71</v>
      </c>
      <c r="C29" s="187">
        <f t="shared" si="4"/>
        <v>14.715963186290072</v>
      </c>
      <c r="D29" s="187">
        <f t="shared" si="4"/>
        <v>11.674551138407052</v>
      </c>
      <c r="E29" s="187">
        <f>(G8/F8-1)*100</f>
        <v>10.709084798924607</v>
      </c>
      <c r="F29" s="187">
        <f>(I8/H8-1)*100</f>
        <v>12.852184565128621</v>
      </c>
      <c r="G29" s="194"/>
      <c r="H29" s="194"/>
      <c r="I29" s="194"/>
      <c r="J29" s="194"/>
    </row>
    <row r="30" spans="2:10" x14ac:dyDescent="0.3">
      <c r="B30" s="99" t="s">
        <v>72</v>
      </c>
      <c r="C30" s="186">
        <f t="shared" si="4"/>
        <v>-3.0435615738375055</v>
      </c>
      <c r="D30" s="186">
        <f t="shared" si="4"/>
        <v>-1.8676504496195512</v>
      </c>
      <c r="E30" s="186">
        <f>(G9/F9-1)*100</f>
        <v>-3.9277839029768447</v>
      </c>
      <c r="F30" s="186">
        <f>(I9/H9-1)*100</f>
        <v>-0.69350013598041826</v>
      </c>
      <c r="G30" s="193"/>
      <c r="H30" s="193"/>
      <c r="I30" s="193"/>
      <c r="J30" s="193"/>
    </row>
    <row r="31" spans="2:10" x14ac:dyDescent="0.3">
      <c r="B31" s="96" t="s">
        <v>86</v>
      </c>
      <c r="C31" s="187">
        <f t="shared" ref="C31:D33" si="5">(D11/C11-1)*100</f>
        <v>16.293819188191883</v>
      </c>
      <c r="D31" s="187">
        <f t="shared" si="5"/>
        <v>19.06296479920675</v>
      </c>
      <c r="E31" s="187">
        <f>(G11/F11-1)*100</f>
        <v>19.317853357741587</v>
      </c>
      <c r="F31" s="187">
        <f>(I11/H11-1)*100</f>
        <v>15.245916272427017</v>
      </c>
      <c r="G31" s="194"/>
      <c r="H31" s="194"/>
      <c r="I31" s="194"/>
      <c r="J31" s="194"/>
    </row>
    <row r="32" spans="2:10" x14ac:dyDescent="0.3">
      <c r="B32" s="99" t="s">
        <v>81</v>
      </c>
      <c r="C32" s="186">
        <f t="shared" si="5"/>
        <v>11.883262457667222</v>
      </c>
      <c r="D32" s="186">
        <f t="shared" si="5"/>
        <v>12.393336175515701</v>
      </c>
      <c r="E32" s="186">
        <f>(G12/F12-1)*100</f>
        <v>16.013926278732662</v>
      </c>
      <c r="F32" s="186">
        <f>(I12/H12-1)*100</f>
        <v>14.534242758319916</v>
      </c>
      <c r="G32" s="193"/>
      <c r="H32" s="193"/>
      <c r="I32" s="193"/>
      <c r="J32" s="193"/>
    </row>
    <row r="33" spans="2:10" x14ac:dyDescent="0.3">
      <c r="B33" s="188" t="s">
        <v>76</v>
      </c>
      <c r="C33" s="189">
        <f t="shared" si="5"/>
        <v>30.648573500967125</v>
      </c>
      <c r="D33" s="189">
        <f t="shared" si="5"/>
        <v>35.800041638714752</v>
      </c>
      <c r="E33" s="189">
        <f>(G13/F13-1)*100</f>
        <v>63.360522022838509</v>
      </c>
      <c r="F33" s="189">
        <f>(I13/H13-1)*100</f>
        <v>81.796829125073401</v>
      </c>
      <c r="G33" s="194"/>
      <c r="H33" s="194"/>
      <c r="I33" s="194"/>
      <c r="J33" s="194"/>
    </row>
    <row r="34" spans="2:10" x14ac:dyDescent="0.3">
      <c r="B34" s="99" t="s">
        <v>87</v>
      </c>
      <c r="C34" s="186">
        <f>(D16/C16-1)*100</f>
        <v>13.86624332290156</v>
      </c>
      <c r="D34" s="186">
        <f>(E16/D16-1)*100</f>
        <v>15.090081081544371</v>
      </c>
      <c r="E34" s="186">
        <f>(G16/F16-1)*100</f>
        <v>21.790012633818744</v>
      </c>
      <c r="F34" s="186">
        <f>(I16/H16-1)*100</f>
        <v>24.233625088148681</v>
      </c>
      <c r="G34" s="193"/>
      <c r="H34" s="193"/>
      <c r="I34" s="193"/>
      <c r="J34" s="193"/>
    </row>
    <row r="35" spans="2:10" x14ac:dyDescent="0.3">
      <c r="B35" s="1"/>
      <c r="C35" s="1"/>
      <c r="D35" s="1"/>
      <c r="E35" s="1"/>
      <c r="F35" s="1"/>
      <c r="G35" s="1"/>
      <c r="H35" s="1"/>
      <c r="I35" s="1"/>
      <c r="J35" s="1"/>
    </row>
    <row r="36" spans="2:10" x14ac:dyDescent="0.3">
      <c r="B36" s="170" t="s">
        <v>88</v>
      </c>
      <c r="C36" s="170"/>
      <c r="D36" s="170"/>
      <c r="E36" s="170"/>
      <c r="F36" s="170"/>
      <c r="G36" s="170"/>
      <c r="H36" s="170"/>
      <c r="I36" s="170"/>
      <c r="J36" s="170"/>
    </row>
    <row r="37" spans="2:10" ht="18" customHeight="1" x14ac:dyDescent="0.3">
      <c r="B37" s="128" t="s">
        <v>6</v>
      </c>
      <c r="C37" s="129" t="s">
        <v>7</v>
      </c>
      <c r="D37" s="129" t="s">
        <v>8</v>
      </c>
      <c r="E37" s="129" t="s">
        <v>9</v>
      </c>
      <c r="F37" s="129" t="s">
        <v>36</v>
      </c>
      <c r="G37" s="129" t="s">
        <v>47</v>
      </c>
      <c r="H37" s="16"/>
      <c r="I37" s="16"/>
      <c r="J37" s="16"/>
    </row>
    <row r="38" spans="2:10" x14ac:dyDescent="0.3">
      <c r="B38" s="93" t="s">
        <v>89</v>
      </c>
      <c r="C38" s="190">
        <f t="shared" ref="C38:E39" si="6">C20/C12*100</f>
        <v>35.171697677063804</v>
      </c>
      <c r="D38" s="190">
        <f t="shared" si="6"/>
        <v>39.767487620109534</v>
      </c>
      <c r="E38" s="190">
        <f t="shared" si="6"/>
        <v>40.675651623332101</v>
      </c>
      <c r="F38" s="190">
        <f>G20/G12*100</f>
        <v>45.281524370516642</v>
      </c>
      <c r="G38" s="190">
        <f>I20/I12*100</f>
        <v>41.827797757562934</v>
      </c>
      <c r="H38" s="193"/>
      <c r="I38" s="193"/>
      <c r="J38" s="193"/>
    </row>
    <row r="39" spans="2:10" x14ac:dyDescent="0.3">
      <c r="B39" s="188" t="s">
        <v>90</v>
      </c>
      <c r="C39" s="189">
        <f t="shared" si="6"/>
        <v>5.1861702127659575</v>
      </c>
      <c r="D39" s="189">
        <f t="shared" si="6"/>
        <v>14.138656920123067</v>
      </c>
      <c r="E39" s="189">
        <f t="shared" si="6"/>
        <v>23.694744910995659</v>
      </c>
      <c r="F39" s="189">
        <f>G21/G13*100</f>
        <v>32.943878570001999</v>
      </c>
      <c r="G39" s="189">
        <f>I21/I13*100</f>
        <v>35.586240310077521</v>
      </c>
      <c r="H39" s="194"/>
      <c r="I39" s="194"/>
      <c r="J39" s="194"/>
    </row>
    <row r="40" spans="2:10" x14ac:dyDescent="0.3">
      <c r="B40" s="1"/>
      <c r="C40" s="1"/>
      <c r="D40" s="1"/>
      <c r="E40" s="1"/>
      <c r="F40" s="1"/>
      <c r="G40" s="1"/>
      <c r="H40" s="1"/>
      <c r="I40" s="1"/>
      <c r="J40" s="1"/>
    </row>
    <row r="41" spans="2:10" x14ac:dyDescent="0.3">
      <c r="B41" s="130" t="s">
        <v>30</v>
      </c>
      <c r="C41" s="131"/>
      <c r="D41" s="131"/>
      <c r="E41" s="131"/>
      <c r="F41" s="131"/>
      <c r="G41" s="131"/>
      <c r="H41" s="131"/>
      <c r="I41" s="131"/>
      <c r="J41" s="131"/>
    </row>
    <row r="42" spans="2:10" ht="28.05" customHeight="1" x14ac:dyDescent="0.3">
      <c r="B42" s="659" t="s">
        <v>2671</v>
      </c>
      <c r="C42" s="660"/>
      <c r="D42" s="660"/>
      <c r="E42" s="660"/>
      <c r="F42" s="660"/>
      <c r="G42" s="660"/>
      <c r="H42" s="660"/>
      <c r="I42" s="660"/>
      <c r="J42" s="660"/>
    </row>
    <row r="43" spans="2:10" ht="31.95" customHeight="1" x14ac:dyDescent="0.3">
      <c r="B43" s="659" t="str">
        <f>"•  Cloud margin arc is the standout: "&amp;TEXT($C$39,"0.0")&amp;"% -&gt; "&amp;TEXT($D$39,"0.0")&amp;"% -&gt; "&amp;TEXT($E$39,"0.0")&amp;"% -&gt; "&amp;TEXT($F$39,"0.0")&amp;"% (Q1'26) -&gt; "&amp;TEXT($G$39,"0.0")&amp;"% (Q2'26)"&amp;", on revenue that grew "&amp;"+"&amp;TEXT($F$33,"0.0")&amp;"% YoY"&amp;"."</f>
        <v>•  Cloud margin arc is the standout: 5.2% -&gt; 14.1% -&gt; 23.7% -&gt; 32.9% (Q1'26) -&gt; 35.6% (Q2'26), on revenue that grew +81.8% YoY.</v>
      </c>
      <c r="C43" s="660"/>
      <c r="D43" s="660"/>
      <c r="E43" s="660"/>
      <c r="F43" s="660"/>
      <c r="G43" s="660"/>
      <c r="H43" s="660"/>
      <c r="I43" s="660"/>
      <c r="J43" s="660"/>
    </row>
    <row r="44" spans="2:10" ht="34.049999999999997" customHeight="1" x14ac:dyDescent="0.3">
      <c r="B44" s="659" t="str">
        <f>"•  Services margin of "&amp;TEXT($G$38,"0.0")&amp;"% in Q2 vs "&amp;TEXT($F$38,"0.0")&amp;"% in Q1"&amp;": Q1 is seasonally stronger, so read the pair rather than the sequential step-down."</f>
        <v>•  Services margin of 41.8% in Q2 vs 45.3% in Q1: Q1 is seasonally stronger, so read the pair rather than the sequential step-down.</v>
      </c>
      <c r="C44" s="660"/>
      <c r="D44" s="660"/>
      <c r="E44" s="660"/>
      <c r="F44" s="660"/>
      <c r="G44" s="660"/>
      <c r="H44" s="660"/>
      <c r="I44" s="660"/>
      <c r="J44" s="660"/>
    </row>
    <row r="45" spans="2:10" ht="40.049999999999997" customHeight="1" x14ac:dyDescent="0.3">
      <c r="B45" s="659" t="str">
        <f>"•  Alphabet-level activities (shared AI/DeepMind R&amp;D, unallocated) is the fast-growing cost offset: "&amp;TEXT($H$23,"#,##0")&amp;" (Q2'25) -&gt; "&amp;TEXT($G$23,"#,##0")&amp;" (Q1'26) -&gt; "&amp;TEXT($I$23,"#,##0")&amp;" (Q2'26), +"&amp;TEXT(($I$23/$H$23-1)*100,"0.0")&amp;"% YoY"&amp;"."</f>
        <v>•  Alphabet-level activities (shared AI/DeepMind R&amp;D, unallocated) is the fast-growing cost offset: -3,372 (Q2'25) -&gt; -5,391 (Q1'26) -&gt; -5,789 (Q2'26), +71.7% YoY.</v>
      </c>
      <c r="C45" s="660"/>
      <c r="D45" s="660"/>
      <c r="E45" s="660"/>
      <c r="F45" s="660"/>
      <c r="G45" s="660"/>
      <c r="H45" s="660"/>
      <c r="I45" s="660"/>
      <c r="J45" s="660"/>
    </row>
    <row r="46" spans="2:10" ht="40.049999999999997" customHeight="1" x14ac:dyDescent="0.3">
      <c r="B46" s="659" t="str">
        <f>"•  Cloud backlog / remaining performance obligations at Jun 30, 2026: "&amp;TEXT('15 Assumptions'!$C$112,"#,##0")&amp;" (Cloud) of 519,500 total RPO. Just over 50% expected to convert within 24 months."&amp;" Model cross-check at 17 Model rows 107-112."</f>
        <v>•  Cloud backlog / remaining performance obligations at Jun 30, 2026: 513,900 (Cloud) of 519,500 total RPO. Just over 50% expected to convert within 24 months. Model cross-check at 17 Model rows 107-112.</v>
      </c>
      <c r="C46" s="660"/>
      <c r="D46" s="660"/>
      <c r="E46" s="660"/>
      <c r="F46" s="660"/>
      <c r="G46" s="660"/>
      <c r="H46" s="660"/>
      <c r="I46" s="660"/>
      <c r="J46" s="660"/>
    </row>
  </sheetData>
  <mergeCells count="5">
    <mergeCell ref="B44:J44"/>
    <mergeCell ref="B42:J42"/>
    <mergeCell ref="B43:J43"/>
    <mergeCell ref="B45:J45"/>
    <mergeCell ref="B46:J46"/>
  </mergeCells>
  <printOptions horizontalCentered="1"/>
  <pageMargins left="0.30000000000000004" right="0.30000000000000004" top="0.41666666666666669" bottom="0.41666666666666669" header="0.19444444444444445" footer="0.19444444444444445"/>
  <pageSetup scale="74"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3597B"/>
    <pageSetUpPr fitToPage="1"/>
  </sheetPr>
  <dimension ref="B1:J54"/>
  <sheetViews>
    <sheetView showGridLines="0" workbookViewId="0">
      <pane xSplit="2" ySplit="5" topLeftCell="C6" activePane="bottomRight" state="frozen"/>
      <selection pane="topRight" activeCell="C1" sqref="C1"/>
      <selection pane="bottomLeft" activeCell="A6" sqref="A6"/>
      <selection pane="bottomRight" activeCell="B12" sqref="B12"/>
    </sheetView>
  </sheetViews>
  <sheetFormatPr defaultRowHeight="14.4" x14ac:dyDescent="0.3"/>
  <cols>
    <col min="1" max="1" width="3.33203125" customWidth="1"/>
    <col min="2" max="2" width="53.6640625" customWidth="1"/>
    <col min="3" max="7" width="17.5546875" customWidth="1"/>
  </cols>
  <sheetData>
    <row r="1" spans="2:10" ht="6" customHeight="1" x14ac:dyDescent="0.3"/>
    <row r="2" spans="2:10" ht="28.05" customHeight="1" thickBot="1" x14ac:dyDescent="0.45">
      <c r="B2" s="396" t="s">
        <v>1808</v>
      </c>
      <c r="C2" s="396"/>
      <c r="D2" s="396"/>
      <c r="E2" s="396"/>
      <c r="F2" s="396"/>
      <c r="G2" s="396"/>
      <c r="H2" s="396"/>
      <c r="I2" s="396"/>
      <c r="J2" s="396"/>
    </row>
    <row r="3" spans="2:10" ht="40.049999999999997" customHeight="1" thickBot="1" x14ac:dyDescent="0.35">
      <c r="B3" s="661" t="s">
        <v>1285</v>
      </c>
      <c r="C3" s="662"/>
      <c r="D3" s="662"/>
      <c r="E3" s="662"/>
      <c r="F3" s="662"/>
      <c r="G3" s="662"/>
      <c r="H3" s="662"/>
      <c r="I3" s="662"/>
      <c r="J3" s="662"/>
    </row>
    <row r="4" spans="2:10" x14ac:dyDescent="0.3">
      <c r="B4" s="1"/>
      <c r="C4" s="1"/>
      <c r="D4" s="1"/>
      <c r="E4" s="1"/>
      <c r="F4" s="1"/>
      <c r="G4" s="1"/>
      <c r="H4" s="1"/>
      <c r="I4" s="1"/>
      <c r="J4" s="1"/>
    </row>
    <row r="5" spans="2:10" ht="18" customHeight="1" x14ac:dyDescent="0.3">
      <c r="B5" s="128" t="s">
        <v>6</v>
      </c>
      <c r="C5" s="129" t="s">
        <v>7</v>
      </c>
      <c r="D5" s="129" t="s">
        <v>8</v>
      </c>
      <c r="E5" s="129" t="s">
        <v>9</v>
      </c>
      <c r="F5" s="129" t="s">
        <v>91</v>
      </c>
      <c r="G5" s="129" t="s">
        <v>92</v>
      </c>
      <c r="H5" s="16"/>
      <c r="I5" s="16"/>
      <c r="J5" s="16"/>
    </row>
    <row r="6" spans="2:10" x14ac:dyDescent="0.3">
      <c r="B6" s="99" t="s">
        <v>93</v>
      </c>
      <c r="C6" s="100">
        <v>24048</v>
      </c>
      <c r="D6" s="100">
        <v>23466</v>
      </c>
      <c r="E6" s="100">
        <v>30708</v>
      </c>
      <c r="F6" s="100">
        <v>38063</v>
      </c>
      <c r="G6" s="100">
        <v>55911</v>
      </c>
      <c r="H6" s="154"/>
      <c r="I6" s="154"/>
      <c r="J6" s="154"/>
    </row>
    <row r="7" spans="2:10" x14ac:dyDescent="0.3">
      <c r="B7" s="116" t="s">
        <v>94</v>
      </c>
      <c r="C7" s="171">
        <v>86868</v>
      </c>
      <c r="D7" s="171">
        <v>72191</v>
      </c>
      <c r="E7" s="171">
        <v>96135</v>
      </c>
      <c r="F7" s="171">
        <v>88777</v>
      </c>
      <c r="G7" s="171">
        <v>186563</v>
      </c>
      <c r="H7" s="192"/>
      <c r="I7" s="192"/>
      <c r="J7" s="192"/>
    </row>
    <row r="8" spans="2:10" x14ac:dyDescent="0.3">
      <c r="B8" s="108" t="s">
        <v>95</v>
      </c>
      <c r="C8" s="109">
        <f>C6+C7</f>
        <v>110916</v>
      </c>
      <c r="D8" s="109">
        <f>D6+D7</f>
        <v>95657</v>
      </c>
      <c r="E8" s="109">
        <f>E6+E7</f>
        <v>126843</v>
      </c>
      <c r="F8" s="109">
        <f>F6+F7</f>
        <v>126840</v>
      </c>
      <c r="G8" s="109">
        <f>G6+G7</f>
        <v>242474</v>
      </c>
      <c r="H8" s="160"/>
      <c r="I8" s="160"/>
      <c r="J8" s="160"/>
    </row>
    <row r="9" spans="2:10" x14ac:dyDescent="0.3">
      <c r="B9" s="172" t="s">
        <v>96</v>
      </c>
      <c r="C9" s="173">
        <v>47964</v>
      </c>
      <c r="D9" s="173">
        <v>52340</v>
      </c>
      <c r="E9" s="173">
        <v>62886</v>
      </c>
      <c r="F9" s="173">
        <v>62999</v>
      </c>
      <c r="G9" s="270">
        <v>69175</v>
      </c>
      <c r="H9" s="200"/>
      <c r="I9" s="200"/>
      <c r="J9" s="200"/>
    </row>
    <row r="10" spans="2:10" x14ac:dyDescent="0.3">
      <c r="B10" s="108" t="s">
        <v>97</v>
      </c>
      <c r="C10" s="195">
        <v>171530</v>
      </c>
      <c r="D10" s="195">
        <v>163711</v>
      </c>
      <c r="E10" s="195">
        <v>206038</v>
      </c>
      <c r="F10" s="195">
        <v>213753</v>
      </c>
      <c r="G10" s="271">
        <v>343524</v>
      </c>
      <c r="H10" s="160"/>
      <c r="I10" s="160"/>
      <c r="J10" s="160"/>
    </row>
    <row r="11" spans="2:10" x14ac:dyDescent="0.3">
      <c r="B11" s="110" t="s">
        <v>98</v>
      </c>
      <c r="C11" s="147">
        <v>148436</v>
      </c>
      <c r="D11" s="147">
        <v>184624</v>
      </c>
      <c r="E11" s="147">
        <v>261818</v>
      </c>
      <c r="F11" s="147">
        <v>296529</v>
      </c>
      <c r="G11" s="266">
        <v>321212</v>
      </c>
      <c r="H11" s="201"/>
      <c r="I11" s="201"/>
      <c r="J11" s="201"/>
    </row>
    <row r="12" spans="2:10" x14ac:dyDescent="0.3">
      <c r="B12" s="196" t="s">
        <v>99</v>
      </c>
      <c r="C12" s="267">
        <v>134345</v>
      </c>
      <c r="D12" s="197">
        <v>171036</v>
      </c>
      <c r="E12" s="197">
        <v>246597</v>
      </c>
      <c r="F12" s="267">
        <v>281020</v>
      </c>
      <c r="G12" s="267">
        <v>321212</v>
      </c>
      <c r="H12" s="202" t="s">
        <v>1240</v>
      </c>
      <c r="I12" s="154"/>
      <c r="J12" s="154"/>
    </row>
    <row r="13" spans="2:10" x14ac:dyDescent="0.3">
      <c r="B13" s="116" t="s">
        <v>100</v>
      </c>
      <c r="C13" s="171">
        <v>29198</v>
      </c>
      <c r="D13" s="171">
        <v>31885</v>
      </c>
      <c r="E13" s="171">
        <v>33380</v>
      </c>
      <c r="F13" s="171">
        <v>57774</v>
      </c>
      <c r="G13" s="272">
        <v>57828</v>
      </c>
      <c r="H13" s="192"/>
      <c r="I13" s="192"/>
      <c r="J13" s="192"/>
    </row>
    <row r="14" spans="2:10" x14ac:dyDescent="0.3">
      <c r="B14" s="108" t="s">
        <v>101</v>
      </c>
      <c r="C14" s="195">
        <v>402392</v>
      </c>
      <c r="D14" s="195">
        <v>450256</v>
      </c>
      <c r="E14" s="195">
        <v>595281</v>
      </c>
      <c r="F14" s="195">
        <v>703919</v>
      </c>
      <c r="G14" s="271">
        <v>921983</v>
      </c>
      <c r="H14" s="160"/>
      <c r="I14" s="160"/>
      <c r="J14" s="160"/>
    </row>
    <row r="15" spans="2:10" x14ac:dyDescent="0.3">
      <c r="B15" s="110" t="s">
        <v>102</v>
      </c>
      <c r="C15" s="147">
        <v>81814</v>
      </c>
      <c r="D15" s="147">
        <v>89122</v>
      </c>
      <c r="E15" s="147">
        <v>102745</v>
      </c>
      <c r="F15" s="147">
        <v>111188</v>
      </c>
      <c r="G15" s="266">
        <v>126111</v>
      </c>
      <c r="H15" s="201"/>
      <c r="I15" s="201"/>
      <c r="J15" s="201"/>
    </row>
    <row r="16" spans="2:10" x14ac:dyDescent="0.3">
      <c r="B16" s="102" t="s">
        <v>103</v>
      </c>
      <c r="C16" s="103">
        <v>11870</v>
      </c>
      <c r="D16" s="103">
        <v>10883</v>
      </c>
      <c r="E16" s="103">
        <v>46547</v>
      </c>
      <c r="F16" s="103">
        <v>77501</v>
      </c>
      <c r="G16" s="268">
        <v>98165</v>
      </c>
      <c r="H16" s="158"/>
      <c r="I16" s="158"/>
      <c r="J16" s="158"/>
    </row>
    <row r="17" spans="2:10" x14ac:dyDescent="0.3">
      <c r="B17" s="105" t="s">
        <v>2028</v>
      </c>
      <c r="C17" s="107">
        <v>14536</v>
      </c>
      <c r="D17" s="107">
        <v>13559</v>
      </c>
      <c r="E17" s="107">
        <v>51043</v>
      </c>
      <c r="F17" s="107">
        <v>81713</v>
      </c>
      <c r="G17" s="269">
        <v>102754</v>
      </c>
      <c r="H17" s="203" t="s">
        <v>2029</v>
      </c>
      <c r="I17" s="203"/>
      <c r="J17" s="203"/>
    </row>
    <row r="18" spans="2:10" x14ac:dyDescent="0.3">
      <c r="B18" s="105" t="s">
        <v>105</v>
      </c>
      <c r="C18" s="107">
        <v>119013</v>
      </c>
      <c r="D18" s="107">
        <v>125172</v>
      </c>
      <c r="E18" s="107">
        <v>180016</v>
      </c>
      <c r="F18" s="107">
        <v>225173</v>
      </c>
      <c r="G18" s="269">
        <v>281503</v>
      </c>
      <c r="H18" s="203"/>
      <c r="I18" s="203"/>
      <c r="J18" s="203"/>
    </row>
    <row r="19" spans="2:10" x14ac:dyDescent="0.3">
      <c r="B19" s="108" t="s">
        <v>106</v>
      </c>
      <c r="C19" s="195">
        <v>283379</v>
      </c>
      <c r="D19" s="195">
        <v>325084</v>
      </c>
      <c r="E19" s="195">
        <v>415265</v>
      </c>
      <c r="F19" s="195">
        <v>478746</v>
      </c>
      <c r="G19" s="271">
        <v>640480</v>
      </c>
      <c r="H19" s="160"/>
      <c r="I19" s="160"/>
      <c r="J19" s="160"/>
    </row>
    <row r="20" spans="2:10" x14ac:dyDescent="0.3">
      <c r="B20" s="113" t="s">
        <v>107</v>
      </c>
      <c r="C20" s="114">
        <v>12433</v>
      </c>
      <c r="D20" s="114">
        <v>12190</v>
      </c>
      <c r="E20" s="114">
        <v>12097</v>
      </c>
      <c r="F20" s="114">
        <v>12116</v>
      </c>
      <c r="G20" s="114">
        <v>12230</v>
      </c>
      <c r="H20" s="191"/>
      <c r="I20" s="191"/>
      <c r="J20" s="191"/>
    </row>
    <row r="21" spans="2:10" x14ac:dyDescent="0.3">
      <c r="B21" s="102" t="s">
        <v>2030</v>
      </c>
      <c r="C21" s="103">
        <v>15251</v>
      </c>
      <c r="D21" s="103">
        <v>14578</v>
      </c>
      <c r="E21" s="103">
        <v>15954</v>
      </c>
      <c r="F21" s="103">
        <v>16161</v>
      </c>
      <c r="G21" s="268">
        <v>18037</v>
      </c>
      <c r="H21" s="158" t="s">
        <v>2031</v>
      </c>
      <c r="I21" s="1"/>
      <c r="J21" s="1"/>
    </row>
    <row r="22" spans="2:10" x14ac:dyDescent="0.3">
      <c r="B22" s="198" t="s">
        <v>108</v>
      </c>
      <c r="C22" s="199">
        <f>C8-C17</f>
        <v>96380</v>
      </c>
      <c r="D22" s="199">
        <f>D8-D17</f>
        <v>82098</v>
      </c>
      <c r="E22" s="199">
        <f>E8-E17</f>
        <v>75800</v>
      </c>
      <c r="F22" s="199">
        <f>F8-F17</f>
        <v>45127</v>
      </c>
      <c r="G22" s="199">
        <f>G8-G17</f>
        <v>139720</v>
      </c>
      <c r="H22" s="204" t="s">
        <v>109</v>
      </c>
      <c r="I22" s="205"/>
      <c r="J22" s="205"/>
    </row>
    <row r="23" spans="2:10" x14ac:dyDescent="0.3">
      <c r="B23" s="1"/>
      <c r="C23" s="1"/>
      <c r="D23" s="1"/>
      <c r="E23" s="1"/>
      <c r="F23" s="1"/>
      <c r="G23" s="1"/>
      <c r="H23" s="1"/>
      <c r="I23" s="1"/>
      <c r="J23" s="1"/>
    </row>
    <row r="24" spans="2:10" x14ac:dyDescent="0.3">
      <c r="B24" s="130" t="s">
        <v>30</v>
      </c>
      <c r="C24" s="131"/>
      <c r="D24" s="131"/>
      <c r="E24" s="131"/>
      <c r="F24" s="131"/>
      <c r="G24" s="131"/>
      <c r="H24" s="131"/>
      <c r="I24" s="131"/>
      <c r="J24" s="131"/>
    </row>
    <row r="25" spans="2:10" ht="58.05" customHeight="1" x14ac:dyDescent="0.3">
      <c r="B25" s="659" t="str">
        <f>"•  PP&amp;E IS CARRIED AS FILED. Net PP&amp;E is "&amp;TEXT($D$12,"#,##0")&amp;" at Dec 31 2024 and "&amp;TEXT($E$12,"#,##0")&amp;" at Dec 31 2025, per the FY2025 10-K property note. Standardized data feeds commonly fold lease right-of-use assets into PP&amp;E, which overstates the figure and by a gap that grows year over year - the "&amp;"AS FILED row in this sheet avoids that."</f>
        <v>•  PP&amp;E IS CARRIED AS FILED. Net PP&amp;E is 171,036 at Dec 31 2024 and 246,597 at Dec 31 2025, per the FY2025 10-K property note. Standardized data feeds commonly fold lease right-of-use assets into PP&amp;E, which overstates the figure and by a gap that grows year over year - the AS FILED row in this sheet avoids that.</v>
      </c>
      <c r="C25" s="659"/>
      <c r="D25" s="659"/>
      <c r="E25" s="659"/>
      <c r="F25" s="659"/>
      <c r="G25" s="659"/>
      <c r="H25" s="659"/>
      <c r="I25" s="659"/>
      <c r="J25" s="659"/>
    </row>
    <row r="26" spans="2:10" ht="48" customHeight="1" x14ac:dyDescent="0.3">
      <c r="B26" s="659" t="str">
        <f>"•  USE THE AS FILED ROW (row 12) for all PP&amp;E work. It is complete for every period: "&amp;TEXT($C$12,"#,##0")&amp;" / "&amp;TEXT($D$12,"#,##0")&amp;" / "&amp;TEXT($E$12,"#,##0")&amp;" / "&amp;TEXT($F$12,"#,##0")&amp;" / "&amp;TEXT($G$12,"#,##0")&amp;". Row 11 is retained only to show the overstatement in the standardized feed and must not be used in the model."</f>
        <v>•  USE THE AS FILED ROW (row 12) for all PP&amp;E work. It is complete for every period: 134,345 / 171,036 / 246,597 / 281,020 / 321,212. Row 11 is retained only to show the overstatement in the standardized feed and must not be used in the model.</v>
      </c>
      <c r="C26" s="659"/>
      <c r="D26" s="659"/>
      <c r="E26" s="659"/>
      <c r="F26" s="659"/>
      <c r="G26" s="659"/>
      <c r="H26" s="659"/>
      <c r="I26" s="659"/>
      <c r="J26" s="659"/>
    </row>
    <row r="27" spans="2:10" ht="25.95" customHeight="1" x14ac:dyDescent="0.3">
      <c r="B27" s="659" t="s">
        <v>1286</v>
      </c>
      <c r="C27" s="659"/>
      <c r="D27" s="659"/>
      <c r="E27" s="659"/>
      <c r="F27" s="659"/>
      <c r="G27" s="659"/>
      <c r="H27" s="659"/>
      <c r="I27" s="659"/>
      <c r="J27" s="659"/>
    </row>
    <row r="28" spans="2:10" ht="36" customHeight="1" x14ac:dyDescent="0.3">
      <c r="B28" s="659" t="str">
        <f>"•  Mar'26 is PRE the 2026 equity raise; Jun'26 is post-raise. Cash and securities nearly doubled to "&amp;TEXT($G$8,"#,##0")&amp;" and net cash rose to "&amp;"+"&amp;TEXT($G$22,"#,##0")&amp;" from "&amp;"+"&amp;TEXT($F$22,"#,##0")&amp;". Jun'26 figures are as filed. Total debt excludes operating lease liabilities (row 21), because their cost already sits in operating expenses and in free cash flow; counting them as debt too double-c"&amp;"ounted them (corrected 2026-09-24, entry 44)."</f>
        <v>•  Mar'26 is PRE the 2026 equity raise; Jun'26 is post-raise. Cash and securities nearly doubled to 242,474 and net cash rose to +139,720 from +45,127. Jun'26 figures are as filed. Total debt excludes operating lease liabilities (row 21), because their cost already sits in operating expenses and in free cash flow; counting them as debt too double-counted them (corrected 2026-09-24, entry 44).</v>
      </c>
      <c r="C28" s="659"/>
      <c r="D28" s="659"/>
      <c r="E28" s="659"/>
      <c r="F28" s="659"/>
      <c r="G28" s="659"/>
      <c r="H28" s="659"/>
      <c r="I28" s="659"/>
      <c r="J28" s="659"/>
    </row>
    <row r="29" spans="2:10" ht="28.05" customHeight="1" x14ac:dyDescent="0.3">
      <c r="B29" s="659" t="s">
        <v>2566</v>
      </c>
      <c r="C29" s="660"/>
      <c r="D29" s="660"/>
      <c r="E29" s="660"/>
      <c r="F29" s="660"/>
      <c r="G29" s="660"/>
      <c r="H29" s="660"/>
      <c r="I29" s="660"/>
      <c r="J29" s="660"/>
    </row>
    <row r="30" spans="2:10" ht="30" customHeight="1" x14ac:dyDescent="0.3">
      <c r="B30" s="659" t="str">
        <f>"•  Common shares outstanding at Jun'26 is the July 15, 2026 cover-page count "&amp;"(Class A "&amp;TEXT('05 Capital Structure'!$C$18,"#,##0")&amp;" / Class B "&amp;TEXT('05 Capital Structure'!$C$19,"#,##0")&amp;" / Class C "&amp;TEXT('05 Capital Structure'!$C$20,"#,##0")&amp;")"&amp;"."</f>
        <v>•  Common shares outstanding at Jun'26 is the July 15, 2026 cover-page count (Class A 5,868 / Class B 835 / Class C 5,527).</v>
      </c>
      <c r="C30" s="660"/>
      <c r="D30" s="660"/>
      <c r="E30" s="660"/>
      <c r="F30" s="660"/>
      <c r="G30" s="660"/>
      <c r="H30" s="660"/>
      <c r="I30" s="660"/>
      <c r="J30" s="660"/>
    </row>
    <row r="32" spans="2:10" x14ac:dyDescent="0.3">
      <c r="B32" s="513" t="s">
        <v>2580</v>
      </c>
      <c r="C32" s="131"/>
      <c r="D32" s="131"/>
      <c r="E32" s="131"/>
      <c r="F32" s="131"/>
      <c r="G32" s="131"/>
      <c r="H32" s="131"/>
      <c r="I32" s="131"/>
      <c r="J32" s="131"/>
    </row>
    <row r="33" spans="2:8" x14ac:dyDescent="0.3">
      <c r="B33" s="128" t="s">
        <v>2066</v>
      </c>
      <c r="C33" s="129"/>
      <c r="D33" s="129"/>
      <c r="E33" s="129" t="s">
        <v>9</v>
      </c>
      <c r="F33" s="129"/>
      <c r="G33" s="129" t="s">
        <v>92</v>
      </c>
      <c r="H33" s="16" t="s">
        <v>12</v>
      </c>
    </row>
    <row r="34" spans="2:8" x14ac:dyDescent="0.3">
      <c r="B34" s="102" t="s">
        <v>2067</v>
      </c>
      <c r="C34" s="103"/>
      <c r="D34" s="103"/>
      <c r="E34" s="514">
        <v>919</v>
      </c>
      <c r="F34" s="103"/>
      <c r="G34" s="515">
        <v>22819</v>
      </c>
      <c r="H34" s="158" t="s">
        <v>2068</v>
      </c>
    </row>
    <row r="35" spans="2:8" x14ac:dyDescent="0.3">
      <c r="B35" s="102" t="s">
        <v>2069</v>
      </c>
      <c r="C35" s="103"/>
      <c r="D35" s="103"/>
      <c r="E35" s="514">
        <v>9113</v>
      </c>
      <c r="F35" s="103"/>
      <c r="G35" s="515">
        <v>1448</v>
      </c>
      <c r="H35" s="158" t="s">
        <v>2068</v>
      </c>
    </row>
    <row r="36" spans="2:8" x14ac:dyDescent="0.3">
      <c r="B36" s="102" t="s">
        <v>2070</v>
      </c>
      <c r="C36" s="103"/>
      <c r="D36" s="103"/>
      <c r="E36" s="516">
        <f>E34-E35</f>
        <v>-8194</v>
      </c>
      <c r="F36" s="103"/>
      <c r="G36" s="517">
        <f>G34-G35</f>
        <v>21371</v>
      </c>
      <c r="H36" s="158" t="s">
        <v>56</v>
      </c>
    </row>
    <row r="37" spans="2:8" x14ac:dyDescent="0.3">
      <c r="B37" s="102" t="s">
        <v>2071</v>
      </c>
      <c r="C37" s="103"/>
      <c r="D37" s="103"/>
      <c r="E37" s="103"/>
      <c r="F37" s="103"/>
      <c r="G37" s="518">
        <f>(G36-E36)/'06 Core EPS Bridge'!J7</f>
        <v>0.21747605666955996</v>
      </c>
      <c r="H37" s="158" t="s">
        <v>2072</v>
      </c>
    </row>
    <row r="39" spans="2:8" x14ac:dyDescent="0.3">
      <c r="B39" s="128" t="s">
        <v>2256</v>
      </c>
      <c r="C39" s="129"/>
      <c r="D39" s="129"/>
      <c r="E39" s="129" t="s">
        <v>9</v>
      </c>
      <c r="F39" s="129"/>
      <c r="G39" s="129" t="s">
        <v>92</v>
      </c>
      <c r="H39" s="16" t="s">
        <v>12</v>
      </c>
    </row>
    <row r="40" spans="2:8" x14ac:dyDescent="0.3">
      <c r="B40" s="580" t="s">
        <v>2257</v>
      </c>
      <c r="C40" s="103"/>
      <c r="D40" s="103"/>
      <c r="E40" s="103"/>
      <c r="F40" s="103"/>
      <c r="G40" s="515">
        <v>87063</v>
      </c>
      <c r="H40" s="158" t="s">
        <v>2258</v>
      </c>
    </row>
    <row r="41" spans="2:8" x14ac:dyDescent="0.3">
      <c r="B41" s="580" t="s">
        <v>2259</v>
      </c>
      <c r="C41" s="103"/>
      <c r="D41" s="103"/>
      <c r="E41" s="103"/>
      <c r="F41" s="103"/>
      <c r="G41" s="515">
        <v>99500</v>
      </c>
      <c r="H41" s="158" t="s">
        <v>2258</v>
      </c>
    </row>
    <row r="42" spans="2:8" x14ac:dyDescent="0.3">
      <c r="B42" s="580" t="s">
        <v>2260</v>
      </c>
      <c r="C42" s="103"/>
      <c r="D42" s="103"/>
      <c r="E42" s="103"/>
      <c r="F42" s="103"/>
      <c r="G42" s="515">
        <v>14126</v>
      </c>
      <c r="H42" s="158" t="s">
        <v>2402</v>
      </c>
    </row>
    <row r="43" spans="2:8" x14ac:dyDescent="0.3">
      <c r="B43" s="580" t="s">
        <v>2261</v>
      </c>
      <c r="C43" s="103"/>
      <c r="D43" s="103"/>
      <c r="E43" s="514">
        <v>68687</v>
      </c>
      <c r="F43" s="103"/>
      <c r="G43" s="515">
        <v>131461</v>
      </c>
      <c r="H43" s="158" t="s">
        <v>2068</v>
      </c>
    </row>
    <row r="44" spans="2:8" x14ac:dyDescent="0.3">
      <c r="B44" s="580" t="s">
        <v>2262</v>
      </c>
      <c r="C44" s="103"/>
      <c r="D44" s="103"/>
      <c r="E44" s="514">
        <v>64094</v>
      </c>
      <c r="F44" s="103"/>
      <c r="G44" s="515">
        <v>124259</v>
      </c>
      <c r="H44" s="158" t="s">
        <v>2258</v>
      </c>
    </row>
    <row r="45" spans="2:8" x14ac:dyDescent="0.3">
      <c r="B45" s="580" t="s">
        <v>2263</v>
      </c>
      <c r="C45" s="103"/>
      <c r="D45" s="103"/>
      <c r="E45" s="103"/>
      <c r="F45" s="103"/>
      <c r="G45" s="515">
        <v>47642</v>
      </c>
      <c r="H45" s="158" t="s">
        <v>2258</v>
      </c>
    </row>
    <row r="46" spans="2:8" x14ac:dyDescent="0.3">
      <c r="B46" s="580" t="s">
        <v>2264</v>
      </c>
      <c r="C46" s="103"/>
      <c r="D46" s="103"/>
      <c r="E46" s="103"/>
      <c r="F46" s="103"/>
      <c r="G46" s="515">
        <v>85732</v>
      </c>
      <c r="H46" s="158" t="s">
        <v>2258</v>
      </c>
    </row>
    <row r="47" spans="2:8" x14ac:dyDescent="0.3">
      <c r="B47" s="580" t="s">
        <v>2265</v>
      </c>
      <c r="C47" s="103"/>
      <c r="D47" s="103"/>
      <c r="E47" s="103"/>
      <c r="F47" s="103"/>
      <c r="G47" s="515">
        <v>-9115</v>
      </c>
      <c r="H47" s="158" t="s">
        <v>2258</v>
      </c>
    </row>
    <row r="48" spans="2:8" x14ac:dyDescent="0.3">
      <c r="B48" s="580" t="s">
        <v>2266</v>
      </c>
      <c r="C48" s="103"/>
      <c r="D48" s="103"/>
      <c r="E48" s="103"/>
      <c r="F48" s="103"/>
      <c r="G48" s="517">
        <f>G44-G45</f>
        <v>76617</v>
      </c>
      <c r="H48" s="158" t="s">
        <v>56</v>
      </c>
    </row>
    <row r="49" spans="2:10" x14ac:dyDescent="0.3">
      <c r="B49" s="580" t="s">
        <v>2267</v>
      </c>
      <c r="C49" s="103"/>
      <c r="D49" s="103"/>
      <c r="E49" s="103"/>
      <c r="F49" s="103"/>
      <c r="G49" s="581">
        <f>G48*'15 Assumptions'!C85</f>
        <v>16089.57</v>
      </c>
      <c r="H49" s="158" t="s">
        <v>2268</v>
      </c>
    </row>
    <row r="50" spans="2:10" x14ac:dyDescent="0.3">
      <c r="B50" s="582" t="s">
        <v>2269</v>
      </c>
      <c r="C50" s="103"/>
      <c r="D50" s="103"/>
      <c r="E50" s="103"/>
      <c r="F50" s="103"/>
      <c r="G50" s="517">
        <f>G44-G49</f>
        <v>108169.43</v>
      </c>
      <c r="H50" s="158" t="s">
        <v>56</v>
      </c>
    </row>
    <row r="51" spans="2:10" x14ac:dyDescent="0.3">
      <c r="B51" s="580" t="s">
        <v>2403</v>
      </c>
      <c r="C51" s="103"/>
      <c r="D51" s="103"/>
      <c r="E51" s="516">
        <f>E43-E44</f>
        <v>4593</v>
      </c>
      <c r="F51" s="103"/>
      <c r="G51" s="517">
        <f>G43-G44</f>
        <v>7202</v>
      </c>
      <c r="H51" s="158" t="s">
        <v>2404</v>
      </c>
    </row>
    <row r="52" spans="2:10" x14ac:dyDescent="0.3">
      <c r="B52" s="659" t="str">
        <f>"•  EQUITY STAKES (added 2026-10-07, entry 58). The DCF strips equity-securities gains out of earnings, so the stakes themselves must be valued in the bridge or they count nowhere. Net cash already car"&amp;"ries the "&amp;TEXT($G$40,"#,##0")&amp;" of marketable equity (row 40) at fair value. The "&amp;TEXT($G$44,"#,##0")&amp;" of non-marketable equity under the measurement alternative sits outside net cash, so 20 DCF Valuation row 25 adds it net of deferred tax on its "&amp;TEXT($G$48,"#,##0")&amp;" unrealized gain."</f>
        <v>•  EQUITY STAKES (added 2026-10-07, entry 58). The DCF strips equity-securities gains out of earnings, so the stakes themselves must be valued in the bridge or they count nowhere. Net cash already carries the 87,063 of marketable equity (row 40) at fair value. The 124,259 of non-marketable equity under the measurement alternative sits outside net cash, so 20 DCF Valuation row 25 adds it net of deferred tax on its 76,617 unrealized gain.</v>
      </c>
      <c r="C52" s="660"/>
      <c r="D52" s="660"/>
      <c r="E52" s="660"/>
      <c r="F52" s="660"/>
      <c r="G52" s="660"/>
      <c r="H52" s="660"/>
      <c r="I52" s="660"/>
      <c r="J52" s="660"/>
    </row>
    <row r="53" spans="2:10" x14ac:dyDescent="0.3">
      <c r="B53" s="659" t="str">
        <f>"•  ALSO IN THE BRIDGE since 2026-10-07 (entry 61): the "&amp;TEXT($G$42,"#,##0")&amp;" of marketable equity held in other non-current assets, at fair value like the marketable equity inside net cash, and the "&amp;TEXT($G$51,"#,##0")&amp;" of equity-method and other non-marketable securities at carrying value. Neither carries a disclosed unrealized gain, so no deferred tax is deducted. Mark-to-market stakes are not cash-like in a drawd"&amp;"own; row 27 of 20 DCF Valuation discloses the equity inside net cash."</f>
        <v>•  ALSO IN THE BRIDGE since 2026-10-07 (entry 61): the 14,126 of marketable equity held in other non-current assets, at fair value like the marketable equity inside net cash, and the 7,202 of equity-method and other non-marketable securities at carrying value. Neither carries a disclosed unrealized gain, so no deferred tax is deducted. Mark-to-market stakes are not cash-like in a drawdown; row 27 of 20 DCF Valuation discloses the equity inside net cash.</v>
      </c>
      <c r="C53" s="660"/>
      <c r="D53" s="660"/>
      <c r="E53" s="660"/>
      <c r="F53" s="660"/>
      <c r="G53" s="660"/>
      <c r="H53" s="660"/>
      <c r="I53" s="660"/>
      <c r="J53" s="660"/>
    </row>
    <row r="54" spans="2:10" x14ac:dyDescent="0.3">
      <c r="B54" s="582" t="s">
        <v>2405</v>
      </c>
      <c r="C54" s="103"/>
      <c r="D54" s="103"/>
      <c r="E54" s="103"/>
      <c r="F54" s="103"/>
      <c r="G54" s="517">
        <f>G42+G50+G51</f>
        <v>129497.43</v>
      </c>
      <c r="H54" s="158" t="s">
        <v>56</v>
      </c>
    </row>
  </sheetData>
  <mergeCells count="9">
    <mergeCell ref="B52:J52"/>
    <mergeCell ref="B53:J53"/>
    <mergeCell ref="B3:J3"/>
    <mergeCell ref="B25:J25"/>
    <mergeCell ref="B30:J30"/>
    <mergeCell ref="B26:J26"/>
    <mergeCell ref="B29:J29"/>
    <mergeCell ref="B28:J28"/>
    <mergeCell ref="B27:J27"/>
  </mergeCells>
  <printOptions horizontalCentered="1"/>
  <pageMargins left="0.30000000000000004" right="0.30000000000000004" top="0.41666666666666669" bottom="0.41666666666666669" header="0.19444444444444445" footer="0.19444444444444445"/>
  <pageSetup scale="78"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3597B"/>
    <pageSetUpPr fitToPage="1"/>
  </sheetPr>
  <dimension ref="B1:E36"/>
  <sheetViews>
    <sheetView showGridLines="0" workbookViewId="0">
      <pane xSplit="2" ySplit="5" topLeftCell="C6" activePane="bottomRight" state="frozen"/>
      <selection pane="topRight" activeCell="C1" sqref="C1"/>
      <selection pane="bottomLeft" activeCell="A6" sqref="A6"/>
      <selection pane="bottomRight" activeCell="B21" sqref="B21:D21"/>
    </sheetView>
  </sheetViews>
  <sheetFormatPr defaultRowHeight="14.4" x14ac:dyDescent="0.3"/>
  <cols>
    <col min="1" max="1" width="3.33203125" customWidth="1"/>
    <col min="2" max="2" width="44" customWidth="1"/>
    <col min="3" max="4" width="18" customWidth="1"/>
  </cols>
  <sheetData>
    <row r="1" spans="2:5" ht="6" customHeight="1" x14ac:dyDescent="0.3"/>
    <row r="2" spans="2:5" ht="28.05" customHeight="1" thickBot="1" x14ac:dyDescent="0.45">
      <c r="B2" s="396" t="s">
        <v>1809</v>
      </c>
      <c r="C2" s="396"/>
      <c r="D2" s="396"/>
      <c r="E2" s="396"/>
    </row>
    <row r="3" spans="2:5" ht="15" thickBot="1" x14ac:dyDescent="0.35">
      <c r="B3" s="80" t="s">
        <v>1283</v>
      </c>
      <c r="C3" s="4"/>
      <c r="D3" s="4"/>
      <c r="E3" s="4"/>
    </row>
    <row r="4" spans="2:5" x14ac:dyDescent="0.3">
      <c r="B4" s="1"/>
      <c r="C4" s="1"/>
      <c r="D4" s="1"/>
      <c r="E4" s="1"/>
    </row>
    <row r="5" spans="2:5" ht="18" customHeight="1" x14ac:dyDescent="0.3">
      <c r="B5" s="128" t="s">
        <v>166</v>
      </c>
      <c r="C5" s="129" t="s">
        <v>167</v>
      </c>
      <c r="D5" s="129" t="s">
        <v>168</v>
      </c>
      <c r="E5" s="16"/>
    </row>
    <row r="6" spans="2:5" x14ac:dyDescent="0.3">
      <c r="B6" s="99" t="s">
        <v>169</v>
      </c>
      <c r="C6" s="100">
        <v>30500</v>
      </c>
      <c r="D6" s="179" t="s">
        <v>170</v>
      </c>
      <c r="E6" s="154"/>
    </row>
    <row r="7" spans="2:5" x14ac:dyDescent="0.3">
      <c r="B7" s="96" t="s">
        <v>171</v>
      </c>
      <c r="C7" s="97">
        <v>19000</v>
      </c>
      <c r="D7" s="233" t="s">
        <v>172</v>
      </c>
      <c r="E7" s="156"/>
    </row>
    <row r="8" spans="2:5" x14ac:dyDescent="0.3">
      <c r="B8" s="102" t="s">
        <v>1997</v>
      </c>
      <c r="C8" s="103">
        <v>0</v>
      </c>
      <c r="D8" s="236" t="s">
        <v>1998</v>
      </c>
      <c r="E8" s="158"/>
    </row>
    <row r="9" spans="2:5" x14ac:dyDescent="0.3">
      <c r="B9" s="108" t="s">
        <v>173</v>
      </c>
      <c r="C9" s="109">
        <f>C6+C7+C8</f>
        <v>49500</v>
      </c>
      <c r="D9" s="181" t="s">
        <v>174</v>
      </c>
      <c r="E9" s="160"/>
    </row>
    <row r="10" spans="2:5" x14ac:dyDescent="0.3">
      <c r="B10" s="1"/>
      <c r="C10" s="1"/>
      <c r="D10" s="1"/>
      <c r="E10" s="1"/>
    </row>
    <row r="11" spans="2:5" x14ac:dyDescent="0.3">
      <c r="B11" s="170" t="s">
        <v>175</v>
      </c>
      <c r="C11" s="170"/>
      <c r="D11" s="170"/>
      <c r="E11" s="170"/>
    </row>
    <row r="12" spans="2:5" ht="18" customHeight="1" x14ac:dyDescent="0.3">
      <c r="B12" s="128" t="s">
        <v>176</v>
      </c>
      <c r="C12" s="129" t="s">
        <v>177</v>
      </c>
      <c r="D12" s="16"/>
      <c r="E12" s="16"/>
    </row>
    <row r="13" spans="2:5" x14ac:dyDescent="0.3">
      <c r="B13" s="99" t="s">
        <v>178</v>
      </c>
      <c r="C13" s="100">
        <v>12151</v>
      </c>
      <c r="D13" s="154"/>
      <c r="E13" s="154"/>
    </row>
    <row r="14" spans="2:5" x14ac:dyDescent="0.3">
      <c r="B14" s="188" t="s">
        <v>179</v>
      </c>
      <c r="C14" s="235">
        <f>'02 Quarterly'!D39</f>
        <v>12309</v>
      </c>
      <c r="D14" s="156"/>
      <c r="E14" s="156"/>
    </row>
    <row r="15" spans="2:5" x14ac:dyDescent="0.3">
      <c r="B15" s="99" t="s">
        <v>180</v>
      </c>
      <c r="C15" s="100">
        <v>12125</v>
      </c>
      <c r="D15" s="154"/>
      <c r="E15" s="154"/>
    </row>
    <row r="16" spans="2:5" x14ac:dyDescent="0.3">
      <c r="B16" s="116" t="s">
        <v>181</v>
      </c>
      <c r="C16" s="171">
        <v>12274</v>
      </c>
      <c r="D16" s="192"/>
      <c r="E16" s="192"/>
    </row>
    <row r="17" spans="2:5" x14ac:dyDescent="0.3">
      <c r="B17" s="108" t="s">
        <v>182</v>
      </c>
      <c r="C17" s="109">
        <f>C18+C19+C20</f>
        <v>12230</v>
      </c>
      <c r="D17" s="160"/>
      <c r="E17" s="160"/>
    </row>
    <row r="18" spans="2:5" x14ac:dyDescent="0.3">
      <c r="B18" s="110" t="s">
        <v>183</v>
      </c>
      <c r="C18" s="147">
        <v>5868</v>
      </c>
      <c r="D18" s="201"/>
      <c r="E18" s="201"/>
    </row>
    <row r="19" spans="2:5" x14ac:dyDescent="0.3">
      <c r="B19" s="99" t="s">
        <v>184</v>
      </c>
      <c r="C19" s="100">
        <v>835</v>
      </c>
      <c r="D19" s="154"/>
      <c r="E19" s="154"/>
    </row>
    <row r="20" spans="2:5" x14ac:dyDescent="0.3">
      <c r="B20" s="96" t="s">
        <v>185</v>
      </c>
      <c r="C20" s="97">
        <v>5527</v>
      </c>
      <c r="D20" s="156"/>
      <c r="E20" s="156"/>
    </row>
    <row r="21" spans="2:5" x14ac:dyDescent="0.3">
      <c r="B21" s="116" t="s">
        <v>1995</v>
      </c>
      <c r="C21" s="171">
        <v>12245</v>
      </c>
      <c r="D21" s="192" t="s">
        <v>1996</v>
      </c>
      <c r="E21" s="1"/>
    </row>
    <row r="22" spans="2:5" x14ac:dyDescent="0.3">
      <c r="B22" s="170" t="s">
        <v>186</v>
      </c>
      <c r="C22" s="170"/>
      <c r="D22" s="170"/>
      <c r="E22" s="170"/>
    </row>
    <row r="23" spans="2:5" ht="18" customHeight="1" x14ac:dyDescent="0.3">
      <c r="B23" s="128" t="s">
        <v>187</v>
      </c>
      <c r="C23" s="129" t="s">
        <v>150</v>
      </c>
      <c r="D23" s="129" t="s">
        <v>168</v>
      </c>
      <c r="E23" s="16"/>
    </row>
    <row r="24" spans="2:5" x14ac:dyDescent="0.3">
      <c r="B24" s="93" t="s">
        <v>188</v>
      </c>
      <c r="C24" s="138">
        <f>C7*0.0625</f>
        <v>1187.5</v>
      </c>
      <c r="D24" s="179" t="s">
        <v>189</v>
      </c>
      <c r="E24" s="154"/>
    </row>
    <row r="25" spans="2:5" x14ac:dyDescent="0.3">
      <c r="B25" s="96" t="s">
        <v>190</v>
      </c>
      <c r="C25" s="98">
        <f>'04 Balance Sheet'!G22</f>
        <v>139720</v>
      </c>
      <c r="D25" s="233" t="str">
        <f>"DERIVED = "&amp;TEXT('04 Balance Sheet'!G8,"#,##0")&amp;" less "&amp;TEXT('04 Balance Sheet'!G17,"#,##0")</f>
        <v>DERIVED = 242,474 less 102,754</v>
      </c>
      <c r="E25" s="156"/>
    </row>
    <row r="26" spans="2:5" x14ac:dyDescent="0.3">
      <c r="B26" s="99" t="s">
        <v>191</v>
      </c>
      <c r="C26" s="206">
        <f>'04 Balance Sheet'!F22</f>
        <v>45127</v>
      </c>
      <c r="D26" s="179" t="s">
        <v>1284</v>
      </c>
      <c r="E26" s="154"/>
    </row>
    <row r="27" spans="2:5" x14ac:dyDescent="0.3">
      <c r="B27" s="1"/>
      <c r="C27" s="1"/>
      <c r="D27" s="1"/>
      <c r="E27" s="1"/>
    </row>
    <row r="28" spans="2:5" x14ac:dyDescent="0.3">
      <c r="B28" s="130" t="s">
        <v>30</v>
      </c>
      <c r="C28" s="131"/>
      <c r="D28" s="131"/>
      <c r="E28" s="131"/>
    </row>
    <row r="29" spans="2:5" ht="30" customHeight="1" x14ac:dyDescent="0.3">
      <c r="B29" s="659" t="str">
        <f>"•  THE RAISE AS FILED: "&amp;TEXT($C$6,"#,##0")&amp;" of common"&amp;" stock and "&amp;TEXT($C$7,"#,##0")&amp;" of preferred"&amp;", "&amp;"about "&amp;TEXT($C$9,"#,##0")&amp;" in total"&amp;". The 40,000 ATM was authorised on June 1 2026 and no shares had been sold under it by June 30 (Q2 10-Q); it is forward dilution, stated to fund tax on employee equity grants. Corrected 2026-09-24 fro"&amp;"m 'already drawn 30,400', which double-counted the common offering."</f>
        <v>•  THE RAISE AS FILED: 30,500 of common stock and 19,000 of preferred, about 49,500 in total. The 40,000 ATM was authorised on June 1 2026 and no shares had been sold under it by June 30 (Q2 10-Q); it is forward dilution, stated to fund tax on employee equity grants. Corrected 2026-09-24 from 'already drawn 30,400', which double-counted the common offering.</v>
      </c>
      <c r="C29" s="659"/>
      <c r="D29" s="659"/>
      <c r="E29" s="659"/>
    </row>
    <row r="30" spans="2:5" ht="37.950000000000003" customHeight="1" x14ac:dyDescent="0.3">
      <c r="B30" s="659" t="s">
        <v>1999</v>
      </c>
      <c r="C30" s="659"/>
      <c r="D30" s="659"/>
      <c r="E30" s="659"/>
    </row>
    <row r="31" spans="2:5" ht="43.95" customHeight="1" x14ac:dyDescent="0.3">
      <c r="B31" s="659" t="str">
        <f>"•  PREFERRED is "&amp;TEXT($C$7,"#,##0")&amp;" at 6.25%"&amp;", which is "&amp;"roughly "&amp;TEXT($C$24,"#,##0")&amp;" PER YEAR"&amp;" of preferred dividends reducing income available to common, plus dilution on mandatory conversion. Both effects must be carried in any per-share figure."</f>
        <v>•  PREFERRED is 19,000 at 6.25%, which is roughly 1,188 PER YEAR of preferred dividends reducing income available to common, plus dilution on mandatory conversion. Both effects must be carried in any per-share figure.</v>
      </c>
      <c r="C31" s="659"/>
      <c r="D31" s="659"/>
      <c r="E31" s="659"/>
    </row>
    <row r="32" spans="2:5" ht="28.05" customHeight="1" x14ac:dyDescent="0.3">
      <c r="B32" s="659" t="s">
        <v>192</v>
      </c>
      <c r="C32" s="660"/>
      <c r="D32" s="660"/>
      <c r="E32" s="660"/>
    </row>
    <row r="33" spans="2:5" ht="30" customHeight="1" x14ac:dyDescent="0.3">
      <c r="B33" s="659" t="s">
        <v>193</v>
      </c>
      <c r="C33" s="660"/>
      <c r="D33" s="660"/>
      <c r="E33" s="660"/>
    </row>
    <row r="34" spans="2:5" ht="36" customHeight="1" x14ac:dyDescent="0.3">
      <c r="B34" s="659" t="str">
        <f>"•  Net cash at Jun'26 is "&amp;"+"&amp;TEXT($C$25,"#,##0")&amp;" ("&amp;TEXT('04 Balance Sheet'!$G$8,"#,##0")&amp;" cash and securities less "&amp;TEXT('04 Balance Sheet'!$G$17,"#,##0")&amp;" of debt: "&amp;TEXT('04 Balance Sheet'!$G$16,"#,##0")&amp;" long-term, 1,999 current and 2,590 finance leases), up from "&amp;"+"&amp;TEXT($C$26,"#,##0")&amp;" at Mar'26. Operating lease liabilities of "&amp;TEXT('04 Balance Sheet'!$G$21,"#,##0")&amp;" are not debt here because FCFF already pays the lease cost. Use the Jun'26 figure in the DCF equity bridge."</f>
        <v>•  Net cash at Jun'26 is +139,720 (242,474 cash and securities less 102,754 of debt: 98,165 long-term, 1,999 current and 2,590 finance leases), up from +45,127 at Mar'26. Operating lease liabilities of 18,037 are not debt here because FCFF already pays the lease cost. Use the Jun'26 figure in the DCF equity bridge.</v>
      </c>
      <c r="C34" s="659"/>
      <c r="D34" s="659"/>
      <c r="E34" s="659"/>
    </row>
    <row r="35" spans="2:5" ht="43.95" customHeight="1" x14ac:dyDescent="0.3">
      <c r="B35" s="659" t="str">
        <f>"•  Other income excluding the securities gain went "&amp;"+"&amp;TEXT('02 Quarterly'!$C$32,"#,##0")&amp;" (Q2'25) to "&amp;TEXT('02 Quarterly'!$D$32,"#,##0")&amp;" (Q2'26). Interest expense rose to 1,278 from 261 on a debt book that grew from "&amp;TEXT('04 Balance Sheet'!$D$17,"#,##0")&amp;" (FY2024) to "&amp;TEXT('04 Balance Sheet'!$G$17,"#,##0")&amp;" (Jun'26), but interest income of 1,430 still exceeds it; most of the swing is the 'other' line (-973). Model it explicitly."</f>
        <v>•  Other income excluding the securities gain went +1,376 (Q2'25) to -1,048 (Q2'26). Interest expense rose to 1,278 from 261 on a debt book that grew from 13,559 (FY2024) to 102,754 (Jun'26), but interest income of 1,430 still exceeds it; most of the swing is the 'other' line (-973). Model it explicitly.</v>
      </c>
      <c r="C35" s="660"/>
      <c r="D35" s="660"/>
      <c r="E35" s="660"/>
    </row>
    <row r="36" spans="2:5" ht="43.95" customHeight="1" x14ac:dyDescent="0.3">
      <c r="B36" s="659" t="str">
        <f>"•  DISCLOSURE NOTE: two consecutive earnings calls (Apr 29 and Jul 22) passed with NO mention of the equity raise, buybacks, or the preferred. "&amp;"The "&amp;TEXT($C$9,"#,##0")&amp;" raise (common plus preferred, as filed)"&amp;" priced five weeks after the April call without being signalled on it."</f>
        <v>•  DISCLOSURE NOTE: two consecutive earnings calls (Apr 29 and Jul 22) passed with NO mention of the equity raise, buybacks, or the preferred. The 49,500 raise (common plus preferred, as filed) priced five weeks after the April call without being signalled on it.</v>
      </c>
      <c r="C36" s="660"/>
      <c r="D36" s="660"/>
      <c r="E36" s="660"/>
    </row>
  </sheetData>
  <mergeCells count="8">
    <mergeCell ref="B29:E29"/>
    <mergeCell ref="B33:E33"/>
    <mergeCell ref="B32:E32"/>
    <mergeCell ref="B35:E35"/>
    <mergeCell ref="B36:E36"/>
    <mergeCell ref="B31:E31"/>
    <mergeCell ref="B30:E30"/>
    <mergeCell ref="B34:E34"/>
  </mergeCells>
  <printOptions horizontalCentered="1"/>
  <pageMargins left="0.30000000000000004" right="0.30000000000000004" top="0.41666666666666669" bottom="0.41666666666666669" header="0.19444444444444445" footer="0.19444444444444445"/>
  <pageSetup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7791F"/>
    <pageSetUpPr fitToPage="1"/>
  </sheetPr>
  <dimension ref="B1:K38"/>
  <sheetViews>
    <sheetView showGridLines="0" workbookViewId="0">
      <pane xSplit="2" ySplit="5" topLeftCell="C6" activePane="bottomRight" state="frozen"/>
      <selection pane="topRight" activeCell="C1" sqref="C1"/>
      <selection pane="bottomLeft" activeCell="A6" sqref="A6"/>
      <selection pane="bottomRight" activeCell="I22" sqref="I22"/>
    </sheetView>
  </sheetViews>
  <sheetFormatPr defaultRowHeight="14.4" x14ac:dyDescent="0.3"/>
  <cols>
    <col min="1" max="1" width="3.33203125" customWidth="1"/>
    <col min="2" max="2" width="44" customWidth="1"/>
    <col min="3" max="5" width="16" customWidth="1"/>
    <col min="6" max="10" width="13" customWidth="1"/>
    <col min="11" max="11" width="14" customWidth="1"/>
  </cols>
  <sheetData>
    <row r="1" spans="2:11" ht="6" customHeight="1" x14ac:dyDescent="0.3"/>
    <row r="2" spans="2:11" ht="28.05" customHeight="1" thickBot="1" x14ac:dyDescent="0.45">
      <c r="B2" s="396" t="s">
        <v>1810</v>
      </c>
      <c r="C2" s="396"/>
      <c r="D2" s="396"/>
      <c r="E2" s="396"/>
      <c r="F2" s="396"/>
      <c r="G2" s="396"/>
      <c r="H2" s="396"/>
      <c r="I2" s="396"/>
      <c r="J2" s="396"/>
      <c r="K2" s="396"/>
    </row>
    <row r="3" spans="2:11" ht="28.05" customHeight="1" thickBot="1" x14ac:dyDescent="0.35">
      <c r="B3" s="301" t="s">
        <v>2084</v>
      </c>
      <c r="C3" s="4"/>
      <c r="D3" s="4"/>
      <c r="E3" s="4"/>
      <c r="F3" s="4"/>
      <c r="G3" s="4"/>
      <c r="H3" s="4"/>
      <c r="I3" s="4"/>
      <c r="J3" s="4"/>
      <c r="K3" s="4"/>
    </row>
    <row r="4" spans="2:11" x14ac:dyDescent="0.3">
      <c r="B4" s="1"/>
      <c r="C4" s="1"/>
      <c r="D4" s="1"/>
      <c r="E4" s="1"/>
      <c r="F4" s="1"/>
      <c r="G4" s="1"/>
      <c r="H4" s="1"/>
      <c r="I4" s="1"/>
      <c r="J4" s="1"/>
      <c r="K4" s="1"/>
    </row>
    <row r="5" spans="2:11" ht="18" customHeight="1" x14ac:dyDescent="0.3">
      <c r="B5" s="128" t="s">
        <v>6</v>
      </c>
      <c r="C5" s="129" t="s">
        <v>7</v>
      </c>
      <c r="D5" s="129" t="s">
        <v>8</v>
      </c>
      <c r="E5" s="129" t="s">
        <v>9</v>
      </c>
      <c r="F5" s="129" t="s">
        <v>35</v>
      </c>
      <c r="G5" s="129" t="s">
        <v>36</v>
      </c>
      <c r="H5" s="129" t="s">
        <v>46</v>
      </c>
      <c r="I5" s="129" t="s">
        <v>47</v>
      </c>
      <c r="J5" s="129" t="s">
        <v>51</v>
      </c>
      <c r="K5" s="129" t="s">
        <v>12</v>
      </c>
    </row>
    <row r="6" spans="2:11" x14ac:dyDescent="0.3">
      <c r="B6" s="99" t="s">
        <v>52</v>
      </c>
      <c r="C6" s="100">
        <v>85717</v>
      </c>
      <c r="D6" s="100">
        <v>119815</v>
      </c>
      <c r="E6" s="100">
        <v>158826</v>
      </c>
      <c r="F6" s="100">
        <v>41789</v>
      </c>
      <c r="G6" s="100">
        <v>77412</v>
      </c>
      <c r="H6" s="100">
        <v>33933</v>
      </c>
      <c r="I6" s="100">
        <v>138753</v>
      </c>
      <c r="J6" s="140">
        <f>G6+I6</f>
        <v>216165</v>
      </c>
      <c r="K6" s="179" t="s">
        <v>53</v>
      </c>
    </row>
    <row r="7" spans="2:11" x14ac:dyDescent="0.3">
      <c r="B7" s="116" t="s">
        <v>54</v>
      </c>
      <c r="C7" s="171">
        <v>392</v>
      </c>
      <c r="D7" s="171">
        <v>3714</v>
      </c>
      <c r="E7" s="171">
        <v>24080</v>
      </c>
      <c r="F7" s="171">
        <v>9758</v>
      </c>
      <c r="G7" s="171">
        <v>36915</v>
      </c>
      <c r="H7" s="171">
        <v>1286</v>
      </c>
      <c r="I7" s="171">
        <v>99031</v>
      </c>
      <c r="J7" s="144">
        <f>G7+I7</f>
        <v>135946</v>
      </c>
      <c r="K7" s="180" t="s">
        <v>53</v>
      </c>
    </row>
    <row r="8" spans="2:11" x14ac:dyDescent="0.3">
      <c r="B8" s="108" t="s">
        <v>55</v>
      </c>
      <c r="C8" s="109">
        <f t="shared" ref="C8:J8" si="0">C6-C7</f>
        <v>85325</v>
      </c>
      <c r="D8" s="109">
        <f t="shared" si="0"/>
        <v>116101</v>
      </c>
      <c r="E8" s="109">
        <f t="shared" si="0"/>
        <v>134746</v>
      </c>
      <c r="F8" s="109">
        <f t="shared" si="0"/>
        <v>32031</v>
      </c>
      <c r="G8" s="109">
        <f t="shared" si="0"/>
        <v>40497</v>
      </c>
      <c r="H8" s="109">
        <f t="shared" si="0"/>
        <v>32647</v>
      </c>
      <c r="I8" s="109">
        <f t="shared" si="0"/>
        <v>39722</v>
      </c>
      <c r="J8" s="109">
        <f t="shared" si="0"/>
        <v>80219</v>
      </c>
      <c r="K8" s="181" t="s">
        <v>56</v>
      </c>
    </row>
    <row r="9" spans="2:11" x14ac:dyDescent="0.3">
      <c r="B9" s="172" t="s">
        <v>2083</v>
      </c>
      <c r="C9" s="524">
        <f t="shared" ref="C9:J9" si="1">C36</f>
        <v>13.875980076179314</v>
      </c>
      <c r="D9" s="524">
        <f t="shared" si="1"/>
        <v>16.293623655265673</v>
      </c>
      <c r="E9" s="524">
        <f t="shared" si="1"/>
        <v>16.029566740385615</v>
      </c>
      <c r="F9" s="524">
        <f t="shared" si="1"/>
        <v>16.233711092379259</v>
      </c>
      <c r="G9" s="524">
        <f t="shared" si="1"/>
        <v>17.487344741585797</v>
      </c>
      <c r="H9" s="524">
        <f t="shared" si="1"/>
        <v>16.745612154256133</v>
      </c>
      <c r="I9" s="524">
        <f t="shared" si="1"/>
        <v>14.509566487085246</v>
      </c>
      <c r="J9" s="524">
        <f t="shared" si="1"/>
        <v>16.01283985090814</v>
      </c>
      <c r="K9" s="182" t="s">
        <v>56</v>
      </c>
    </row>
    <row r="10" spans="2:11" x14ac:dyDescent="0.3">
      <c r="B10" s="108" t="s">
        <v>57</v>
      </c>
      <c r="C10" s="525">
        <f t="shared" ref="C10:J10" si="2">C8-C35</f>
        <v>73485.320000000007</v>
      </c>
      <c r="D10" s="525">
        <f t="shared" si="2"/>
        <v>97183.94</v>
      </c>
      <c r="E10" s="525">
        <f t="shared" si="2"/>
        <v>113146.8</v>
      </c>
      <c r="F10" s="525">
        <f t="shared" si="2"/>
        <v>26831.18</v>
      </c>
      <c r="G10" s="525">
        <f t="shared" si="2"/>
        <v>33415.15</v>
      </c>
      <c r="H10" s="525">
        <f t="shared" si="2"/>
        <v>27180.06</v>
      </c>
      <c r="I10" s="525">
        <f t="shared" si="2"/>
        <v>33958.509999999995</v>
      </c>
      <c r="J10" s="525">
        <f t="shared" si="2"/>
        <v>67373.66</v>
      </c>
      <c r="K10" s="181" t="s">
        <v>56</v>
      </c>
    </row>
    <row r="11" spans="2:11" x14ac:dyDescent="0.3">
      <c r="B11" s="172" t="s">
        <v>44</v>
      </c>
      <c r="C11" s="173">
        <v>12722</v>
      </c>
      <c r="D11" s="173">
        <v>12447</v>
      </c>
      <c r="E11" s="173">
        <v>12230</v>
      </c>
      <c r="F11" s="173">
        <v>12291</v>
      </c>
      <c r="G11" s="173">
        <v>12238</v>
      </c>
      <c r="H11" s="173">
        <v>12198</v>
      </c>
      <c r="I11" s="505">
        <f>'02 Quarterly'!D39</f>
        <v>12309</v>
      </c>
      <c r="J11" s="505">
        <f>'05 Capital Structure'!C16</f>
        <v>12274</v>
      </c>
      <c r="K11" s="183" t="s">
        <v>53</v>
      </c>
    </row>
    <row r="12" spans="2:11" x14ac:dyDescent="0.3">
      <c r="B12" s="108" t="s">
        <v>58</v>
      </c>
      <c r="C12" s="174">
        <f t="shared" ref="C12:J12" si="3">C10/C11</f>
        <v>5.7762395849709174</v>
      </c>
      <c r="D12" s="174">
        <f t="shared" si="3"/>
        <v>7.8078203583192742</v>
      </c>
      <c r="E12" s="174">
        <f t="shared" si="3"/>
        <v>9.2515780866721187</v>
      </c>
      <c r="F12" s="174">
        <f t="shared" si="3"/>
        <v>2.1829940606948175</v>
      </c>
      <c r="G12" s="174">
        <f t="shared" si="3"/>
        <v>2.7304420656970096</v>
      </c>
      <c r="H12" s="174">
        <f>H10/H11</f>
        <v>2.2282390555828826</v>
      </c>
      <c r="I12" s="174">
        <f t="shared" si="3"/>
        <v>2.7588358111950599</v>
      </c>
      <c r="J12" s="174">
        <f t="shared" si="3"/>
        <v>5.4891363858562823</v>
      </c>
      <c r="K12" s="184" t="s">
        <v>56</v>
      </c>
    </row>
    <row r="13" spans="2:11" x14ac:dyDescent="0.3">
      <c r="B13" s="110" t="s">
        <v>59</v>
      </c>
      <c r="C13" s="118">
        <v>5.8</v>
      </c>
      <c r="D13" s="118">
        <v>8.0399999999999991</v>
      </c>
      <c r="E13" s="118">
        <v>10.81</v>
      </c>
      <c r="F13" s="118">
        <v>2.81</v>
      </c>
      <c r="G13" s="118">
        <v>5.1100000000000003</v>
      </c>
      <c r="H13" s="118">
        <v>2.31</v>
      </c>
      <c r="I13" s="118">
        <v>9.11</v>
      </c>
      <c r="J13" s="175">
        <v>14.24</v>
      </c>
      <c r="K13" s="185" t="s">
        <v>53</v>
      </c>
    </row>
    <row r="14" spans="2:11" x14ac:dyDescent="0.3">
      <c r="B14" s="1"/>
      <c r="C14" s="1"/>
      <c r="D14" s="1"/>
      <c r="E14" s="1"/>
      <c r="F14" s="1"/>
      <c r="G14" s="1"/>
      <c r="H14" s="1"/>
      <c r="I14" s="1"/>
      <c r="J14" s="1"/>
      <c r="K14" s="1"/>
    </row>
    <row r="15" spans="2:11" x14ac:dyDescent="0.3">
      <c r="B15" s="170" t="s">
        <v>60</v>
      </c>
      <c r="C15" s="170"/>
      <c r="D15" s="170"/>
      <c r="E15" s="170"/>
      <c r="F15" s="170"/>
      <c r="G15" s="170"/>
      <c r="H15" s="170"/>
      <c r="I15" s="170"/>
      <c r="J15" s="170"/>
      <c r="K15" s="170"/>
    </row>
    <row r="16" spans="2:11" ht="28.05" customHeight="1" x14ac:dyDescent="0.3">
      <c r="B16" s="91" t="s">
        <v>61</v>
      </c>
      <c r="C16" s="92" t="s">
        <v>62</v>
      </c>
      <c r="D16" s="92" t="s">
        <v>63</v>
      </c>
      <c r="E16" s="92" t="s">
        <v>12</v>
      </c>
      <c r="F16" s="153"/>
      <c r="G16" s="153"/>
      <c r="H16" s="153"/>
      <c r="I16" s="153"/>
      <c r="J16" s="153"/>
      <c r="K16" s="153"/>
    </row>
    <row r="17" spans="2:11" x14ac:dyDescent="0.3">
      <c r="B17" s="99" t="s">
        <v>64</v>
      </c>
      <c r="C17" s="176">
        <f>'01 Income Statement'!G19</f>
        <v>19.93</v>
      </c>
      <c r="D17" s="177">
        <f>E12-F12-H12+J12</f>
        <v>10.329481356250701</v>
      </c>
      <c r="E17" s="120" t="s">
        <v>65</v>
      </c>
      <c r="F17" s="155"/>
      <c r="G17" s="155"/>
      <c r="H17" s="155"/>
      <c r="I17" s="155"/>
      <c r="J17" s="155"/>
      <c r="K17" s="155"/>
    </row>
    <row r="18" spans="2:11" x14ac:dyDescent="0.3">
      <c r="B18" s="96" t="s">
        <v>66</v>
      </c>
      <c r="C18" s="137">
        <f>'07 Consensus'!C6</f>
        <v>20.6</v>
      </c>
      <c r="D18" s="137">
        <f>'17 Model'!L48</f>
        <v>11.818616286237164</v>
      </c>
      <c r="E18" s="121" t="s">
        <v>1538</v>
      </c>
      <c r="F18" s="157"/>
      <c r="G18" s="157"/>
      <c r="H18" s="157"/>
      <c r="I18" s="157"/>
      <c r="J18" s="157"/>
      <c r="K18" s="157"/>
    </row>
    <row r="19" spans="2:11" x14ac:dyDescent="0.3">
      <c r="B19" s="99" t="str">
        <f>"P/E at $"&amp;TEXT('11 Valuation'!$C$6,"0.00")</f>
        <v>P/E at $340.59</v>
      </c>
      <c r="C19" s="176">
        <f>'11 Valuation'!C6/C17</f>
        <v>17.089312594079278</v>
      </c>
      <c r="D19" s="176">
        <f>'11 Valuation'!C6/D17</f>
        <v>32.972613847054191</v>
      </c>
      <c r="E19" s="120" t="s">
        <v>67</v>
      </c>
      <c r="F19" s="155"/>
      <c r="G19" s="155"/>
      <c r="H19" s="155"/>
      <c r="I19" s="155"/>
      <c r="J19" s="155"/>
      <c r="K19" s="155"/>
    </row>
    <row r="20" spans="2:11" x14ac:dyDescent="0.3">
      <c r="B20" s="96" t="str">
        <f>"Forward P/E at $"&amp;TEXT('11 Valuation'!$C$6,"0.00")</f>
        <v>Forward P/E at $340.59</v>
      </c>
      <c r="C20" s="137">
        <f>'11 Valuation'!C6/C18</f>
        <v>16.533495145631065</v>
      </c>
      <c r="D20" s="137">
        <f>'11 Valuation'!C6/D18</f>
        <v>28.818094415724342</v>
      </c>
      <c r="E20" s="121" t="s">
        <v>67</v>
      </c>
      <c r="F20" s="157"/>
      <c r="G20" s="157"/>
      <c r="H20" s="157"/>
      <c r="I20" s="157"/>
      <c r="J20" s="157"/>
      <c r="K20" s="157"/>
    </row>
    <row r="21" spans="2:11" x14ac:dyDescent="0.3">
      <c r="B21" s="1"/>
      <c r="C21" s="1"/>
      <c r="D21" s="1"/>
      <c r="E21" s="1"/>
      <c r="F21" s="1"/>
      <c r="G21" s="1"/>
      <c r="H21" s="1"/>
      <c r="I21" s="1"/>
      <c r="J21" s="1"/>
      <c r="K21" s="1"/>
    </row>
    <row r="22" spans="2:11" x14ac:dyDescent="0.3">
      <c r="B22" s="130" t="s">
        <v>30</v>
      </c>
      <c r="C22" s="131"/>
      <c r="D22" s="131"/>
      <c r="E22" s="131"/>
      <c r="F22" s="131"/>
      <c r="G22" s="131"/>
      <c r="H22" s="131"/>
      <c r="I22" s="131"/>
      <c r="J22" s="131"/>
      <c r="K22" s="131"/>
    </row>
    <row r="23" spans="2:11" ht="30" customHeight="1" x14ac:dyDescent="0.3">
      <c r="B23" s="659" t="s">
        <v>2085</v>
      </c>
      <c r="C23" s="660"/>
      <c r="D23" s="660"/>
      <c r="E23" s="660"/>
      <c r="F23" s="660"/>
      <c r="G23" s="660"/>
      <c r="H23" s="660"/>
      <c r="I23" s="660"/>
      <c r="J23" s="660"/>
      <c r="K23" s="660"/>
    </row>
    <row r="24" spans="2:11" ht="31.95" customHeight="1" x14ac:dyDescent="0.3">
      <c r="B24" s="659" t="str">
        <f>"•  Q2 2026 gain of "&amp;TEXT($I$7,"#,##0")&amp;" is the largest on record: "&amp;TEXT($I$7/$G$7,"0.0")&amp;"x"&amp;" the prior record set one quarter earlier "&amp;"("&amp;TEXT($G$7,"#,##0")&amp;")"&amp;", "&amp;TEXT($I$7/$E$7,"0.0")&amp;"x"&amp;" all of FY2025 "&amp;"("&amp;TEXT($E$7,"#,##0")&amp;")"&amp;", and "&amp;TEXT($I$7/$I$6,"0%")&amp;" of Q2"&amp;" pretax income."</f>
        <v>•  Q2 2026 gain of 99,031 is the largest on record: 2.7x the prior record set one quarter earlier (36,915), 4.1x all of FY2025 (24,080), and 71% of Q2 pretax income.</v>
      </c>
      <c r="C24" s="660"/>
      <c r="D24" s="660"/>
      <c r="E24" s="660"/>
      <c r="F24" s="660"/>
      <c r="G24" s="660"/>
      <c r="H24" s="660"/>
      <c r="I24" s="660"/>
      <c r="J24" s="660"/>
      <c r="K24" s="660"/>
    </row>
    <row r="25" spans="2:11" ht="28.05" customHeight="1" x14ac:dyDescent="0.3">
      <c r="B25" s="659" t="str">
        <f>"•  Reported Q2 2026 EPS grew "&amp;"+"&amp;TEXT(($I$13/$H$13-1)*100,"0")&amp;"% YoY"&amp;". CORE EPS grew "&amp;"+"&amp;TEXT(($I$12/$H$12-1)*100,"0.0")&amp;"% ($"&amp;TEXT($H$12,"0.00")&amp;" -&gt; $"&amp;TEXT($I$12,"0.00")&amp;")"&amp;". The headline is an artifact."</f>
        <v>•  Reported Q2 2026 EPS grew +294% YoY. CORE EPS grew +23.8% ($2.23 -&gt; $2.76). The headline is an artifact.</v>
      </c>
      <c r="C25" s="660"/>
      <c r="D25" s="660"/>
      <c r="E25" s="660"/>
      <c r="F25" s="660"/>
      <c r="G25" s="660"/>
      <c r="H25" s="660"/>
      <c r="I25" s="660"/>
      <c r="J25" s="660"/>
      <c r="K25" s="660"/>
    </row>
    <row r="26" spans="2:11" ht="28.05" customHeight="1" x14ac:dyDescent="0.3">
      <c r="B26" s="659" t="str">
        <f>"•  Core H1 2026 EPS of "&amp;TEXT(J12,"0.00")&amp;" is "&amp;TEXT(J12/J13,"0%")&amp;" of the reported "&amp;TEXT(J13,"0.00")&amp;"."</f>
        <v>•  Core H1 2026 EPS of 5.49 is 39% of the reported 14.24.</v>
      </c>
      <c r="C26" s="660"/>
      <c r="D26" s="660"/>
      <c r="E26" s="660"/>
      <c r="F26" s="660"/>
      <c r="G26" s="660"/>
      <c r="H26" s="660"/>
      <c r="I26" s="660"/>
      <c r="J26" s="660"/>
      <c r="K26" s="660"/>
    </row>
    <row r="27" spans="2:11" ht="31.95" customHeight="1" x14ac:dyDescent="0.3">
      <c r="B27" s="659" t="str">
        <f>"•  TTM (Jun'26) core EPS "&amp;TEXT(D17,"0.00")&amp;" vs reported "&amp;TEXT(C17,"0.00")&amp;". Built as FY2025 core "&amp;TEXT(E12,"0.00")&amp;" less H1'25 core "&amp;TEXT(F12+H12,"0.00")&amp;" plus H1'26 core "&amp;TEXT(J12,"0.00")&amp;". Gains are the filed figures (XBRL EquitySecuritiesFvNiGainLoss), corrected 2026-09-24."</f>
        <v>•  TTM (Jun'26) core EPS 10.33 vs reported 19.93. Built as FY2025 core 9.25 less H1'25 core 4.41 plus H1'26 core 5.49. Gains are the filed figures (XBRL EquitySecuritiesFvNiGainLoss), corrected 2026-09-24.</v>
      </c>
      <c r="C27" s="660"/>
      <c r="D27" s="660"/>
      <c r="E27" s="660"/>
      <c r="F27" s="660"/>
      <c r="G27" s="660"/>
      <c r="H27" s="660"/>
      <c r="I27" s="660"/>
      <c r="J27" s="660"/>
      <c r="K27" s="660"/>
    </row>
    <row r="28" spans="2:11" ht="31.95" customHeight="1" x14ac:dyDescent="0.3">
      <c r="B28" s="659" t="str">
        <f>"•  FY2026E core EPS is "&amp;TEXT('06 Core EPS Bridge'!$D$18,"0.00")&amp;" ("&amp;'16 Scenarios'!$F$6&amp;"), linked live to '17 Model' L48 since 2026-09-21. It replaced a hard-typed ~10.85 (H1 actual core 5.29 plus an assumed H2 path), which predated the model."</f>
        <v>•  FY2026E core EPS is 11.82 (BASE CASE), linked live to '17 Model' L48 since 2026-09-21. It replaced a hard-typed ~10.85 (H1 actual core 5.29 plus an assumed H2 path), which predated the model.</v>
      </c>
      <c r="C28" s="660"/>
      <c r="D28" s="660"/>
      <c r="E28" s="660"/>
      <c r="F28" s="660"/>
      <c r="G28" s="660"/>
      <c r="H28" s="660"/>
      <c r="I28" s="660"/>
      <c r="J28" s="660"/>
      <c r="K28" s="660"/>
    </row>
    <row r="29" spans="2:11" ht="28.05" customHeight="1" x14ac:dyDescent="0.3">
      <c r="B29" s="659" t="s">
        <v>2759</v>
      </c>
      <c r="C29" s="660"/>
      <c r="D29" s="660"/>
      <c r="E29" s="660"/>
      <c r="F29" s="660"/>
      <c r="G29" s="660"/>
      <c r="H29" s="660"/>
      <c r="I29" s="660"/>
      <c r="J29" s="660"/>
      <c r="K29" s="660"/>
    </row>
    <row r="31" spans="2:11" x14ac:dyDescent="0.3">
      <c r="B31" s="170" t="s">
        <v>2581</v>
      </c>
      <c r="C31" s="170"/>
      <c r="D31" s="170"/>
      <c r="E31" s="170"/>
      <c r="F31" s="170"/>
      <c r="G31" s="170"/>
      <c r="H31" s="170"/>
      <c r="I31" s="170"/>
      <c r="J31" s="170"/>
      <c r="K31" s="170"/>
    </row>
    <row r="32" spans="2:11" x14ac:dyDescent="0.3">
      <c r="B32" s="128" t="s">
        <v>6</v>
      </c>
      <c r="C32" s="129" t="str">
        <f t="shared" ref="C32:J32" si="4">C$5</f>
        <v>FY2023</v>
      </c>
      <c r="D32" s="129" t="str">
        <f t="shared" si="4"/>
        <v>FY2024</v>
      </c>
      <c r="E32" s="129" t="str">
        <f t="shared" si="4"/>
        <v>FY2025</v>
      </c>
      <c r="F32" s="129" t="str">
        <f t="shared" si="4"/>
        <v>Q1'25</v>
      </c>
      <c r="G32" s="129" t="str">
        <f t="shared" si="4"/>
        <v>Q1'26</v>
      </c>
      <c r="H32" s="129" t="str">
        <f t="shared" si="4"/>
        <v>Q2'25</v>
      </c>
      <c r="I32" s="129" t="str">
        <f t="shared" si="4"/>
        <v>Q2'26</v>
      </c>
      <c r="J32" s="129" t="str">
        <f t="shared" si="4"/>
        <v>H1'26</v>
      </c>
      <c r="K32" s="129" t="s">
        <v>12</v>
      </c>
    </row>
    <row r="33" spans="2:11" x14ac:dyDescent="0.3">
      <c r="B33" s="99" t="s">
        <v>2076</v>
      </c>
      <c r="C33" s="522">
        <f>'01 Income Statement'!C16</f>
        <v>11922</v>
      </c>
      <c r="D33" s="522">
        <f>'01 Income Statement'!D16</f>
        <v>19697</v>
      </c>
      <c r="E33" s="522">
        <f>'01 Income Statement'!E16</f>
        <v>26656</v>
      </c>
      <c r="F33" s="522">
        <f>'02 Quarterly'!C15</f>
        <v>7249</v>
      </c>
      <c r="G33" s="522">
        <f>'02 Quarterly'!D15</f>
        <v>14834</v>
      </c>
      <c r="H33" s="522">
        <f>'02 Quarterly'!C34</f>
        <v>5737</v>
      </c>
      <c r="I33" s="522">
        <f>'02 Quarterly'!D34</f>
        <v>26560</v>
      </c>
      <c r="J33" s="523">
        <f>G33+I33</f>
        <v>41394</v>
      </c>
      <c r="K33" s="179" t="s">
        <v>53</v>
      </c>
    </row>
    <row r="34" spans="2:11" x14ac:dyDescent="0.3">
      <c r="B34" s="99" t="s">
        <v>2077</v>
      </c>
      <c r="C34" s="522">
        <f>C7*'15 Assumptions'!$C$85</f>
        <v>82.32</v>
      </c>
      <c r="D34" s="522">
        <f>D7*'15 Assumptions'!$C$85</f>
        <v>779.93999999999994</v>
      </c>
      <c r="E34" s="522">
        <f>E7*'15 Assumptions'!$C$85</f>
        <v>5056.8</v>
      </c>
      <c r="F34" s="522">
        <f>F7*'15 Assumptions'!$C$85</f>
        <v>2049.1799999999998</v>
      </c>
      <c r="G34" s="522">
        <f>G7*'15 Assumptions'!$C$85</f>
        <v>7752.15</v>
      </c>
      <c r="H34" s="522">
        <f>H7*'15 Assumptions'!$C$85</f>
        <v>270.06</v>
      </c>
      <c r="I34" s="522">
        <f>I7*'15 Assumptions'!$C$85</f>
        <v>20796.509999999998</v>
      </c>
      <c r="J34" s="522">
        <f>J7*'15 Assumptions'!$C$85</f>
        <v>28548.66</v>
      </c>
      <c r="K34" s="179" t="s">
        <v>56</v>
      </c>
    </row>
    <row r="35" spans="2:11" x14ac:dyDescent="0.3">
      <c r="B35" s="99" t="s">
        <v>1030</v>
      </c>
      <c r="C35" s="523">
        <f t="shared" ref="C35:J35" si="5">C33-C34</f>
        <v>11839.68</v>
      </c>
      <c r="D35" s="523">
        <f t="shared" si="5"/>
        <v>18917.060000000001</v>
      </c>
      <c r="E35" s="523">
        <f t="shared" si="5"/>
        <v>21599.200000000001</v>
      </c>
      <c r="F35" s="523">
        <f t="shared" si="5"/>
        <v>5199.82</v>
      </c>
      <c r="G35" s="523">
        <f t="shared" si="5"/>
        <v>7081.85</v>
      </c>
      <c r="H35" s="523">
        <f t="shared" si="5"/>
        <v>5466.94</v>
      </c>
      <c r="I35" s="523">
        <f t="shared" si="5"/>
        <v>5763.4900000000016</v>
      </c>
      <c r="J35" s="523">
        <f t="shared" si="5"/>
        <v>12845.34</v>
      </c>
      <c r="K35" s="179" t="s">
        <v>56</v>
      </c>
    </row>
    <row r="36" spans="2:11" x14ac:dyDescent="0.3">
      <c r="B36" s="172" t="s">
        <v>2078</v>
      </c>
      <c r="C36" s="524">
        <f t="shared" ref="C36:J36" si="6">C35/C8*100</f>
        <v>13.875980076179314</v>
      </c>
      <c r="D36" s="524">
        <f t="shared" si="6"/>
        <v>16.293623655265673</v>
      </c>
      <c r="E36" s="524">
        <f t="shared" si="6"/>
        <v>16.029566740385615</v>
      </c>
      <c r="F36" s="524">
        <f t="shared" si="6"/>
        <v>16.233711092379259</v>
      </c>
      <c r="G36" s="524">
        <f t="shared" si="6"/>
        <v>17.487344741585797</v>
      </c>
      <c r="H36" s="524">
        <f t="shared" si="6"/>
        <v>16.745612154256133</v>
      </c>
      <c r="I36" s="524">
        <f t="shared" si="6"/>
        <v>14.509566487085246</v>
      </c>
      <c r="J36" s="524">
        <f t="shared" si="6"/>
        <v>16.01283985090814</v>
      </c>
      <c r="K36" s="182" t="s">
        <v>56</v>
      </c>
    </row>
    <row r="37" spans="2:11" x14ac:dyDescent="0.3">
      <c r="B37" s="172" t="s">
        <v>2079</v>
      </c>
      <c r="C37" s="524">
        <f t="shared" ref="C37:J37" si="7">C33/C6*100</f>
        <v>13.908559562280528</v>
      </c>
      <c r="D37" s="524">
        <f t="shared" si="7"/>
        <v>16.439510912657013</v>
      </c>
      <c r="E37" s="524">
        <f t="shared" si="7"/>
        <v>16.783146336242176</v>
      </c>
      <c r="F37" s="524">
        <f t="shared" si="7"/>
        <v>17.346670176362199</v>
      </c>
      <c r="G37" s="524">
        <f t="shared" si="7"/>
        <v>19.162403761690694</v>
      </c>
      <c r="H37" s="524">
        <f t="shared" si="7"/>
        <v>16.906845843279402</v>
      </c>
      <c r="I37" s="524">
        <f t="shared" si="7"/>
        <v>19.141928462808011</v>
      </c>
      <c r="J37" s="524">
        <f t="shared" si="7"/>
        <v>19.149260981194921</v>
      </c>
      <c r="K37" s="182" t="s">
        <v>2081</v>
      </c>
    </row>
    <row r="38" spans="2:11" x14ac:dyDescent="0.3">
      <c r="B38" s="99" t="s">
        <v>2080</v>
      </c>
      <c r="C38" s="523">
        <f t="shared" ref="C38:J38" si="8">C35+C34-C33</f>
        <v>0</v>
      </c>
      <c r="D38" s="523">
        <f t="shared" si="8"/>
        <v>0</v>
      </c>
      <c r="E38" s="523">
        <f t="shared" si="8"/>
        <v>0</v>
      </c>
      <c r="F38" s="523">
        <f t="shared" si="8"/>
        <v>0</v>
      </c>
      <c r="G38" s="523">
        <f t="shared" si="8"/>
        <v>0</v>
      </c>
      <c r="H38" s="523">
        <f t="shared" si="8"/>
        <v>0</v>
      </c>
      <c r="I38" s="523">
        <f t="shared" si="8"/>
        <v>0</v>
      </c>
      <c r="J38" s="523">
        <f t="shared" si="8"/>
        <v>0</v>
      </c>
      <c r="K38" s="179" t="s">
        <v>2082</v>
      </c>
    </row>
  </sheetData>
  <mergeCells count="7">
    <mergeCell ref="B24:K24"/>
    <mergeCell ref="B23:K23"/>
    <mergeCell ref="B28:K28"/>
    <mergeCell ref="B29:K29"/>
    <mergeCell ref="B27:K27"/>
    <mergeCell ref="B25:K25"/>
    <mergeCell ref="B26:K26"/>
  </mergeCells>
  <printOptions horizontalCentered="1"/>
  <pageMargins left="0.30000000000000004" right="0.30000000000000004" top="0.41666666666666669" bottom="0.41666666666666669" header="0.19444444444444445" footer="0.19444444444444445"/>
  <pageSetup scale="77"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7791F"/>
    <pageSetUpPr fitToPage="1"/>
  </sheetPr>
  <dimension ref="B1:E83"/>
  <sheetViews>
    <sheetView showGridLines="0" workbookViewId="0">
      <pane xSplit="2" ySplit="5" topLeftCell="C54" activePane="bottomRight" state="frozen"/>
      <selection pane="topRight" activeCell="C1" sqref="C1"/>
      <selection pane="bottomLeft" activeCell="A6" sqref="A6"/>
      <selection pane="bottomRight" activeCell="B83" sqref="B83:D83"/>
    </sheetView>
  </sheetViews>
  <sheetFormatPr defaultRowHeight="14.4" x14ac:dyDescent="0.3"/>
  <cols>
    <col min="1" max="1" width="3.33203125" customWidth="1"/>
    <col min="2" max="2" width="50" customWidth="1"/>
    <col min="3" max="3" width="19.44140625" customWidth="1"/>
    <col min="4" max="4" width="46.33203125" customWidth="1"/>
  </cols>
  <sheetData>
    <row r="1" spans="2:5" ht="6" customHeight="1" x14ac:dyDescent="0.3"/>
    <row r="2" spans="2:5" ht="28.05" customHeight="1" thickBot="1" x14ac:dyDescent="0.45">
      <c r="B2" s="396" t="s">
        <v>2061</v>
      </c>
      <c r="C2" s="396"/>
      <c r="D2" s="396"/>
      <c r="E2" s="396"/>
    </row>
    <row r="3" spans="2:5" ht="15" thickBot="1" x14ac:dyDescent="0.35">
      <c r="B3" s="80" t="s">
        <v>2679</v>
      </c>
      <c r="C3" s="4"/>
      <c r="D3" s="4"/>
      <c r="E3" s="4"/>
    </row>
    <row r="4" spans="2:5" x14ac:dyDescent="0.3">
      <c r="B4" s="1"/>
      <c r="C4" s="1"/>
      <c r="D4" s="1"/>
      <c r="E4" s="1"/>
    </row>
    <row r="5" spans="2:5" ht="18" customHeight="1" x14ac:dyDescent="0.3">
      <c r="B5" s="128" t="s">
        <v>61</v>
      </c>
      <c r="C5" s="129" t="s">
        <v>150</v>
      </c>
      <c r="D5" s="129" t="s">
        <v>12</v>
      </c>
      <c r="E5" s="16"/>
    </row>
    <row r="6" spans="2:5" x14ac:dyDescent="0.3">
      <c r="B6" s="99" t="s">
        <v>230</v>
      </c>
      <c r="C6" s="119">
        <v>20.6</v>
      </c>
      <c r="D6" s="120" t="s">
        <v>231</v>
      </c>
      <c r="E6" s="155"/>
    </row>
    <row r="7" spans="2:5" x14ac:dyDescent="0.3">
      <c r="B7" s="96" t="s">
        <v>232</v>
      </c>
      <c r="C7" s="97">
        <v>498080</v>
      </c>
      <c r="D7" s="121"/>
      <c r="E7" s="157"/>
    </row>
    <row r="8" spans="2:5" x14ac:dyDescent="0.3">
      <c r="B8" s="102" t="s">
        <v>233</v>
      </c>
      <c r="C8" s="112">
        <f>'07 Consensus'!C6*'05 Capital Structure'!C16</f>
        <v>252844.40000000002</v>
      </c>
      <c r="D8" s="122" t="str">
        <f>"DERIVED = consensus EPS x H1'26 wtd-avg DILUTED shares ("&amp;TEXT('05 Capital Structure'!$C$16,"#,##0")&amp;")"</f>
        <v>DERIVED = consensus EPS x H1'26 wtd-avg DILUTED shares (12,274)</v>
      </c>
      <c r="E8" s="159"/>
    </row>
    <row r="9" spans="2:5" x14ac:dyDescent="0.3">
      <c r="B9" s="108" t="s">
        <v>234</v>
      </c>
      <c r="C9" s="245">
        <f>C8/C7*100</f>
        <v>50.763813042081594</v>
      </c>
      <c r="D9" s="124"/>
      <c r="E9" s="161"/>
    </row>
    <row r="10" spans="2:5" x14ac:dyDescent="0.3">
      <c r="B10" s="1"/>
      <c r="C10" s="1"/>
      <c r="D10" s="1"/>
      <c r="E10" s="1"/>
    </row>
    <row r="11" spans="2:5" x14ac:dyDescent="0.3">
      <c r="B11" s="99" t="s">
        <v>235</v>
      </c>
      <c r="C11" s="246">
        <f>'02 Quarterly'!D29</f>
        <v>34.032855854953418</v>
      </c>
      <c r="D11" s="120" t="s">
        <v>236</v>
      </c>
      <c r="E11" s="155"/>
    </row>
    <row r="12" spans="2:5" x14ac:dyDescent="0.3">
      <c r="B12" s="96" t="s">
        <v>237</v>
      </c>
      <c r="C12" s="247">
        <f>'01 Income Statement'!E18/'01 Income Statement'!E6*100</f>
        <v>32.809877965226541</v>
      </c>
      <c r="D12" s="121" t="str">
        <f>"actual, already includes "&amp;TEXT('06 Core EPS Bridge'!$E$7,"#,##0")&amp;" of gains"</f>
        <v>actual, already includes 24,080 of gains</v>
      </c>
      <c r="E12" s="157"/>
    </row>
    <row r="13" spans="2:5" x14ac:dyDescent="0.3">
      <c r="B13" s="99" t="s">
        <v>238</v>
      </c>
      <c r="C13" s="246">
        <f>'06 Core EPS Bridge'!E10/'01 Income Statement'!E6*100</f>
        <v>28.087559205234886</v>
      </c>
      <c r="D13" s="120"/>
      <c r="E13" s="155"/>
    </row>
    <row r="14" spans="2:5" x14ac:dyDescent="0.3">
      <c r="B14" s="1"/>
      <c r="C14" s="1"/>
      <c r="D14" s="1"/>
      <c r="E14" s="1"/>
    </row>
    <row r="15" spans="2:5" x14ac:dyDescent="0.3">
      <c r="B15" s="99" t="s">
        <v>239</v>
      </c>
      <c r="C15" s="177">
        <v>430.4</v>
      </c>
      <c r="D15" s="120" t="str">
        <f>"+"&amp;TEXT(C15/'11 Valuation'!$C$6-1,"0.0%")&amp;" vs "&amp;TEXT('11 Valuation'!$C$6,"$0.00")</f>
        <v>+26.4% vs $340.59</v>
      </c>
      <c r="E15" s="155"/>
    </row>
    <row r="16" spans="2:5" x14ac:dyDescent="0.3">
      <c r="B16" s="96" t="s">
        <v>240</v>
      </c>
      <c r="C16" s="178">
        <v>430</v>
      </c>
      <c r="D16" s="121"/>
      <c r="E16" s="157"/>
    </row>
    <row r="17" spans="2:5" x14ac:dyDescent="0.3">
      <c r="B17" s="99" t="s">
        <v>241</v>
      </c>
      <c r="C17" s="119">
        <v>515</v>
      </c>
      <c r="D17" s="120"/>
      <c r="E17" s="155"/>
    </row>
    <row r="18" spans="2:5" x14ac:dyDescent="0.3">
      <c r="B18" s="96" t="s">
        <v>242</v>
      </c>
      <c r="C18" s="178">
        <v>340</v>
      </c>
      <c r="D18" s="121"/>
      <c r="E18" s="157"/>
    </row>
    <row r="19" spans="2:5" x14ac:dyDescent="0.3">
      <c r="B19" s="1"/>
      <c r="C19" s="1"/>
      <c r="D19" s="1"/>
      <c r="E19" s="1"/>
    </row>
    <row r="20" spans="2:5" x14ac:dyDescent="0.3">
      <c r="B20" s="99" t="s">
        <v>243</v>
      </c>
      <c r="C20" s="100">
        <v>44</v>
      </c>
      <c r="D20" s="120"/>
      <c r="E20" s="155"/>
    </row>
    <row r="21" spans="2:5" x14ac:dyDescent="0.3">
      <c r="B21" s="96" t="s">
        <v>244</v>
      </c>
      <c r="C21" s="97">
        <v>13</v>
      </c>
      <c r="D21" s="121"/>
      <c r="E21" s="157"/>
    </row>
    <row r="22" spans="2:5" x14ac:dyDescent="0.3">
      <c r="B22" s="99" t="s">
        <v>245</v>
      </c>
      <c r="C22" s="100">
        <v>5</v>
      </c>
      <c r="D22" s="120"/>
      <c r="E22" s="155"/>
    </row>
    <row r="23" spans="2:5" x14ac:dyDescent="0.3">
      <c r="B23" s="96" t="s">
        <v>246</v>
      </c>
      <c r="C23" s="97">
        <v>0</v>
      </c>
      <c r="D23" s="121"/>
      <c r="E23" s="157"/>
    </row>
    <row r="24" spans="2:5" x14ac:dyDescent="0.3">
      <c r="B24" s="99" t="s">
        <v>247</v>
      </c>
      <c r="C24" s="100">
        <v>0</v>
      </c>
      <c r="D24" s="120"/>
      <c r="E24" s="155"/>
    </row>
    <row r="25" spans="2:5" x14ac:dyDescent="0.3">
      <c r="B25" s="1"/>
      <c r="C25" s="1"/>
      <c r="D25" s="1"/>
      <c r="E25" s="1"/>
    </row>
    <row r="26" spans="2:5" x14ac:dyDescent="0.3">
      <c r="B26" s="99" t="s">
        <v>248</v>
      </c>
      <c r="C26" s="119">
        <v>19.7</v>
      </c>
      <c r="D26" s="120" t="s">
        <v>249</v>
      </c>
      <c r="E26" s="155"/>
    </row>
    <row r="27" spans="2:5" x14ac:dyDescent="0.3">
      <c r="B27" s="96" t="s">
        <v>250</v>
      </c>
      <c r="C27" s="152">
        <f>C6</f>
        <v>20.6</v>
      </c>
      <c r="D27" s="121"/>
      <c r="E27" s="157"/>
    </row>
    <row r="28" spans="2:5" x14ac:dyDescent="0.3">
      <c r="B28" s="99" t="s">
        <v>251</v>
      </c>
      <c r="C28" s="119">
        <v>21.92</v>
      </c>
      <c r="D28" s="120"/>
      <c r="E28" s="155"/>
    </row>
    <row r="29" spans="2:5" x14ac:dyDescent="0.3">
      <c r="B29" s="96" t="s">
        <v>252</v>
      </c>
      <c r="C29" s="187">
        <f>(C28-C26)/C27*100</f>
        <v>10.776699029126224</v>
      </c>
      <c r="D29" s="121" t="s">
        <v>56</v>
      </c>
      <c r="E29" s="157"/>
    </row>
    <row r="30" spans="2:5" x14ac:dyDescent="0.3">
      <c r="B30" s="99" t="s">
        <v>253</v>
      </c>
      <c r="C30" s="100">
        <v>489800</v>
      </c>
      <c r="D30" s="120"/>
      <c r="E30" s="155"/>
    </row>
    <row r="31" spans="2:5" x14ac:dyDescent="0.3">
      <c r="B31" s="96" t="s">
        <v>254</v>
      </c>
      <c r="C31" s="97">
        <v>519800</v>
      </c>
      <c r="D31" s="121"/>
      <c r="E31" s="157"/>
    </row>
    <row r="32" spans="2:5" x14ac:dyDescent="0.3">
      <c r="B32" s="99" t="s">
        <v>255</v>
      </c>
      <c r="C32" s="186">
        <f>(C31-C30)/C7*100</f>
        <v>6.0231288146482491</v>
      </c>
      <c r="D32" s="120" t="s">
        <v>56</v>
      </c>
      <c r="E32" s="155"/>
    </row>
    <row r="33" spans="2:5" x14ac:dyDescent="0.3">
      <c r="B33" s="1"/>
      <c r="C33" s="1"/>
      <c r="D33" s="1"/>
      <c r="E33" s="1"/>
    </row>
    <row r="34" spans="2:5" x14ac:dyDescent="0.3">
      <c r="B34" s="99" t="s">
        <v>1520</v>
      </c>
      <c r="C34" s="356">
        <v>15.24</v>
      </c>
      <c r="D34" s="120" t="s">
        <v>2680</v>
      </c>
      <c r="E34" s="155"/>
    </row>
    <row r="35" spans="2:5" x14ac:dyDescent="0.3">
      <c r="B35" s="96" t="s">
        <v>1521</v>
      </c>
      <c r="C35" s="357">
        <v>618790</v>
      </c>
      <c r="D35" s="121" t="s">
        <v>2492</v>
      </c>
      <c r="E35" s="157"/>
    </row>
    <row r="36" spans="2:5" x14ac:dyDescent="0.3">
      <c r="B36" s="99" t="s">
        <v>1522</v>
      </c>
      <c r="C36" s="358">
        <v>171690</v>
      </c>
      <c r="D36" s="120" t="s">
        <v>2493</v>
      </c>
      <c r="E36" s="155"/>
    </row>
    <row r="37" spans="2:5" x14ac:dyDescent="0.3">
      <c r="B37" s="96" t="s">
        <v>1523</v>
      </c>
      <c r="C37" s="359">
        <v>34.39</v>
      </c>
      <c r="D37" s="121" t="s">
        <v>2494</v>
      </c>
      <c r="E37" s="157"/>
    </row>
    <row r="38" spans="2:5" x14ac:dyDescent="0.3">
      <c r="B38" s="96" t="s">
        <v>1524</v>
      </c>
      <c r="C38" s="357">
        <v>218330</v>
      </c>
      <c r="D38" s="121" t="s">
        <v>2495</v>
      </c>
      <c r="E38" s="157"/>
    </row>
    <row r="39" spans="2:5" x14ac:dyDescent="0.3">
      <c r="B39" s="96" t="s">
        <v>1525</v>
      </c>
      <c r="C39" s="359">
        <v>35.28</v>
      </c>
      <c r="D39" s="121" t="s">
        <v>2496</v>
      </c>
      <c r="E39" s="157"/>
    </row>
    <row r="40" spans="2:5" x14ac:dyDescent="0.3">
      <c r="B40" s="1"/>
      <c r="C40" s="1"/>
      <c r="D40" s="1"/>
      <c r="E40" s="1"/>
    </row>
    <row r="41" spans="2:5" x14ac:dyDescent="0.3">
      <c r="B41" s="130" t="s">
        <v>30</v>
      </c>
      <c r="C41" s="131"/>
      <c r="D41" s="131"/>
      <c r="E41" s="131"/>
    </row>
    <row r="42" spans="2:5" ht="42" customHeight="1" x14ac:dyDescent="0.3">
      <c r="B42" s="659" t="str">
        <f>"•  THE IMPLIED MARGIN, READ CORRECTLY: FY2026 consensus EPS of "&amp;TEXT($C$6,"0.00")&amp;" on consensus revenue of "&amp;TEXT($C$7,"#,##0")&amp;" implies a "&amp;TEXT($C$9,"0.0")&amp;"% NET margin against a "&amp;TEXT($C$11,"0.0")&amp;"% Q2 OPERATING margin. The gap is the H1'26 marks, which a GAAP-basis consensus has to include because they are booked: taking them out leaves about "&amp;TEXT($C$63,"0.00")&amp;" (row 63, derived here, not a published figure) against the model's core "&amp;TEXT('06 Core EPS Bridge'!$D$18,"0.00")&amp;", and FY2027 consensus of "&amp;TEXT($C$34,"0.00")&amp;" sits "&amp;TEXT(1-$C$34/$C$6,"0%")&amp;" below 20.60, consistent with marks that do not recur. Consensus is not mis-specified. The reported "&amp;TEXT('11 Valuation'!$C$13,"0.0")&amp;"x forward P/E on the September GAAP consensus makes the stock look cheaper than it is to anyone striking a multiple off GAAP EPS. The provider's own forward P/E ("&amp;TEXT($C$70,"0.0")&amp;"x, row 70) does not state its earnings basis, and by October 16 its FY2026 estimates mixed analysts who include the marks with analysts who leave them out (row 79). On the Q2 call nobody asked about the "&amp;TEXT('06 Core EPS Bridge'!$I$7,"#,##0")&amp;" gain."</f>
        <v>•  THE IMPLIED MARGIN, READ CORRECTLY: FY2026 consensus EPS of 20.60 on consensus revenue of 498,080 implies a 50.8% NET margin against a 34.0% Q2 OPERATING margin. The gap is the H1'26 marks, which a GAAP-basis consensus has to include because they are booked: taking them out leaves about 11.85 (row 63, derived here, not a published figure) against the model's core 11.82, and FY2027 consensus of 15.24 sits 26% below 20.60, consistent with marks that do not recur. Consensus is not mis-specified. The reported 16.5x forward P/E on the September GAAP consensus makes the stock look cheaper than it is to anyone striking a multiple off GAAP EPS. The provider's own forward P/E (25.6x, row 70) does not state its earnings basis, and by October 16 its FY2026 estimates mixed analysts who include the marks with analysts who leave them out (row 79). On the Q2 call nobody asked about the 99,031 gain.</v>
      </c>
      <c r="C42" s="660"/>
      <c r="D42" s="660"/>
      <c r="E42" s="660"/>
    </row>
    <row r="43" spans="2:5" ht="42" customHeight="1" x14ac:dyDescent="0.3">
      <c r="B43" s="659" t="str">
        <f>"•  Consensus FY2026 EPS moved from 14.22 before the Q2 print to 20.60 after it. The rise of 6.38 is close to the Q2 gain of "&amp;TEXT('06 Core EPS Bridge'!$I$7,"#,##0")&amp;" after tax ("&amp;TEXT('06 Core EPS Bridge'!$I$7*(1-'15 Assumptions'!$C$85)/'05 Capital Structure'!$C$16,"0.00")&amp;" a share), so the marks explain most of it."&amp;" This pack has no bridge of individual revisions, so changes to the operating outlook cannot be ruled out."</f>
        <v>•  Consensus FY2026 EPS moved from 14.22 before the Q2 print to 20.60 after it. The rise of 6.38 is close to the Q2 gain of 99,031 after tax (6.37 a share), so the marks explain most of it. This pack has no bridge of individual revisions, so changes to the operating outlook cannot be ruled out.</v>
      </c>
      <c r="C43" s="660"/>
      <c r="D43" s="660"/>
      <c r="E43" s="660"/>
    </row>
    <row r="44" spans="2:5" ht="37.950000000000003" customHeight="1" x14ac:dyDescent="0.3">
      <c r="B44" s="659" t="s">
        <v>2421</v>
      </c>
      <c r="C44" s="660"/>
      <c r="D44" s="660"/>
      <c r="E44" s="660"/>
    </row>
    <row r="45" spans="2:5" ht="54" customHeight="1" x14ac:dyDescent="0.3">
      <c r="B45" s="659" t="s">
        <v>2500</v>
      </c>
      <c r="C45" s="660"/>
      <c r="D45" s="660"/>
      <c r="E45" s="660"/>
    </row>
    <row r="46" spans="2:5" ht="49.95" customHeight="1" x14ac:dyDescent="0.3">
      <c r="B46" s="659" t="s">
        <v>2487</v>
      </c>
      <c r="C46" s="660"/>
      <c r="D46" s="660"/>
      <c r="E46" s="660"/>
    </row>
    <row r="47" spans="2:5" ht="49.95" customHeight="1" x14ac:dyDescent="0.3">
      <c r="B47" s="659" t="s">
        <v>2422</v>
      </c>
      <c r="C47" s="660"/>
      <c r="D47" s="660"/>
      <c r="E47" s="660"/>
    </row>
    <row r="48" spans="2:5" ht="40.049999999999997" customHeight="1" x14ac:dyDescent="0.3">
      <c r="B48" s="659" t="str">
        <f>"•  THE MOST BEARISH ANALYST OF 51 IS AT "&amp;TEXT($C$26,"0.00")&amp;", against a core FY2026E of "&amp;TEXT('06 Core EPS Bridge'!$D$18,"0.00")&amp;" (17 Model). The panel works off the GAAP line, which includes the H1 marks already booked; excluding them, consensus is about "&amp;TEXT($C$63,"0.00")&amp;" (row 63; see 29 Change Log entry 31)."</f>
        <v>•  THE MOST BEARISH ANALYST OF 51 IS AT 19.70, against a core FY2026E of 11.82 (17 Model). The panel works off the GAAP line, which includes the H1 marks already booked; excluding them, consensus is about 11.85 (row 63; see 29 Change Log entry 31).</v>
      </c>
      <c r="C48" s="660"/>
      <c r="D48" s="660"/>
      <c r="E48" s="660"/>
    </row>
    <row r="49" spans="2:5" ht="54" customHeight="1" x14ac:dyDescent="0.3">
      <c r="B49" s="659" t="str">
        <f>"•  THE SEPTEMBER CONSENSUS IS STRUCK ON REPORTED EPS: the +90.54% FY2026 growth rate implies a base of 20.60/1.9054 = 10.81, which is the reported FY2025 EPS."&amp;" That fits a GAAP basis; it does not show how each analyst treats the marks. Core growth over the same period is "&amp;TEXT('06 Core EPS Bridge'!$D$18,"0.00")&amp;"/"&amp;TEXT('06 Core EPS Bridge'!$E$12,"0.00")&amp;" = +"&amp;TEXT(('06 Core EPS Bridge'!$D$18/'06 Core EPS Bridge'!$E$12-1)*100,"0.0")&amp;"%. A +90.5% headline against that core growth is the gap the multiple misreads."</f>
        <v>•  THE SEPTEMBER CONSENSUS IS STRUCK ON REPORTED EPS: the +90.54% FY2026 growth rate implies a base of 20.60/1.9054 = 10.81, which is the reported FY2025 EPS. That fits a GAAP basis; it does not show how each analyst treats the marks. Core growth over the same period is 11.82/9.25 = +27.7%. A +90.5% headline against that core growth is the gap the multiple misreads.</v>
      </c>
      <c r="C49" s="660"/>
      <c r="D49" s="660"/>
      <c r="E49" s="660"/>
    </row>
    <row r="50" spans="2:5" ht="40.049999999999997" customHeight="1" x14ac:dyDescent="0.3">
      <c r="B50" s="659" t="s">
        <v>2423</v>
      </c>
      <c r="C50" s="660"/>
      <c r="D50" s="660"/>
      <c r="E50" s="660"/>
    </row>
    <row r="51" spans="2:5" ht="42" customHeight="1" x14ac:dyDescent="0.3">
      <c r="B51" s="659" t="s">
        <v>2424</v>
      </c>
      <c r="C51" s="659"/>
      <c r="D51" s="659"/>
      <c r="E51" s="659"/>
    </row>
    <row r="52" spans="2:5" ht="37.950000000000003" customHeight="1" x14ac:dyDescent="0.3">
      <c r="B52" s="659" t="s">
        <v>2582</v>
      </c>
      <c r="C52" s="660"/>
      <c r="D52" s="660"/>
      <c r="E52" s="660"/>
    </row>
    <row r="53" spans="2:5" ht="36" customHeight="1" x14ac:dyDescent="0.3">
      <c r="B53" s="659" t="s">
        <v>2681</v>
      </c>
      <c r="C53" s="660"/>
      <c r="D53" s="660"/>
      <c r="E53" s="660"/>
    </row>
    <row r="54" spans="2:5" ht="34.049999999999997" customHeight="1" x14ac:dyDescent="0.3">
      <c r="B54" s="317" t="str">
        <f>"•  SHARE-COUNT CONVENTION, corrected September 15 2026. Implied FY2026 net income (C8) previously multiplied the FULL-YEAR consensus EPS of 20.60 by the Q2'26-ONLY weighted-average diluted count of "&amp;TEXT('05 Capital Structure'!$C$14,"#,##0")&amp;". A full-year EPS figure must be paired with a full-year share count; mixing a period EPS with a different period's share count overstates the implied figure. It now uses the H1'26 weighted-average di"&amp;"luted count of "&amp;TEXT('05 Capital Structure'!$C$16,"#,##0")&amp;" ('05 Capital Structure'!C16), the longest weighted-average period available in this pack. NOTE the true basis would be the FY2026 weighted-average, which is not yet knowable - and with buybacks suspe"&amp;"nded "&amp;"and SBC issuance continuing (the ATM is authorised but was undrawn at Jun 30),"&amp;" the count DRIFTS UP through H2, so "&amp;TEXT('05 Capital Structure'!$C$16,"#,##0")&amp;" is a mild UNDERSTATEMENT: with EPS and revenue held, a higher full-year count makes implied net income and the implied net margin slightly HIGHER"&amp;" still. Corrected 2026-10-18; this note had said lower. The direction of the finding is unchanged: the implied net margin remains far above any achievable operating margin."</f>
        <v>•  SHARE-COUNT CONVENTION, corrected September 15 2026. Implied FY2026 net income (C8) previously multiplied the FULL-YEAR consensus EPS of 20.60 by the Q2'26-ONLY weighted-average diluted count of 12,309. A full-year EPS figure must be paired with a full-year share count; mixing a period EPS with a different period's share count overstates the implied figure. It now uses the H1'26 weighted-average diluted count of 12,274 ('05 Capital Structure'!C16), the longest weighted-average period available in this pack. NOTE the true basis would be the FY2026 weighted-average, which is not yet knowable - and with buybacks suspended and SBC issuance continuing (the ATM is authorised but was undrawn at Jun 30), the count DRIFTS UP through H2, so 12,274 is a mild UNDERSTATEMENT: with EPS and revenue held, a higher full-year count makes implied net income and the implied net margin slightly HIGHER still. Corrected 2026-10-18; this note had said lower. The direction of the finding is unchanged: the implied net margin remains far above any achievable operating margin.</v>
      </c>
      <c r="C54" s="317"/>
      <c r="D54" s="317"/>
      <c r="E54" s="317"/>
    </row>
    <row r="55" spans="2:5" x14ac:dyDescent="0.3">
      <c r="B55" s="364"/>
      <c r="C55" s="364"/>
      <c r="D55" s="364"/>
      <c r="E55" s="364"/>
    </row>
    <row r="56" spans="2:5" x14ac:dyDescent="0.3">
      <c r="B56" s="397" t="s">
        <v>1569</v>
      </c>
      <c r="C56" s="397"/>
      <c r="D56" s="397"/>
      <c r="E56" s="364"/>
    </row>
    <row r="57" spans="2:5" x14ac:dyDescent="0.3">
      <c r="B57" s="364" t="s">
        <v>1570</v>
      </c>
      <c r="C57" s="398">
        <v>18.03</v>
      </c>
      <c r="D57" s="364" t="s">
        <v>2497</v>
      </c>
      <c r="E57" s="364"/>
    </row>
    <row r="58" spans="2:5" x14ac:dyDescent="0.3">
      <c r="B58" s="364" t="s">
        <v>1571</v>
      </c>
      <c r="C58" s="399">
        <v>741819</v>
      </c>
      <c r="D58" s="364" t="s">
        <v>2498</v>
      </c>
      <c r="E58" s="364"/>
    </row>
    <row r="59" spans="2:5" x14ac:dyDescent="0.3">
      <c r="B59" s="364" t="s">
        <v>1572</v>
      </c>
      <c r="C59" s="399">
        <v>265388</v>
      </c>
      <c r="D59" s="364" t="s">
        <v>2498</v>
      </c>
      <c r="E59" s="364"/>
    </row>
    <row r="60" spans="2:5" x14ac:dyDescent="0.3">
      <c r="B60" s="364" t="s">
        <v>1573</v>
      </c>
      <c r="C60" s="400">
        <v>35.78</v>
      </c>
      <c r="D60" s="364" t="s">
        <v>2494</v>
      </c>
      <c r="E60" s="364"/>
    </row>
    <row r="61" spans="2:5" x14ac:dyDescent="0.3">
      <c r="B61" s="364" t="s">
        <v>1574</v>
      </c>
      <c r="C61" s="401">
        <v>6281</v>
      </c>
      <c r="D61" s="364" t="s">
        <v>2499</v>
      </c>
      <c r="E61" s="364"/>
    </row>
    <row r="63" spans="2:5" x14ac:dyDescent="0.3">
      <c r="B63" s="508" t="s">
        <v>2760</v>
      </c>
      <c r="C63" s="413">
        <f>C6-C64</f>
        <v>11.850013035685189</v>
      </c>
      <c r="D63" s="508" t="s">
        <v>2682</v>
      </c>
    </row>
    <row r="64" spans="2:5" x14ac:dyDescent="0.3">
      <c r="B64" s="508" t="s">
        <v>2060</v>
      </c>
      <c r="C64" s="528">
        <f>'06 Core EPS Bridge'!J7*(1-'15 Assumptions'!C85)/'05 Capital Structure'!C16</f>
        <v>8.7499869643148127</v>
      </c>
      <c r="D64" s="508" t="s">
        <v>2087</v>
      </c>
    </row>
    <row r="66" spans="2:4" x14ac:dyDescent="0.3">
      <c r="B66" s="397" t="s">
        <v>2474</v>
      </c>
      <c r="C66" s="397"/>
      <c r="D66" s="397"/>
    </row>
    <row r="67" spans="2:4" x14ac:dyDescent="0.3">
      <c r="B67" s="364" t="s">
        <v>2683</v>
      </c>
      <c r="C67" s="398">
        <v>11.82</v>
      </c>
      <c r="D67" s="364" t="s">
        <v>2684</v>
      </c>
    </row>
    <row r="68" spans="2:4" x14ac:dyDescent="0.3">
      <c r="B68" s="364" t="s">
        <v>2475</v>
      </c>
      <c r="C68" s="398">
        <v>499290</v>
      </c>
      <c r="D68" s="364" t="s">
        <v>2476</v>
      </c>
    </row>
    <row r="69" spans="2:4" x14ac:dyDescent="0.3">
      <c r="B69" s="364" t="s">
        <v>1521</v>
      </c>
      <c r="C69" s="398">
        <v>618790</v>
      </c>
      <c r="D69" s="364" t="s">
        <v>2501</v>
      </c>
    </row>
    <row r="70" spans="2:4" x14ac:dyDescent="0.3">
      <c r="B70" s="364" t="s">
        <v>2477</v>
      </c>
      <c r="C70" s="398">
        <v>25.56</v>
      </c>
      <c r="D70" s="364" t="s">
        <v>2736</v>
      </c>
    </row>
    <row r="71" spans="2:4" x14ac:dyDescent="0.3">
      <c r="B71" s="364" t="s">
        <v>2761</v>
      </c>
      <c r="C71" s="398">
        <f>C67/C63-1</f>
        <v>-2.532742841278468E-3</v>
      </c>
      <c r="D71" s="364" t="s">
        <v>2685</v>
      </c>
    </row>
    <row r="72" spans="2:4" x14ac:dyDescent="0.3">
      <c r="B72" s="364" t="s">
        <v>2686</v>
      </c>
      <c r="C72" s="398">
        <f>C67/'DCF Base Model'!L48-1</f>
        <v>1.1707916809577945E-4</v>
      </c>
      <c r="D72" s="364" t="s">
        <v>2687</v>
      </c>
    </row>
    <row r="73" spans="2:4" x14ac:dyDescent="0.3">
      <c r="B73" s="364" t="s">
        <v>2688</v>
      </c>
      <c r="C73" s="400">
        <f>AVERAGE(C67,C34)</f>
        <v>13.530000000000001</v>
      </c>
      <c r="D73" s="364" t="s">
        <v>2762</v>
      </c>
    </row>
    <row r="74" spans="2:4" x14ac:dyDescent="0.3">
      <c r="B74" s="364" t="s">
        <v>2689</v>
      </c>
      <c r="C74" s="400">
        <f>'11 Valuation'!C6/C73</f>
        <v>25.17294900221729</v>
      </c>
      <c r="D74" s="364" t="str">
        <f>"DERIVED. "&amp;TEXT(C74,"0.0")&amp;"x against the provider's "&amp;TEXT(C70,"0.0")&amp;"x (row 70). The provider does not state its earnings basis, so the two are not like-for-like (rows 79-83). On Oct 13 the two came within 0.1% of each other, which is why the basis was once read as the next four quarters."</f>
        <v>DERIVED. 25.2x against the provider's 25.6x (row 70). The provider does not state its earnings basis, so the two are not like-for-like (rows 79-83). On Oct 13 the two came within 0.1% of each other, which is why the basis was once read as the next four quarters.</v>
      </c>
    </row>
    <row r="75" spans="2:4" x14ac:dyDescent="0.3">
      <c r="B75" s="364" t="s">
        <v>2502</v>
      </c>
      <c r="C75" s="401">
        <v>-37003</v>
      </c>
      <c r="D75" s="364" t="s">
        <v>2503</v>
      </c>
    </row>
    <row r="76" spans="2:4" x14ac:dyDescent="0.3">
      <c r="B76" s="364" t="s">
        <v>2504</v>
      </c>
      <c r="C76" s="401">
        <v>302822</v>
      </c>
      <c r="D76" s="364" t="s">
        <v>2649</v>
      </c>
    </row>
    <row r="78" spans="2:4" ht="41.4" x14ac:dyDescent="0.3">
      <c r="B78" s="644" t="s">
        <v>2690</v>
      </c>
      <c r="C78" s="644"/>
      <c r="D78" s="644"/>
    </row>
    <row r="79" spans="2:4" ht="82.8" x14ac:dyDescent="0.3">
      <c r="B79" s="627" t="s">
        <v>2691</v>
      </c>
      <c r="C79" s="645">
        <v>13.14</v>
      </c>
      <c r="D79" s="627" t="s">
        <v>2692</v>
      </c>
    </row>
    <row r="80" spans="2:4" ht="41.4" x14ac:dyDescent="0.3">
      <c r="B80" s="627" t="s">
        <v>2693</v>
      </c>
      <c r="C80" s="645">
        <v>15.25</v>
      </c>
      <c r="D80" s="627" t="s">
        <v>2694</v>
      </c>
    </row>
    <row r="81" spans="2:4" ht="41.4" x14ac:dyDescent="0.3">
      <c r="B81" s="627" t="s">
        <v>2695</v>
      </c>
      <c r="C81" s="645">
        <v>25.56</v>
      </c>
      <c r="D81" s="627" t="s">
        <v>2737</v>
      </c>
    </row>
    <row r="82" spans="2:4" ht="27.6" x14ac:dyDescent="0.3">
      <c r="B82" s="627" t="s">
        <v>2696</v>
      </c>
      <c r="C82" s="645">
        <v>340.59</v>
      </c>
      <c r="D82" s="627" t="s">
        <v>2738</v>
      </c>
    </row>
    <row r="83" spans="2:4" ht="69" x14ac:dyDescent="0.3">
      <c r="B83" s="627" t="s">
        <v>2697</v>
      </c>
      <c r="C83" s="645">
        <f>C82/C81</f>
        <v>13.325117370892018</v>
      </c>
      <c r="D83" s="627" t="str">
        <f>"DERIVED. Against the FY2026 mean of "&amp;TEXT(C79,"0.00")&amp;" ("&amp;TEXT(C82/C79,"0.0")&amp;"x) and the FY2026-FY2027 average of "&amp;TEXT(AVERAGE(C79,C80),"0.00")&amp;" ("&amp;TEXT(C82/AVERAGE(C79,C80),"0.0")&amp;"x) it matches neither, so the provider's forward-earnings basis cannot be inferred from these figures."</f>
        <v>DERIVED. Against the FY2026 mean of 13.14 (25.9x) and the FY2026-FY2027 average of 14.20 (24.0x) it matches neither, so the provider's forward-earnings basis cannot be inferred from these figures.</v>
      </c>
    </row>
  </sheetData>
  <mergeCells count="12">
    <mergeCell ref="B44:E44"/>
    <mergeCell ref="B52:E52"/>
    <mergeCell ref="B42:E42"/>
    <mergeCell ref="B43:E43"/>
    <mergeCell ref="B47:E47"/>
    <mergeCell ref="B45:E45"/>
    <mergeCell ref="B53:E53"/>
    <mergeCell ref="B51:E51"/>
    <mergeCell ref="B46:E46"/>
    <mergeCell ref="B50:E50"/>
    <mergeCell ref="B48:E48"/>
    <mergeCell ref="B49:E49"/>
  </mergeCells>
  <printOptions horizontalCentered="1"/>
  <pageMargins left="0.30000000000000004" right="0.30000000000000004" top="0.41666666666666669" bottom="0.41666666666666669" header="0.19444444444444445" footer="0.19444444444444445"/>
  <pageSetup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5621"/>
    <pageSetUpPr fitToPage="1"/>
  </sheetPr>
  <dimension ref="B1:F43"/>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4.4" x14ac:dyDescent="0.3"/>
  <cols>
    <col min="1" max="1" width="3.33203125" customWidth="1"/>
    <col min="2" max="2" width="44" customWidth="1"/>
    <col min="3" max="4" width="20" customWidth="1"/>
    <col min="5" max="6" width="16" customWidth="1"/>
  </cols>
  <sheetData>
    <row r="1" spans="2:6" ht="6" customHeight="1" x14ac:dyDescent="0.3"/>
    <row r="2" spans="2:6" ht="28.05" customHeight="1" thickBot="1" x14ac:dyDescent="0.45">
      <c r="B2" s="396" t="s">
        <v>1811</v>
      </c>
      <c r="C2" s="396"/>
      <c r="D2" s="396"/>
      <c r="E2" s="396"/>
      <c r="F2" s="396"/>
    </row>
    <row r="3" spans="2:6" ht="15" thickBot="1" x14ac:dyDescent="0.35">
      <c r="B3" s="80" t="s">
        <v>125</v>
      </c>
      <c r="C3" s="4"/>
      <c r="D3" s="4"/>
      <c r="E3" s="4"/>
      <c r="F3" s="4"/>
    </row>
    <row r="4" spans="2:6" x14ac:dyDescent="0.3">
      <c r="B4" s="1"/>
      <c r="C4" s="1"/>
      <c r="D4" s="1"/>
      <c r="E4" s="1"/>
      <c r="F4" s="1"/>
    </row>
    <row r="5" spans="2:6" ht="18" customHeight="1" x14ac:dyDescent="0.3">
      <c r="B5" s="128" t="s">
        <v>126</v>
      </c>
      <c r="C5" s="129" t="s">
        <v>127</v>
      </c>
      <c r="D5" s="129" t="s">
        <v>128</v>
      </c>
      <c r="E5" s="129" t="s">
        <v>129</v>
      </c>
      <c r="F5" s="129" t="s">
        <v>130</v>
      </c>
    </row>
    <row r="6" spans="2:6" x14ac:dyDescent="0.3">
      <c r="B6" s="99" t="s">
        <v>131</v>
      </c>
      <c r="C6" s="100">
        <v>141852</v>
      </c>
      <c r="D6" s="100">
        <v>203679</v>
      </c>
      <c r="E6" s="100">
        <v>247177</v>
      </c>
      <c r="F6" s="140">
        <f t="shared" ref="F6:F12" si="0">E6-D6</f>
        <v>43498</v>
      </c>
    </row>
    <row r="7" spans="2:6" x14ac:dyDescent="0.3">
      <c r="B7" s="96" t="s">
        <v>132</v>
      </c>
      <c r="C7" s="97">
        <v>45403</v>
      </c>
      <c r="D7" s="97">
        <v>48348</v>
      </c>
      <c r="E7" s="97">
        <v>50635</v>
      </c>
      <c r="F7" s="139">
        <f t="shared" si="0"/>
        <v>2287</v>
      </c>
    </row>
    <row r="8" spans="2:6" x14ac:dyDescent="0.3">
      <c r="B8" s="99" t="s">
        <v>133</v>
      </c>
      <c r="C8" s="100">
        <v>12574</v>
      </c>
      <c r="D8" s="100">
        <v>14463</v>
      </c>
      <c r="E8" s="100">
        <v>6498</v>
      </c>
      <c r="F8" s="140">
        <f t="shared" si="0"/>
        <v>-7965</v>
      </c>
    </row>
    <row r="9" spans="2:6" x14ac:dyDescent="0.3">
      <c r="B9" s="225" t="s">
        <v>134</v>
      </c>
      <c r="C9" s="226">
        <v>50597</v>
      </c>
      <c r="D9" s="226">
        <v>78592</v>
      </c>
      <c r="E9" s="226">
        <v>122814</v>
      </c>
      <c r="F9" s="227">
        <f t="shared" si="0"/>
        <v>44222</v>
      </c>
    </row>
    <row r="10" spans="2:6" x14ac:dyDescent="0.3">
      <c r="B10" s="108" t="s">
        <v>135</v>
      </c>
      <c r="C10" s="109">
        <f>C6+C7+C8+C9</f>
        <v>250426</v>
      </c>
      <c r="D10" s="109">
        <f>D6+D7+D8+D9</f>
        <v>345082</v>
      </c>
      <c r="E10" s="109">
        <f>E6+E7+E8+E9</f>
        <v>427124</v>
      </c>
      <c r="F10" s="109">
        <f t="shared" si="0"/>
        <v>82042</v>
      </c>
    </row>
    <row r="11" spans="2:6" x14ac:dyDescent="0.3">
      <c r="B11" s="172" t="s">
        <v>136</v>
      </c>
      <c r="C11" s="173">
        <v>-79390</v>
      </c>
      <c r="D11" s="173">
        <v>-98485</v>
      </c>
      <c r="E11" s="173">
        <v>-105912</v>
      </c>
      <c r="F11" s="228">
        <f t="shared" si="0"/>
        <v>-7427</v>
      </c>
    </row>
    <row r="12" spans="2:6" x14ac:dyDescent="0.3">
      <c r="B12" s="108" t="s">
        <v>137</v>
      </c>
      <c r="C12" s="109">
        <f>C10+C11</f>
        <v>171036</v>
      </c>
      <c r="D12" s="109">
        <f>D10+D11</f>
        <v>246597</v>
      </c>
      <c r="E12" s="109">
        <f>E10+E11</f>
        <v>321212</v>
      </c>
      <c r="F12" s="109">
        <f t="shared" si="0"/>
        <v>74615</v>
      </c>
    </row>
    <row r="13" spans="2:6" x14ac:dyDescent="0.3">
      <c r="B13" s="1"/>
      <c r="C13" s="1"/>
      <c r="D13" s="1"/>
      <c r="E13" s="1"/>
      <c r="F13" s="1"/>
    </row>
    <row r="14" spans="2:6" x14ac:dyDescent="0.3">
      <c r="B14" s="170" t="s">
        <v>138</v>
      </c>
      <c r="C14" s="170"/>
      <c r="D14" s="170"/>
      <c r="E14" s="170"/>
      <c r="F14" s="170"/>
    </row>
    <row r="15" spans="2:6" ht="18" customHeight="1" x14ac:dyDescent="0.3">
      <c r="B15" s="128" t="s">
        <v>126</v>
      </c>
      <c r="C15" s="129" t="s">
        <v>139</v>
      </c>
      <c r="D15" s="16"/>
      <c r="E15" s="16"/>
      <c r="F15" s="16"/>
    </row>
    <row r="16" spans="2:6" x14ac:dyDescent="0.3">
      <c r="B16" s="229" t="s">
        <v>140</v>
      </c>
      <c r="C16" s="229" t="s">
        <v>141</v>
      </c>
      <c r="D16" s="155"/>
      <c r="E16" s="155"/>
      <c r="F16" s="155"/>
    </row>
    <row r="17" spans="2:6" x14ac:dyDescent="0.3">
      <c r="B17" s="230" t="s">
        <v>142</v>
      </c>
      <c r="C17" s="230" t="s">
        <v>143</v>
      </c>
      <c r="D17" s="157"/>
      <c r="E17" s="157"/>
      <c r="F17" s="157"/>
    </row>
    <row r="18" spans="2:6" x14ac:dyDescent="0.3">
      <c r="B18" s="231" t="s">
        <v>133</v>
      </c>
      <c r="C18" s="231" t="s">
        <v>144</v>
      </c>
      <c r="D18" s="155"/>
      <c r="E18" s="155"/>
      <c r="F18" s="155"/>
    </row>
    <row r="19" spans="2:6" x14ac:dyDescent="0.3">
      <c r="B19" s="230" t="s">
        <v>145</v>
      </c>
      <c r="C19" s="230" t="s">
        <v>146</v>
      </c>
      <c r="D19" s="157"/>
      <c r="E19" s="157"/>
      <c r="F19" s="157"/>
    </row>
    <row r="20" spans="2:6" x14ac:dyDescent="0.3">
      <c r="B20" s="231" t="s">
        <v>147</v>
      </c>
      <c r="C20" s="231" t="s">
        <v>148</v>
      </c>
      <c r="D20" s="155"/>
      <c r="E20" s="155"/>
      <c r="F20" s="155"/>
    </row>
    <row r="21" spans="2:6" x14ac:dyDescent="0.3">
      <c r="B21" s="1"/>
      <c r="C21" s="1"/>
      <c r="D21" s="1"/>
      <c r="E21" s="1"/>
      <c r="F21" s="1"/>
    </row>
    <row r="22" spans="2:6" x14ac:dyDescent="0.3">
      <c r="B22" s="170" t="s">
        <v>149</v>
      </c>
      <c r="C22" s="170"/>
      <c r="D22" s="170"/>
      <c r="E22" s="170"/>
      <c r="F22" s="170"/>
    </row>
    <row r="23" spans="2:6" ht="18" customHeight="1" x14ac:dyDescent="0.3">
      <c r="B23" s="128" t="s">
        <v>61</v>
      </c>
      <c r="C23" s="129" t="s">
        <v>150</v>
      </c>
      <c r="D23" s="129" t="s">
        <v>12</v>
      </c>
      <c r="E23" s="16"/>
      <c r="F23" s="16"/>
    </row>
    <row r="24" spans="2:6" x14ac:dyDescent="0.3">
      <c r="B24" s="99" t="s">
        <v>151</v>
      </c>
      <c r="C24" s="140">
        <f>E9</f>
        <v>122814</v>
      </c>
      <c r="D24" s="179" t="s">
        <v>53</v>
      </c>
      <c r="E24" s="154"/>
      <c r="F24" s="154"/>
    </row>
    <row r="25" spans="2:6" x14ac:dyDescent="0.3">
      <c r="B25" s="96" t="s">
        <v>152</v>
      </c>
      <c r="C25" s="187">
        <f>C24/E10*100</f>
        <v>28.753710866165328</v>
      </c>
      <c r="D25" s="232" t="s">
        <v>56</v>
      </c>
      <c r="E25" s="194"/>
      <c r="F25" s="194"/>
    </row>
    <row r="26" spans="2:6" x14ac:dyDescent="0.3">
      <c r="B26" s="93" t="s">
        <v>153</v>
      </c>
      <c r="C26" s="138">
        <f>C24/6</f>
        <v>20469</v>
      </c>
      <c r="D26" s="179" t="s">
        <v>154</v>
      </c>
      <c r="E26" s="154"/>
      <c r="F26" s="154"/>
    </row>
    <row r="27" spans="2:6" x14ac:dyDescent="0.3">
      <c r="B27" s="96" t="s">
        <v>155</v>
      </c>
      <c r="C27" s="98">
        <f>'09 Cash Flow'!G22*2</f>
        <v>27172</v>
      </c>
      <c r="D27" s="233" t="str">
        <f>"DERIVED = H1 "&amp;TEXT('09 Cash Flow'!$G$22,"#,##0")&amp;" x 2"</f>
        <v>DERIVED = H1 13,586 x 2</v>
      </c>
      <c r="E27" s="156"/>
      <c r="F27" s="156"/>
    </row>
    <row r="28" spans="2:6" x14ac:dyDescent="0.3">
      <c r="B28" s="99" t="s">
        <v>156</v>
      </c>
      <c r="C28" s="186">
        <f>C26/C27*100</f>
        <v>75.331223318121602</v>
      </c>
      <c r="D28" s="234" t="s">
        <v>157</v>
      </c>
      <c r="E28" s="193"/>
      <c r="F28" s="193"/>
    </row>
    <row r="29" spans="2:6" x14ac:dyDescent="0.3">
      <c r="B29" s="96" t="s">
        <v>158</v>
      </c>
      <c r="C29" s="98">
        <f>'09 Cash Flow'!G22+F11</f>
        <v>6159</v>
      </c>
      <c r="D29" s="233" t="str">
        <f>"DERIVED = "&amp;TEXT('09 Cash Flow'!$G$22,"#,##0")&amp;" expense less "&amp;TEXT(-$F$11,"#,##0")&amp;" accum-dep increase"</f>
        <v>DERIVED = 13,586 expense less 7,427 accum-dep increase</v>
      </c>
      <c r="E29" s="156"/>
      <c r="F29" s="156"/>
    </row>
    <row r="30" spans="2:6" x14ac:dyDescent="0.3">
      <c r="B30" s="1"/>
      <c r="C30" s="1"/>
      <c r="D30" s="1"/>
      <c r="E30" s="1"/>
      <c r="F30" s="1"/>
    </row>
    <row r="31" spans="2:6" x14ac:dyDescent="0.3">
      <c r="B31" s="130" t="s">
        <v>30</v>
      </c>
      <c r="C31" s="131"/>
      <c r="D31" s="131"/>
      <c r="E31" s="131"/>
      <c r="F31" s="131"/>
    </row>
    <row r="32" spans="2:6" ht="64.05" customHeight="1" x14ac:dyDescent="0.3">
      <c r="B32" s="659" t="s">
        <v>159</v>
      </c>
      <c r="C32" s="660"/>
      <c r="D32" s="660"/>
      <c r="E32" s="660"/>
      <c r="F32" s="660"/>
    </row>
    <row r="33" spans="2:6" ht="37.950000000000003" customHeight="1" x14ac:dyDescent="0.3">
      <c r="B33" s="659" t="s">
        <v>160</v>
      </c>
      <c r="C33" s="660"/>
      <c r="D33" s="660"/>
      <c r="E33" s="660"/>
      <c r="F33" s="660"/>
    </row>
    <row r="34" spans="2:6" ht="34.049999999999997" customHeight="1" x14ac:dyDescent="0.3">
      <c r="B34" s="659" t="s">
        <v>161</v>
      </c>
      <c r="C34" s="660"/>
      <c r="D34" s="660"/>
      <c r="E34" s="660"/>
      <c r="F34" s="660"/>
    </row>
    <row r="35" spans="2:6" ht="31.95" customHeight="1" x14ac:dyDescent="0.3">
      <c r="B35" s="659" t="str">
        <f>"•  KEY NUMBER: "&amp;TEXT($C$24,"#,##0")&amp;" sits in assets NOT YET IN SERVICE and is earning no depreciation. That is "&amp;TEXT($C$25,"0.0")&amp;"%"&amp;" of gross PP&amp;E, and it grew "&amp;TEXT($F$9,"#,##0")&amp;" in six months."</f>
        <v>•  KEY NUMBER: 122,814 sits in assets NOT YET IN SERVICE and is earning no depreciation. That is 28.8% of gross PP&amp;E, and it grew 44,222 in six months.</v>
      </c>
      <c r="C35" s="660"/>
      <c r="D35" s="660"/>
      <c r="E35" s="660"/>
      <c r="F35" s="660"/>
    </row>
    <row r="36" spans="2:6" ht="64.05" customHeight="1" x14ac:dyDescent="0.3">
      <c r="B36" s="659" t="str">
        <f>"•  ILLUSTRATIVE RAMP: if that "&amp;TEXT($C$24,"#,##0")&amp;" were placed in service on the 6-year server life it alone would add "&amp;"~"&amp;TEXT($C$26,"#,##0")&amp;"/yr"&amp;", against a current run rate of "&amp;"~"&amp;TEXT($C$27,"#,##0")&amp;" annualized (H1 "&amp;TEXT('09 Cash Flow'!$G$22,"#,##0")&amp;" doubled)"&amp;". "&amp;"A ~"&amp;TEXT($C$28,"0")&amp;"%"&amp;" increase BEFORE any H2 2026 or 2027 capex. This is an UPPER BOUND on that tranche: the balance mixes 6-year servers with 7-40 year buildings, and the split is NOT disclosed."</f>
        <v>•  ILLUSTRATIVE RAMP: if that 122,814 were placed in service on the 6-year server life it alone would add ~20,469/yr, against a current run rate of ~27,172 annualized (H1 13,586 doubled). A ~75% increase BEFORE any H2 2026 or 2027 capex. This is an UPPER BOUND on that tranche: the balance mixes 6-year servers with 7-40 year buildings, and the split is NOT disclosed.</v>
      </c>
      <c r="C36" s="660"/>
      <c r="D36" s="660"/>
      <c r="E36" s="660"/>
      <c r="F36" s="660"/>
    </row>
    <row r="37" spans="2:6" ht="37.950000000000003" customHeight="1" x14ac:dyDescent="0.3">
      <c r="B37" s="659" t="s">
        <v>162</v>
      </c>
      <c r="C37" s="660"/>
      <c r="D37" s="660"/>
      <c r="E37" s="660"/>
      <c r="F37" s="660"/>
    </row>
    <row r="38" spans="2:6" ht="42" customHeight="1" x14ac:dyDescent="0.3">
      <c r="B38" s="659" t="str">
        <f>"•  RETIREMENTS ARE MATERIAL: accumulated depreciation rose only "&amp;TEXT(-$F$11,"#,##0")&amp;" in H1 while depreciation expense was "&amp;TEXT('09 Cash Flow'!$G$22,"#,##0")&amp;", implying "&amp;"~"&amp;TEXT($C$29,"#,##0")&amp;" of retirements and disposals. A roll-forward ignoring disposals will not tie."</f>
        <v>•  RETIREMENTS ARE MATERIAL: accumulated depreciation rose only 7,427 in H1 while depreciation expense was 13,586, implying ~6,159 of retirements and disposals. A roll-forward ignoring disposals will not tie.</v>
      </c>
      <c r="C38" s="660"/>
      <c r="D38" s="660"/>
      <c r="E38" s="660"/>
      <c r="F38" s="660"/>
    </row>
    <row r="39" spans="2:6" ht="42" customHeight="1" x14ac:dyDescent="0.3">
      <c r="B39" s="659" t="str">
        <f>"•  Corporate and other assets fell "&amp;TEXT($D$8,"#,##0")&amp;" -&gt; "&amp;TEXT($E$8,"#,##0")&amp;", a "&amp;TEXT(-$F$8/$D$8,"0%")&amp;" drop"&amp;" in six months. That is a reclassification or large disposal, not ordinary depreciation. Check the footnote; it may explain part of the retirement figure."</f>
        <v>•  Corporate and other assets fell 14,463 -&gt; 6,498, a 55% drop in six months. That is a reclassification or large disposal, not ordinary depreciation. Check the footnote; it may explain part of the retirement figure.</v>
      </c>
      <c r="C39" s="660"/>
      <c r="D39" s="660"/>
      <c r="E39" s="660"/>
      <c r="F39" s="660"/>
    </row>
    <row r="40" spans="2:6" ht="37.950000000000003" customHeight="1" x14ac:dyDescent="0.3">
      <c r="B40" s="659" t="str">
        <f>"•  THE BUILD IS RECENT AND STEEP: technical infrastructure went "&amp;TEXT($C$6,"#,##0")&amp;" (Dec'24) to "&amp;TEXT($D$6,"#,##0")&amp;" (Dec'25) to "&amp;TEXT($E$6,"#,##0")&amp;" (Jun'26), +"&amp;TEXT($E$6/$C$6-1,"0%")&amp;" in eighteen months. Assets not yet in service went "&amp;TEXT($C$9,"#,##0")&amp;" to "&amp;TEXT($D$9,"#,##0")&amp;" to "&amp;TEXT($E$9,"#,##0")&amp;" over the same span, +"&amp;TEXT($E$9/$C$9-1,"0%")&amp;". The in-service base has not yet absorbed most of what has been bought."</f>
        <v>•  THE BUILD IS RECENT AND STEEP: technical infrastructure went 141,852 (Dec'24) to 203,679 (Dec'25) to 247,177 (Jun'26), +74% in eighteen months. Assets not yet in service went 50,597 to 78,592 to 122,814 over the same span, +143%. The in-service base has not yet absorbed most of what has been bought.</v>
      </c>
      <c r="C40" s="660"/>
      <c r="D40" s="660"/>
      <c r="E40" s="660"/>
      <c r="F40" s="660"/>
    </row>
    <row r="41" spans="2:6" ht="37.950000000000003" customHeight="1" x14ac:dyDescent="0.3">
      <c r="B41" s="659" t="s">
        <v>163</v>
      </c>
      <c r="C41" s="660"/>
      <c r="D41" s="660"/>
      <c r="E41" s="660"/>
      <c r="F41" s="660"/>
    </row>
    <row r="42" spans="2:6" ht="34.049999999999997" customHeight="1" x14ac:dyDescent="0.3">
      <c r="B42" s="659" t="s">
        <v>164</v>
      </c>
      <c r="C42" s="660"/>
      <c r="D42" s="660"/>
      <c r="E42" s="660"/>
      <c r="F42" s="660"/>
    </row>
    <row r="43" spans="2:6" ht="34.049999999999997" customHeight="1" x14ac:dyDescent="0.3">
      <c r="B43" s="659" t="s">
        <v>165</v>
      </c>
      <c r="C43" s="660"/>
      <c r="D43" s="660"/>
      <c r="E43" s="660"/>
      <c r="F43" s="660"/>
    </row>
  </sheetData>
  <mergeCells count="12">
    <mergeCell ref="B40:F40"/>
    <mergeCell ref="B35:F35"/>
    <mergeCell ref="B36:F36"/>
    <mergeCell ref="B39:F39"/>
    <mergeCell ref="B43:F43"/>
    <mergeCell ref="B42:F42"/>
    <mergeCell ref="B41:F41"/>
    <mergeCell ref="B34:F34"/>
    <mergeCell ref="B38:F38"/>
    <mergeCell ref="B33:F33"/>
    <mergeCell ref="B37:F37"/>
    <mergeCell ref="B32:F32"/>
  </mergeCells>
  <printOptions horizontalCentered="1"/>
  <pageMargins left="0.30000000000000004" right="0.30000000000000004" top="0.41666666666666669" bottom="0.41666666666666669" header="0.19444444444444445" footer="0.19444444444444445"/>
  <pageSetup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5621"/>
    <pageSetUpPr fitToPage="1"/>
  </sheetPr>
  <dimension ref="B1:J33"/>
  <sheetViews>
    <sheetView showGridLines="0" workbookViewId="0">
      <pane xSplit="2" ySplit="5" topLeftCell="C6" activePane="bottomRight" state="frozen"/>
      <selection pane="topRight" activeCell="C1" sqref="C1"/>
      <selection pane="bottomLeft" activeCell="A6" sqref="A6"/>
      <selection pane="bottomRight" activeCell="C21" sqref="C21"/>
    </sheetView>
  </sheetViews>
  <sheetFormatPr defaultRowHeight="14.4" x14ac:dyDescent="0.3"/>
  <cols>
    <col min="1" max="1" width="3.33203125" customWidth="1"/>
    <col min="2" max="2" width="46.33203125" customWidth="1"/>
    <col min="3" max="7" width="17.5546875" customWidth="1"/>
  </cols>
  <sheetData>
    <row r="1" spans="2:10" ht="6" customHeight="1" x14ac:dyDescent="0.3"/>
    <row r="2" spans="2:10" ht="28.05" customHeight="1" thickBot="1" x14ac:dyDescent="0.45">
      <c r="B2" s="396" t="s">
        <v>1812</v>
      </c>
      <c r="C2" s="396"/>
      <c r="D2" s="396"/>
      <c r="E2" s="396"/>
      <c r="F2" s="396"/>
      <c r="G2" s="396"/>
      <c r="H2" s="396"/>
      <c r="I2" s="396"/>
      <c r="J2" s="396"/>
    </row>
    <row r="3" spans="2:10" ht="15" thickBot="1" x14ac:dyDescent="0.35">
      <c r="B3" s="80" t="s">
        <v>68</v>
      </c>
      <c r="C3" s="4"/>
      <c r="D3" s="4"/>
      <c r="E3" s="4"/>
      <c r="F3" s="4"/>
      <c r="G3" s="4"/>
      <c r="H3" s="224"/>
      <c r="I3" s="224"/>
      <c r="J3" s="224"/>
    </row>
    <row r="4" spans="2:10" x14ac:dyDescent="0.3">
      <c r="B4" s="1"/>
      <c r="C4" s="1"/>
      <c r="D4" s="1"/>
      <c r="E4" s="1"/>
      <c r="F4" s="1"/>
      <c r="G4" s="1"/>
      <c r="H4" s="74"/>
      <c r="I4" s="74"/>
      <c r="J4" s="74"/>
    </row>
    <row r="5" spans="2:10" ht="18" customHeight="1" x14ac:dyDescent="0.3">
      <c r="B5" s="128" t="s">
        <v>6</v>
      </c>
      <c r="C5" s="129" t="s">
        <v>7</v>
      </c>
      <c r="D5" s="129" t="s">
        <v>8</v>
      </c>
      <c r="E5" s="129" t="s">
        <v>9</v>
      </c>
      <c r="F5" s="129" t="s">
        <v>10</v>
      </c>
      <c r="G5" s="129" t="s">
        <v>11</v>
      </c>
      <c r="H5" s="16"/>
      <c r="I5" s="16"/>
      <c r="J5" s="16"/>
    </row>
    <row r="6" spans="2:10" x14ac:dyDescent="0.3">
      <c r="B6" s="99" t="s">
        <v>27</v>
      </c>
      <c r="C6" s="206">
        <f>'01 Income Statement'!C18</f>
        <v>73795</v>
      </c>
      <c r="D6" s="206">
        <f>'01 Income Statement'!D18</f>
        <v>100118</v>
      </c>
      <c r="E6" s="206">
        <f>'01 Income Statement'!E18</f>
        <v>132170</v>
      </c>
      <c r="F6" s="206">
        <f>'01 Income Statement'!F18</f>
        <v>160208</v>
      </c>
      <c r="G6" s="207">
        <f>'01 Income Statement'!G18</f>
        <v>244205</v>
      </c>
      <c r="H6" s="223"/>
      <c r="I6" s="223"/>
      <c r="J6" s="223"/>
    </row>
    <row r="7" spans="2:10" x14ac:dyDescent="0.3">
      <c r="B7" s="96" t="s">
        <v>110</v>
      </c>
      <c r="C7" s="97">
        <v>11946</v>
      </c>
      <c r="D7" s="97">
        <v>15311</v>
      </c>
      <c r="E7" s="97">
        <v>21136</v>
      </c>
      <c r="F7" s="97">
        <v>23131</v>
      </c>
      <c r="G7" s="208">
        <f>E7+G22-F22</f>
        <v>25237</v>
      </c>
      <c r="H7" s="223"/>
      <c r="I7" s="223"/>
      <c r="J7" s="223"/>
    </row>
    <row r="8" spans="2:10" x14ac:dyDescent="0.3">
      <c r="B8" s="102" t="s">
        <v>111</v>
      </c>
      <c r="C8" s="103">
        <v>22460</v>
      </c>
      <c r="D8" s="103">
        <v>22785</v>
      </c>
      <c r="E8" s="103">
        <v>24953</v>
      </c>
      <c r="F8" s="103">
        <v>26188</v>
      </c>
      <c r="G8" s="209">
        <f>E8+G23-F23</f>
        <v>28147</v>
      </c>
      <c r="H8" s="223"/>
      <c r="I8" s="223"/>
      <c r="J8" s="223"/>
    </row>
    <row r="9" spans="2:10" x14ac:dyDescent="0.3">
      <c r="B9" s="108" t="s">
        <v>112</v>
      </c>
      <c r="C9" s="195">
        <v>101746</v>
      </c>
      <c r="D9" s="195">
        <v>125299</v>
      </c>
      <c r="E9" s="195">
        <v>164713</v>
      </c>
      <c r="F9" s="195">
        <v>174353</v>
      </c>
      <c r="G9" s="210">
        <f>E9+G19-F19</f>
        <v>185675</v>
      </c>
      <c r="H9" s="223"/>
      <c r="I9" s="223"/>
      <c r="J9" s="223"/>
    </row>
    <row r="10" spans="2:10" x14ac:dyDescent="0.3">
      <c r="B10" s="134" t="s">
        <v>113</v>
      </c>
      <c r="C10" s="135">
        <v>-32251</v>
      </c>
      <c r="D10" s="135">
        <v>-52535</v>
      </c>
      <c r="E10" s="135">
        <v>-91447</v>
      </c>
      <c r="F10" s="135">
        <v>-109924</v>
      </c>
      <c r="G10" s="211">
        <f>E10+G20-F20</f>
        <v>-132402</v>
      </c>
      <c r="H10" s="223"/>
      <c r="I10" s="223"/>
      <c r="J10" s="223"/>
    </row>
    <row r="11" spans="2:10" x14ac:dyDescent="0.3">
      <c r="B11" s="108" t="s">
        <v>114</v>
      </c>
      <c r="C11" s="109">
        <f>C9+C10</f>
        <v>69495</v>
      </c>
      <c r="D11" s="109">
        <f>D9+D10</f>
        <v>72764</v>
      </c>
      <c r="E11" s="109">
        <f>E9+E10</f>
        <v>73266</v>
      </c>
      <c r="F11" s="109">
        <f>F9+F10</f>
        <v>64429</v>
      </c>
      <c r="G11" s="210">
        <f>G9+G10</f>
        <v>53273</v>
      </c>
      <c r="H11" s="223"/>
      <c r="I11" s="223"/>
      <c r="J11" s="223"/>
    </row>
    <row r="12" spans="2:10" x14ac:dyDescent="0.3">
      <c r="B12" s="113" t="s">
        <v>115</v>
      </c>
      <c r="C12" s="212">
        <f>C11/'01 Income Statement'!C6*100</f>
        <v>22.607793255561269</v>
      </c>
      <c r="D12" s="212">
        <f>D11/'01 Income Statement'!D6*100</f>
        <v>20.788645155392008</v>
      </c>
      <c r="E12" s="212">
        <f>E11/'01 Income Statement'!E6*100</f>
        <v>18.187550268595658</v>
      </c>
      <c r="F12" s="212">
        <f>F11/'01 Income Statement'!F6*100</f>
        <v>15.249539642791207</v>
      </c>
      <c r="G12" s="213">
        <f>G11/'01 Income Statement'!G6*100</f>
        <v>11.948208654618202</v>
      </c>
      <c r="H12" s="223"/>
      <c r="I12" s="223"/>
      <c r="J12" s="223"/>
    </row>
    <row r="13" spans="2:10" x14ac:dyDescent="0.3">
      <c r="B13" s="96" t="s">
        <v>116</v>
      </c>
      <c r="C13" s="97">
        <v>-61504</v>
      </c>
      <c r="D13" s="97">
        <v>-62222</v>
      </c>
      <c r="E13" s="97">
        <v>-45709</v>
      </c>
      <c r="F13" s="97">
        <v>-30641</v>
      </c>
      <c r="G13" s="214"/>
      <c r="H13" s="223"/>
      <c r="I13" s="223"/>
      <c r="J13" s="223"/>
    </row>
    <row r="14" spans="2:10" x14ac:dyDescent="0.3">
      <c r="B14" s="99" t="s">
        <v>117</v>
      </c>
      <c r="C14" s="143"/>
      <c r="D14" s="100">
        <v>-7363</v>
      </c>
      <c r="E14" s="100">
        <v>-10049</v>
      </c>
      <c r="F14" s="100">
        <v>-10157</v>
      </c>
      <c r="G14" s="215"/>
      <c r="H14" s="223"/>
      <c r="I14" s="223"/>
      <c r="J14" s="223"/>
    </row>
    <row r="15" spans="2:10" x14ac:dyDescent="0.3">
      <c r="B15" s="96" t="s">
        <v>118</v>
      </c>
      <c r="C15" s="97">
        <v>-495</v>
      </c>
      <c r="D15" s="97">
        <v>-2931</v>
      </c>
      <c r="E15" s="97">
        <v>-1592</v>
      </c>
      <c r="F15" s="97">
        <v>-34873</v>
      </c>
      <c r="G15" s="214"/>
      <c r="H15" s="223"/>
      <c r="I15" s="223"/>
      <c r="J15" s="223"/>
    </row>
    <row r="16" spans="2:10" x14ac:dyDescent="0.3">
      <c r="B16" s="1"/>
      <c r="C16" s="1"/>
      <c r="D16" s="1"/>
      <c r="E16" s="1"/>
      <c r="F16" s="1"/>
      <c r="G16" s="1"/>
      <c r="H16" s="223"/>
      <c r="I16" s="223"/>
      <c r="J16" s="223"/>
    </row>
    <row r="17" spans="2:10" x14ac:dyDescent="0.3">
      <c r="B17" s="170" t="s">
        <v>119</v>
      </c>
      <c r="C17" s="170"/>
      <c r="D17" s="170"/>
      <c r="E17" s="170"/>
      <c r="F17" s="170"/>
      <c r="G17" s="170"/>
      <c r="H17" s="170"/>
      <c r="I17" s="170"/>
      <c r="J17" s="170"/>
    </row>
    <row r="18" spans="2:10" ht="18" customHeight="1" x14ac:dyDescent="0.3">
      <c r="B18" s="128" t="s">
        <v>6</v>
      </c>
      <c r="C18" s="129" t="s">
        <v>46</v>
      </c>
      <c r="D18" s="129" t="s">
        <v>36</v>
      </c>
      <c r="E18" s="129" t="s">
        <v>47</v>
      </c>
      <c r="F18" s="129" t="s">
        <v>120</v>
      </c>
      <c r="G18" s="129" t="s">
        <v>51</v>
      </c>
      <c r="H18" s="16"/>
      <c r="I18" s="16"/>
      <c r="J18" s="16"/>
    </row>
    <row r="19" spans="2:10" x14ac:dyDescent="0.3">
      <c r="B19" s="99" t="s">
        <v>112</v>
      </c>
      <c r="C19" s="100">
        <v>27747</v>
      </c>
      <c r="D19" s="140">
        <f>G19-E19</f>
        <v>45790</v>
      </c>
      <c r="E19" s="100">
        <v>39069</v>
      </c>
      <c r="F19" s="100">
        <v>63897</v>
      </c>
      <c r="G19" s="216">
        <v>84859</v>
      </c>
      <c r="H19" s="223"/>
      <c r="I19" s="223"/>
      <c r="J19" s="223"/>
    </row>
    <row r="20" spans="2:10" x14ac:dyDescent="0.3">
      <c r="B20" s="116" t="s">
        <v>113</v>
      </c>
      <c r="C20" s="171">
        <v>-22446</v>
      </c>
      <c r="D20" s="144">
        <f>G20-E20</f>
        <v>-35674</v>
      </c>
      <c r="E20" s="171">
        <v>-44924</v>
      </c>
      <c r="F20" s="171">
        <v>-39643</v>
      </c>
      <c r="G20" s="217">
        <v>-80598</v>
      </c>
      <c r="H20" s="223"/>
      <c r="I20" s="223"/>
      <c r="J20" s="223"/>
    </row>
    <row r="21" spans="2:10" x14ac:dyDescent="0.3">
      <c r="B21" s="108" t="s">
        <v>114</v>
      </c>
      <c r="C21" s="109">
        <f>C19+C20</f>
        <v>5301</v>
      </c>
      <c r="D21" s="109">
        <f>D19+D20</f>
        <v>10116</v>
      </c>
      <c r="E21" s="109">
        <f>E19+E20</f>
        <v>-5855</v>
      </c>
      <c r="F21" s="109">
        <f>F19+F20</f>
        <v>24254</v>
      </c>
      <c r="G21" s="210">
        <f>G19+G20</f>
        <v>4261</v>
      </c>
      <c r="H21" s="223"/>
      <c r="I21" s="223"/>
      <c r="J21" s="223"/>
    </row>
    <row r="22" spans="2:10" x14ac:dyDescent="0.3">
      <c r="B22" s="110" t="s">
        <v>121</v>
      </c>
      <c r="C22" s="147">
        <v>4998</v>
      </c>
      <c r="D22" s="218">
        <f>G22-E22</f>
        <v>6482</v>
      </c>
      <c r="E22" s="147">
        <v>7104</v>
      </c>
      <c r="F22" s="147">
        <v>9485</v>
      </c>
      <c r="G22" s="219">
        <v>13586</v>
      </c>
      <c r="H22" s="223"/>
      <c r="I22" s="223"/>
      <c r="J22" s="223"/>
    </row>
    <row r="23" spans="2:10" x14ac:dyDescent="0.3">
      <c r="B23" s="220" t="s">
        <v>111</v>
      </c>
      <c r="C23" s="221"/>
      <c r="D23" s="222"/>
      <c r="E23" s="221"/>
      <c r="F23" s="221">
        <v>11514</v>
      </c>
      <c r="G23" s="221">
        <v>14708</v>
      </c>
      <c r="H23" s="74"/>
      <c r="I23" s="74"/>
      <c r="J23" s="74"/>
    </row>
    <row r="24" spans="2:10" x14ac:dyDescent="0.3">
      <c r="B24" s="1"/>
      <c r="C24" s="1"/>
      <c r="D24" s="1"/>
      <c r="E24" s="1"/>
      <c r="F24" s="1"/>
      <c r="G24" s="1"/>
      <c r="H24" s="74"/>
      <c r="I24" s="74"/>
      <c r="J24" s="74"/>
    </row>
    <row r="25" spans="2:10" x14ac:dyDescent="0.3">
      <c r="B25" s="130" t="s">
        <v>30</v>
      </c>
      <c r="C25" s="131"/>
      <c r="D25" s="131"/>
      <c r="E25" s="131"/>
      <c r="F25" s="131"/>
      <c r="G25" s="131"/>
      <c r="H25" s="131"/>
      <c r="I25" s="131"/>
      <c r="J25" s="131"/>
    </row>
    <row r="26" spans="2:10" ht="30" customHeight="1" x14ac:dyDescent="0.3">
      <c r="B26" s="659" t="str">
        <f>"•  Q2 2026 is the FIRST NEGATIVE free-cash-flow quarter on record "&amp;"("&amp;TEXT($E$21,"#,##0")&amp;")"&amp;". H1'26 FCF of "&amp;TEXT($G$21,"#,##0")&amp;" is "&amp;"down "&amp;TEXT(1-$G$21/$F$21,"0%")&amp;" from H1'25."</f>
        <v>•  Q2 2026 is the FIRST NEGATIVE free-cash-flow quarter on record (-5,855). H1'26 FCF of 4,261 is down 82% from H1'25.</v>
      </c>
      <c r="C26" s="660"/>
      <c r="D26" s="660"/>
      <c r="E26" s="660"/>
      <c r="F26" s="660"/>
      <c r="G26" s="660"/>
      <c r="H26" s="660"/>
      <c r="I26" s="660"/>
      <c r="J26" s="660"/>
    </row>
    <row r="27" spans="2:10" ht="31.95" customHeight="1" x14ac:dyDescent="0.3">
      <c r="B27" s="659" t="str">
        <f>"•  FCF trajectory: "&amp;TEXT($C$11,"#,##0")&amp;" -&gt; "&amp;TEXT($D$11,"#,##0")&amp;" -&gt; "&amp;TEXT($E$11,"#,##0")&amp;" -&gt; "&amp;TEXT($F$11,"#,##0")&amp;" -&gt; "&amp;TEXT($G$11,"#,##0")&amp;". FCF margin fell from "&amp;TEXT($C$12,"0.0")&amp;"% (FY2023) to "&amp;TEXT($G$12,"0.0")&amp;"%"&amp;" (TTM Jun'26)."</f>
        <v>•  FCF trajectory: 69,495 -&gt; 72,764 -&gt; 73,266 -&gt; 64,429 -&gt; 53,273. FCF margin fell from 22.6% (FY2023) to 11.9% (TTM Jun'26).</v>
      </c>
      <c r="C27" s="660"/>
      <c r="D27" s="660"/>
      <c r="E27" s="660"/>
      <c r="F27" s="660"/>
      <c r="G27" s="660"/>
      <c r="H27" s="660"/>
      <c r="I27" s="660"/>
      <c r="J27" s="660"/>
    </row>
    <row r="28" spans="2:10" ht="30" customHeight="1" x14ac:dyDescent="0.3">
      <c r="B28" s="659" t="s">
        <v>122</v>
      </c>
      <c r="C28" s="660"/>
      <c r="D28" s="660"/>
      <c r="E28" s="660"/>
      <c r="F28" s="660"/>
      <c r="G28" s="660"/>
      <c r="H28" s="660"/>
      <c r="I28" s="660"/>
      <c r="J28" s="660"/>
    </row>
    <row r="29" spans="2:10" ht="64.05" customHeight="1" x14ac:dyDescent="0.3">
      <c r="B29" s="659" t="str">
        <f>"•  TTM (Jun'26) D&amp;A of "&amp;TEXT($G$7,"#,##0")&amp;" is DERIVED as FY2025 + H1'26 - H1'25, all on the cash-flow 'depreciation of property and equipment' basis. VERIFIED to the Q2 2026 10-Q: "&amp;"H1'25 "&amp;TEXT($F$22,"#,##0")&amp;" and H1'26 "&amp;TEXT($G$22,"#,##0")&amp;" match the filed statement exactly. The earlier mixed-basis concern is resolved - the figure excludes amortisation of intangibles, so the label 'D&amp;A' is strictly 'depreciation'."</f>
        <v>•  TTM (Jun'26) D&amp;A of 25,237 is DERIVED as FY2025 + H1'26 - H1'25, all on the cash-flow 'depreciation of property and equipment' basis. VERIFIED to the Q2 2026 10-Q: H1'25 9,485 and H1'26 13,586 match the filed statement exactly. The earlier mixed-basis concern is resolved - the figure excludes amortisation of intangibles, so the label 'D&amp;A' is strictly 'depreciation'.</v>
      </c>
      <c r="C29" s="660"/>
      <c r="D29" s="660"/>
      <c r="E29" s="660"/>
      <c r="F29" s="660"/>
      <c r="G29" s="660"/>
      <c r="H29" s="660"/>
      <c r="I29" s="660"/>
      <c r="J29" s="660"/>
    </row>
    <row r="30" spans="2:10" ht="34.049999999999997" customHeight="1" x14ac:dyDescent="0.3">
      <c r="B30" s="659" t="str">
        <f>"•  Capex guidance: FY2026 raised to 195,000-205,000 from 180,000-190,000. H1 capex was "&amp;TEXT(-$G$20,"#,##0")&amp;", so guidance implies 114,000-124,000 in H2 alone."</f>
        <v>•  Capex guidance: FY2026 raised to 195,000-205,000 from 180,000-190,000. H1 capex was 80,598, so guidance implies 114,000-124,000 in H2 alone.</v>
      </c>
      <c r="C30" s="660"/>
      <c r="D30" s="660"/>
      <c r="E30" s="660"/>
      <c r="F30" s="660"/>
      <c r="G30" s="660"/>
      <c r="H30" s="660"/>
      <c r="I30" s="660"/>
      <c r="J30" s="660"/>
    </row>
    <row r="31" spans="2:10" ht="30" customHeight="1" x14ac:dyDescent="0.3">
      <c r="B31" s="659" t="s">
        <v>123</v>
      </c>
      <c r="C31" s="660"/>
      <c r="D31" s="660"/>
      <c r="E31" s="660"/>
      <c r="F31" s="660"/>
      <c r="G31" s="660"/>
      <c r="H31" s="660"/>
      <c r="I31" s="660"/>
      <c r="J31" s="660"/>
    </row>
    <row r="32" spans="2:10" ht="28.05" customHeight="1" x14ac:dyDescent="0.3">
      <c r="B32" s="659" t="s">
        <v>124</v>
      </c>
      <c r="C32" s="660"/>
      <c r="D32" s="660"/>
      <c r="E32" s="660"/>
      <c r="F32" s="660"/>
      <c r="G32" s="660"/>
      <c r="H32" s="660"/>
      <c r="I32" s="660"/>
      <c r="J32" s="660"/>
    </row>
    <row r="33" spans="2:10" ht="54" customHeight="1" x14ac:dyDescent="0.3">
      <c r="B33" s="317" t="str">
        <f>"•  Stock-based compensation: "&amp;"H1'25 "&amp;TEXT($F$23,"#,##0")&amp;" and H1'26 "&amp;TEXT($G$23,"#,##0")&amp;" are filed cash-flow figures from the Q2 2026 10-Q. TTM Jun'26 of "&amp;TEXT($G$8,"#,##0")&amp;" is derived on the same FY2025 + H1'26 - H1'25 convention. The 10-Q reports SBC only on a six-month basis in the cash flow statement, so no Q2'26 or Q1'26 split is available."</f>
        <v>•  Stock-based compensation: H1'25 11,514 and H1'26 14,708 are filed cash-flow figures from the Q2 2026 10-Q. TTM Jun'26 of 28,147 is derived on the same FY2025 + H1'26 - H1'25 convention. The 10-Q reports SBC only on a six-month basis in the cash flow statement, so no Q2'26 or Q1'26 split is available.</v>
      </c>
      <c r="C33" s="317"/>
      <c r="D33" s="317"/>
      <c r="E33" s="317"/>
      <c r="F33" s="317"/>
      <c r="G33" s="317"/>
      <c r="H33" s="317"/>
      <c r="I33" s="317"/>
      <c r="J33" s="317"/>
    </row>
  </sheetData>
  <mergeCells count="7">
    <mergeCell ref="B32:J32"/>
    <mergeCell ref="B28:J28"/>
    <mergeCell ref="B26:J26"/>
    <mergeCell ref="B31:J31"/>
    <mergeCell ref="B27:J27"/>
    <mergeCell ref="B30:J30"/>
    <mergeCell ref="B29:J29"/>
  </mergeCells>
  <printOptions horizontalCentered="1"/>
  <pageMargins left="0.30000000000000004" right="0.30000000000000004" top="0.41666666666666669" bottom="0.41666666666666669" header="0.19444444444444445" footer="0.19444444444444445"/>
  <pageSetup scale="98"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5621"/>
    <pageSetUpPr fitToPage="1"/>
  </sheetPr>
  <dimension ref="B1:C32"/>
  <sheetViews>
    <sheetView showGridLines="0" workbookViewId="0">
      <pane xSplit="2" ySplit="5" topLeftCell="C6" activePane="bottomRight" state="frozen"/>
      <selection pane="topRight"/>
      <selection pane="bottomLeft"/>
      <selection pane="bottomRight"/>
    </sheetView>
  </sheetViews>
  <sheetFormatPr defaultRowHeight="14.4" x14ac:dyDescent="0.3"/>
  <cols>
    <col min="1" max="1" width="3.33203125" customWidth="1"/>
    <col min="2" max="2" width="34.21875" customWidth="1"/>
    <col min="3" max="3" width="77.77734375" customWidth="1"/>
  </cols>
  <sheetData>
    <row r="1" spans="2:3" ht="6" customHeight="1" x14ac:dyDescent="0.3"/>
    <row r="2" spans="2:3" ht="28.05" customHeight="1" thickBot="1" x14ac:dyDescent="0.45">
      <c r="B2" s="395" t="s">
        <v>1813</v>
      </c>
      <c r="C2" s="395"/>
    </row>
    <row r="3" spans="2:3" ht="24.6" thickBot="1" x14ac:dyDescent="0.35">
      <c r="B3" s="301" t="s">
        <v>256</v>
      </c>
      <c r="C3" s="326"/>
    </row>
    <row r="4" spans="2:3" x14ac:dyDescent="0.3">
      <c r="B4" s="13"/>
      <c r="C4" s="13"/>
    </row>
    <row r="5" spans="2:3" x14ac:dyDescent="0.3">
      <c r="B5" s="348" t="s">
        <v>187</v>
      </c>
      <c r="C5" s="349" t="s">
        <v>257</v>
      </c>
    </row>
    <row r="6" spans="2:3" x14ac:dyDescent="0.3">
      <c r="B6" s="350" t="s">
        <v>258</v>
      </c>
      <c r="C6" s="350" t="s">
        <v>259</v>
      </c>
    </row>
    <row r="7" spans="2:3" x14ac:dyDescent="0.3">
      <c r="B7" s="350" t="s">
        <v>260</v>
      </c>
      <c r="C7" s="350" t="s">
        <v>261</v>
      </c>
    </row>
    <row r="8" spans="2:3" ht="24" x14ac:dyDescent="0.3">
      <c r="B8" s="350" t="s">
        <v>262</v>
      </c>
      <c r="C8" s="350" t="s">
        <v>263</v>
      </c>
    </row>
    <row r="9" spans="2:3" x14ac:dyDescent="0.3">
      <c r="B9" s="350" t="s">
        <v>264</v>
      </c>
      <c r="C9" s="350" t="s">
        <v>265</v>
      </c>
    </row>
    <row r="10" spans="2:3" x14ac:dyDescent="0.3">
      <c r="B10" s="350" t="s">
        <v>266</v>
      </c>
      <c r="C10" s="350" t="s">
        <v>267</v>
      </c>
    </row>
    <row r="11" spans="2:3" x14ac:dyDescent="0.3">
      <c r="B11" s="350" t="s">
        <v>268</v>
      </c>
      <c r="C11" s="350" t="s">
        <v>269</v>
      </c>
    </row>
    <row r="12" spans="2:3" x14ac:dyDescent="0.3">
      <c r="B12" s="351" t="s">
        <v>270</v>
      </c>
      <c r="C12" s="351" t="s">
        <v>271</v>
      </c>
    </row>
    <row r="13" spans="2:3" x14ac:dyDescent="0.3">
      <c r="B13" s="351" t="s">
        <v>272</v>
      </c>
      <c r="C13" s="351" t="s">
        <v>273</v>
      </c>
    </row>
    <row r="14" spans="2:3" x14ac:dyDescent="0.3">
      <c r="B14" s="13"/>
      <c r="C14" s="13"/>
    </row>
    <row r="15" spans="2:3" x14ac:dyDescent="0.3">
      <c r="B15" s="332" t="s">
        <v>274</v>
      </c>
      <c r="C15" s="332"/>
    </row>
    <row r="16" spans="2:3" x14ac:dyDescent="0.3">
      <c r="B16" s="348" t="s">
        <v>275</v>
      </c>
      <c r="C16" s="349" t="s">
        <v>276</v>
      </c>
    </row>
    <row r="17" spans="2:3" ht="22.8" x14ac:dyDescent="0.3">
      <c r="B17" s="352" t="s">
        <v>277</v>
      </c>
      <c r="C17" s="311" t="s">
        <v>278</v>
      </c>
    </row>
    <row r="18" spans="2:3" ht="34.200000000000003" x14ac:dyDescent="0.3">
      <c r="B18" s="352" t="s">
        <v>279</v>
      </c>
      <c r="C18" s="311" t="s">
        <v>280</v>
      </c>
    </row>
    <row r="19" spans="2:3" ht="34.200000000000003" x14ac:dyDescent="0.3">
      <c r="B19" s="352" t="s">
        <v>281</v>
      </c>
      <c r="C19" s="311" t="s">
        <v>282</v>
      </c>
    </row>
    <row r="20" spans="2:3" ht="22.8" x14ac:dyDescent="0.3">
      <c r="B20" s="352" t="s">
        <v>283</v>
      </c>
      <c r="C20" s="311" t="s">
        <v>284</v>
      </c>
    </row>
    <row r="21" spans="2:3" ht="22.8" x14ac:dyDescent="0.3">
      <c r="B21" s="352" t="s">
        <v>285</v>
      </c>
      <c r="C21" s="311" t="s">
        <v>286</v>
      </c>
    </row>
    <row r="22" spans="2:3" ht="22.8" x14ac:dyDescent="0.3">
      <c r="B22" s="352" t="s">
        <v>287</v>
      </c>
      <c r="C22" s="311" t="s">
        <v>288</v>
      </c>
    </row>
    <row r="23" spans="2:3" ht="22.8" x14ac:dyDescent="0.3">
      <c r="B23" s="352" t="s">
        <v>289</v>
      </c>
      <c r="C23" s="311" t="s">
        <v>290</v>
      </c>
    </row>
    <row r="24" spans="2:3" x14ac:dyDescent="0.3">
      <c r="B24" s="13"/>
      <c r="C24" s="13"/>
    </row>
    <row r="25" spans="2:3" x14ac:dyDescent="0.3">
      <c r="B25" s="347" t="s">
        <v>30</v>
      </c>
      <c r="C25" s="310"/>
    </row>
    <row r="26" spans="2:3" x14ac:dyDescent="0.3">
      <c r="B26" s="663" t="s">
        <v>291</v>
      </c>
      <c r="C26" s="664"/>
    </row>
    <row r="27" spans="2:3" x14ac:dyDescent="0.3">
      <c r="B27" s="663" t="s">
        <v>292</v>
      </c>
      <c r="C27" s="664"/>
    </row>
    <row r="28" spans="2:3" x14ac:dyDescent="0.3">
      <c r="B28" s="663" t="s">
        <v>293</v>
      </c>
      <c r="C28" s="664"/>
    </row>
    <row r="29" spans="2:3" x14ac:dyDescent="0.3">
      <c r="B29" s="663" t="s">
        <v>294</v>
      </c>
      <c r="C29" s="664"/>
    </row>
    <row r="30" spans="2:3" x14ac:dyDescent="0.3">
      <c r="B30" s="663" t="s">
        <v>2486</v>
      </c>
      <c r="C30" s="664"/>
    </row>
    <row r="31" spans="2:3" x14ac:dyDescent="0.3">
      <c r="B31" s="663" t="s">
        <v>295</v>
      </c>
      <c r="C31" s="664"/>
    </row>
    <row r="32" spans="2:3" x14ac:dyDescent="0.3">
      <c r="B32" s="663" t="str">
        <f>"•  NOT ONE asked about the "&amp;TEXT('06 Core EPS Bridge'!$I$7,"#,##0")&amp;" gain on equity securities, or that reported EPS of "&amp;TEXT('06 Core EPS Bridge'!$I$13,"0.00")&amp;" corresponds to "&amp;"~"&amp;TEXT('06 Core EPS Bridge'!$I$12,"0.00")&amp;" of core earnings. The largest single-quarter investment gain in company history, "&amp;TEXT('06 Core EPS Bridge'!$I$7/'06 Core EPS Bridge'!$I$6,"0%")&amp;" of pretax"&amp;" income, drew no question. That is direct evidence for the 'consensus gap' score on factor H."</f>
        <v>•  NOT ONE asked about the 99,031 gain on equity securities, or that reported EPS of 9.11 corresponds to ~2.76 of core earnings. The largest single-quarter investment gain in company history, 71% of pretax income, drew no question. That is direct evidence for the 'consensus gap' score on factor H.</v>
      </c>
      <c r="C32" s="664"/>
    </row>
  </sheetData>
  <mergeCells count="7">
    <mergeCell ref="B32:C32"/>
    <mergeCell ref="B27:C27"/>
    <mergeCell ref="B31:C31"/>
    <mergeCell ref="B30:C30"/>
    <mergeCell ref="B26:C26"/>
    <mergeCell ref="B29:C29"/>
    <mergeCell ref="B28:C28"/>
  </mergeCells>
  <printOptions horizontalCentered="1"/>
  <pageMargins left="0.30000000000000004" right="0.30000000000000004" top="0.41666666666666669" bottom="0.41666666666666669" header="0.19444444444444445" footer="0.19444444444444445"/>
  <pageSetup scale="92"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7A5C"/>
    <pageSetUpPr fitToPage="1"/>
  </sheetPr>
  <dimension ref="B1:E133"/>
  <sheetViews>
    <sheetView showGridLines="0" workbookViewId="0">
      <pane xSplit="2" ySplit="5" topLeftCell="C116" activePane="bottomRight" state="frozen"/>
      <selection pane="topRight" activeCell="C1" sqref="C1"/>
      <selection pane="bottomLeft" activeCell="A6" sqref="A6"/>
      <selection pane="bottomRight" activeCell="B127" sqref="B127:D127"/>
    </sheetView>
  </sheetViews>
  <sheetFormatPr defaultRowHeight="14.4" x14ac:dyDescent="0.3"/>
  <cols>
    <col min="1" max="1" width="3.33203125" customWidth="1"/>
    <col min="2" max="2" width="48.21875" bestFit="1" customWidth="1"/>
    <col min="3" max="3" width="63.88671875" bestFit="1" customWidth="1"/>
    <col min="4" max="4" width="55.5546875" customWidth="1"/>
    <col min="5" max="5" width="13.33203125" customWidth="1"/>
  </cols>
  <sheetData>
    <row r="1" spans="2:5" ht="6" customHeight="1" x14ac:dyDescent="0.3"/>
    <row r="2" spans="2:5" ht="28.05" customHeight="1" thickBot="1" x14ac:dyDescent="0.45">
      <c r="B2" s="396" t="s">
        <v>2732</v>
      </c>
      <c r="C2" s="396"/>
      <c r="D2" s="396"/>
      <c r="E2" s="396"/>
    </row>
    <row r="3" spans="2:5" ht="15" thickBot="1" x14ac:dyDescent="0.35">
      <c r="B3" s="80" t="s">
        <v>2733</v>
      </c>
      <c r="C3" s="4"/>
      <c r="D3" s="4"/>
      <c r="E3" s="4"/>
    </row>
    <row r="4" spans="2:5" x14ac:dyDescent="0.3">
      <c r="B4" s="1"/>
      <c r="C4" s="1"/>
      <c r="D4" s="1"/>
      <c r="E4" s="1"/>
    </row>
    <row r="5" spans="2:5" ht="18" customHeight="1" x14ac:dyDescent="0.3">
      <c r="B5" s="128" t="s">
        <v>61</v>
      </c>
      <c r="C5" s="129" t="s">
        <v>150</v>
      </c>
      <c r="D5" s="129" t="s">
        <v>12</v>
      </c>
      <c r="E5" s="16"/>
    </row>
    <row r="6" spans="2:5" x14ac:dyDescent="0.3">
      <c r="B6" s="99" t="s">
        <v>194</v>
      </c>
      <c r="C6" s="119">
        <v>340.59</v>
      </c>
      <c r="D6" s="120" t="s">
        <v>2731</v>
      </c>
      <c r="E6" s="155"/>
    </row>
    <row r="7" spans="2:5" x14ac:dyDescent="0.3">
      <c r="B7" s="96" t="s">
        <v>195</v>
      </c>
      <c r="C7" s="139">
        <f>C6*C9</f>
        <v>4165415.6999999997</v>
      </c>
      <c r="D7" s="121"/>
      <c r="E7" s="157"/>
    </row>
    <row r="8" spans="2:5" x14ac:dyDescent="0.3">
      <c r="B8" s="99" t="s">
        <v>2468</v>
      </c>
      <c r="C8" s="206">
        <f>C7-'04 Balance Sheet'!G22+'05 Capital Structure'!C7-'04 Balance Sheet'!G54</f>
        <v>3915198.2699999996</v>
      </c>
      <c r="D8" s="120" t="s">
        <v>2469</v>
      </c>
      <c r="E8" s="155"/>
    </row>
    <row r="9" spans="2:5" x14ac:dyDescent="0.3">
      <c r="B9" s="96" t="s">
        <v>197</v>
      </c>
      <c r="C9" s="98">
        <f>'04 Balance Sheet'!G20</f>
        <v>12230</v>
      </c>
      <c r="D9" s="121"/>
      <c r="E9" s="157"/>
    </row>
    <row r="10" spans="2:5" x14ac:dyDescent="0.3">
      <c r="B10" s="1"/>
      <c r="C10" s="1"/>
      <c r="D10" s="1"/>
      <c r="E10" s="1"/>
    </row>
    <row r="11" spans="2:5" x14ac:dyDescent="0.3">
      <c r="B11" s="99" t="s">
        <v>198</v>
      </c>
      <c r="C11" s="177">
        <f>C6/C22</f>
        <v>17.089312594079278</v>
      </c>
      <c r="D11" s="120" t="str">
        <f>"on TTM EPS of "&amp;TEXT($C$22,"0.00")</f>
        <v>on TTM EPS of 19.93</v>
      </c>
      <c r="E11" s="155"/>
    </row>
    <row r="12" spans="2:5" x14ac:dyDescent="0.3">
      <c r="B12" s="188" t="s">
        <v>199</v>
      </c>
      <c r="C12" s="237">
        <f>C6/'06 Core EPS Bridge'!D17</f>
        <v>32.972613847054191</v>
      </c>
      <c r="D12" s="121" t="str">
        <f>"on TTM core EPS of "&amp;TEXT('06 Core EPS Bridge'!D17,"0.00")&amp;"  [DERIVED]"</f>
        <v>on TTM core EPS of 10.33  [DERIVED]</v>
      </c>
      <c r="E12" s="157"/>
    </row>
    <row r="13" spans="2:5" x14ac:dyDescent="0.3">
      <c r="B13" s="99" t="s">
        <v>200</v>
      </c>
      <c r="C13" s="176">
        <f>C6/'07 Consensus'!C6</f>
        <v>16.533495145631065</v>
      </c>
      <c r="D13" s="120" t="str">
        <f>"on consensus FY26 EPS of "&amp;TEXT('07 Consensus'!$C$6,"0.00")&amp;" (GAAP basis, a dated September 8, 2026 reference)"</f>
        <v>on consensus FY26 EPS of 20.60 (GAAP basis, a dated September 8, 2026 reference)</v>
      </c>
      <c r="E13" s="155"/>
    </row>
    <row r="14" spans="2:5" x14ac:dyDescent="0.3">
      <c r="B14" s="188" t="s">
        <v>201</v>
      </c>
      <c r="C14" s="237">
        <f>C6/'06 Core EPS Bridge'!D18</f>
        <v>28.818094415724342</v>
      </c>
      <c r="D14" s="121" t="str">
        <f>"on FY26E core EPS of "&amp;TEXT('06 Core EPS Bridge'!$D$18,"0.00")&amp;" (17 Model, "&amp;'16 Scenarios'!$F$6&amp;")  [DERIVED]"</f>
        <v>on FY26E core EPS of 11.82 (17 Model, BASE CASE)  [DERIVED]</v>
      </c>
      <c r="E14" s="157"/>
    </row>
    <row r="15" spans="2:5" x14ac:dyDescent="0.3">
      <c r="B15" s="188" t="s">
        <v>2698</v>
      </c>
      <c r="C15" s="237">
        <f>C6/'07 Consensus'!C67</f>
        <v>28.814720812182738</v>
      </c>
      <c r="D15" s="121" t="str">
        <f>"on consensus FY26 EPS of "&amp;TEXT('07 Consensus'!$C$67,"0.00")&amp;" (Oct 12 2026 mean; the provider does not say how the marks are treated, and by Oct 16 the mean was "&amp;TEXT('07 Consensus'!$C$79,"0.00")&amp;"; '07 Consensus' rows 67 and 79)"</f>
        <v>on consensus FY26 EPS of 11.82 (Oct 12 2026 mean; the provider does not say how the marks are treated, and by Oct 16 the mean was 13.14; '07 Consensus' rows 67 and 79)</v>
      </c>
      <c r="E15" s="1"/>
    </row>
    <row r="16" spans="2:5" x14ac:dyDescent="0.3">
      <c r="B16" s="99" t="s">
        <v>202</v>
      </c>
      <c r="C16" s="177">
        <f>C7/C20</f>
        <v>9.3423039657654989</v>
      </c>
      <c r="D16" s="120"/>
      <c r="E16" s="155"/>
    </row>
    <row r="17" spans="2:5" x14ac:dyDescent="0.3">
      <c r="B17" s="96" t="s">
        <v>2014</v>
      </c>
      <c r="C17" s="137">
        <f>C8/('01 Income Statement'!G12+'09 Cash Flow'!G7)</f>
        <v>22.648877852659588</v>
      </c>
      <c r="D17" s="121"/>
      <c r="E17" s="157"/>
    </row>
    <row r="18" spans="2:5" x14ac:dyDescent="0.3">
      <c r="B18" s="99" t="s">
        <v>204</v>
      </c>
      <c r="C18" s="177">
        <f>C7/C23</f>
        <v>78.189996808890058</v>
      </c>
      <c r="D18" s="120" t="str">
        <f>"on TTM FCF of "&amp;TEXT($C$23,"#,##0")</f>
        <v>on TTM FCF of 53,273</v>
      </c>
      <c r="E18" s="155"/>
    </row>
    <row r="19" spans="2:5" x14ac:dyDescent="0.3">
      <c r="B19" s="1"/>
      <c r="C19" s="1"/>
      <c r="D19" s="1"/>
      <c r="E19" s="1"/>
    </row>
    <row r="20" spans="2:5" x14ac:dyDescent="0.3">
      <c r="B20" s="99" t="s">
        <v>205</v>
      </c>
      <c r="C20" s="206">
        <f>'01 Income Statement'!G6</f>
        <v>445866</v>
      </c>
      <c r="D20" s="120" t="s">
        <v>2015</v>
      </c>
      <c r="E20" s="155"/>
    </row>
    <row r="21" spans="2:5" x14ac:dyDescent="0.3">
      <c r="B21" s="96" t="s">
        <v>206</v>
      </c>
      <c r="C21" s="98">
        <f>'01 Income Statement'!G18</f>
        <v>244205</v>
      </c>
      <c r="D21" s="121" t="s">
        <v>2016</v>
      </c>
      <c r="E21" s="157"/>
    </row>
    <row r="22" spans="2:5" x14ac:dyDescent="0.3">
      <c r="B22" s="99" t="s">
        <v>207</v>
      </c>
      <c r="C22" s="176">
        <f>'01 Income Statement'!G19</f>
        <v>19.93</v>
      </c>
      <c r="D22" s="120"/>
      <c r="E22" s="155"/>
    </row>
    <row r="23" spans="2:5" x14ac:dyDescent="0.3">
      <c r="B23" s="96" t="s">
        <v>208</v>
      </c>
      <c r="C23" s="98">
        <f>'09 Cash Flow'!G11</f>
        <v>53273</v>
      </c>
      <c r="D23" s="121"/>
      <c r="E23" s="157"/>
    </row>
    <row r="24" spans="2:5" x14ac:dyDescent="0.3">
      <c r="B24" s="99" t="s">
        <v>209</v>
      </c>
      <c r="C24" s="206">
        <f>'09 Cash Flow'!G9</f>
        <v>185675</v>
      </c>
      <c r="D24" s="120"/>
      <c r="E24" s="155"/>
    </row>
    <row r="25" spans="2:5" x14ac:dyDescent="0.3">
      <c r="B25" s="96" t="s">
        <v>210</v>
      </c>
      <c r="C25" s="98">
        <f>-'09 Cash Flow'!G10</f>
        <v>132402</v>
      </c>
      <c r="D25" s="121"/>
      <c r="E25" s="157"/>
    </row>
    <row r="26" spans="2:5" x14ac:dyDescent="0.3">
      <c r="B26" s="99" t="s">
        <v>211</v>
      </c>
      <c r="C26" s="206">
        <f>'04 Balance Sheet'!G8</f>
        <v>242474</v>
      </c>
      <c r="D26" s="120"/>
      <c r="E26" s="155"/>
    </row>
    <row r="27" spans="2:5" x14ac:dyDescent="0.3">
      <c r="B27" s="96" t="s">
        <v>104</v>
      </c>
      <c r="C27" s="98">
        <f>'04 Balance Sheet'!G17</f>
        <v>102754</v>
      </c>
      <c r="D27" s="121"/>
      <c r="E27" s="157"/>
    </row>
    <row r="28" spans="2:5" x14ac:dyDescent="0.3">
      <c r="B28" s="1"/>
      <c r="C28" s="1"/>
      <c r="D28" s="1"/>
      <c r="E28" s="1"/>
    </row>
    <row r="29" spans="2:5" x14ac:dyDescent="0.3">
      <c r="B29" s="130" t="s">
        <v>30</v>
      </c>
      <c r="C29" s="131"/>
      <c r="D29" s="131"/>
      <c r="E29" s="131"/>
    </row>
    <row r="30" spans="2:5" ht="54" customHeight="1" x14ac:dyDescent="0.3">
      <c r="B30" s="659" t="str">
        <f>"•  THE CENTRAL FINDING: the trailing "&amp;TEXT($C$11,"0.0")&amp;"x"&amp;" that makes GOOGL screen as the cheap mega-cap is built on TTM net income of "&amp;TEXT($C$21,"#,##0")&amp;", of which "&amp;TEXT('17 Model'!$K$28,"#,##0")&amp;" pretax ("&amp;"about "&amp;TEXT('17 Model'!$K$28*(1-'15 Assumptions'!$C$85),"#,##0")&amp;" after tax, "&amp;TEXT('17 Model'!$K$28*(1-'15 Assumptions'!$C$85)/$C$21,"0%")&amp;" of net income"&amp;") is non-operating mark-to-market on the equity-securities portfolio. On core earnings the same stock is at "&amp;"about "&amp;TEXT($C$12,"0.0")&amp;"x"&amp;"."</f>
        <v>•  THE CENTRAL FINDING: the trailing 17.1x that makes GOOGL screen as the cheap mega-cap is built on TTM net income of 244,205, of which 148,982 pretax (about 117,696 after tax, 48% of net income) is non-operating mark-to-market on the equity-securities portfolio. On core earnings the same stock is at about 33.0x.</v>
      </c>
      <c r="C30" s="660"/>
      <c r="D30" s="660"/>
      <c r="E30" s="660"/>
    </row>
    <row r="31" spans="2:5" ht="28.05" customHeight="1" x14ac:dyDescent="0.3">
      <c r="B31" s="659" t="s">
        <v>2763</v>
      </c>
      <c r="C31" s="660"/>
      <c r="D31" s="660"/>
      <c r="E31" s="660"/>
    </row>
    <row r="32" spans="2:5" x14ac:dyDescent="0.3">
      <c r="B32" s="1" t="s">
        <v>1241</v>
      </c>
      <c r="C32" s="400" t="s">
        <v>2470</v>
      </c>
      <c r="D32" s="85" t="s">
        <v>2471</v>
      </c>
      <c r="E32" s="364"/>
    </row>
    <row r="33" spans="2:5" x14ac:dyDescent="0.3">
      <c r="B33" s="1" t="s">
        <v>1242</v>
      </c>
      <c r="C33" s="413">
        <v>1.86</v>
      </c>
      <c r="D33" s="85" t="s">
        <v>2734</v>
      </c>
      <c r="E33" s="364"/>
    </row>
    <row r="34" spans="2:5" x14ac:dyDescent="0.3">
      <c r="B34" s="1"/>
      <c r="C34" s="364"/>
      <c r="D34" s="85"/>
      <c r="E34" s="364"/>
    </row>
    <row r="35" spans="2:5" x14ac:dyDescent="0.3">
      <c r="B35" s="1" t="s">
        <v>1243</v>
      </c>
      <c r="C35" s="410">
        <f>'01 Income Statement'!G12*(1-'01 Income Statement'!G17/100)</f>
        <v>120465.18596981312</v>
      </c>
      <c r="D35" s="85" t="s">
        <v>1244</v>
      </c>
      <c r="E35" s="364"/>
    </row>
    <row r="36" spans="2:5" x14ac:dyDescent="0.3">
      <c r="B36" s="1" t="s">
        <v>1245</v>
      </c>
      <c r="C36" s="410">
        <f>'04 Balance Sheet'!G19+'04 Balance Sheet'!G17-'04 Balance Sheet'!G8</f>
        <v>500760</v>
      </c>
      <c r="D36" s="85" t="s">
        <v>1246</v>
      </c>
      <c r="E36" s="364"/>
    </row>
    <row r="37" spans="2:5" x14ac:dyDescent="0.3">
      <c r="B37" s="1" t="s">
        <v>1247</v>
      </c>
      <c r="C37" s="410">
        <f>'04 Balance Sheet'!E19+'04 Balance Sheet'!E17-'04 Balance Sheet'!E8</f>
        <v>339465</v>
      </c>
      <c r="D37" s="85" t="s">
        <v>1248</v>
      </c>
      <c r="E37" s="364"/>
    </row>
    <row r="38" spans="2:5" ht="30" customHeight="1" x14ac:dyDescent="0.3">
      <c r="B38" s="1" t="s">
        <v>1249</v>
      </c>
      <c r="C38" s="413">
        <f>C35/AVERAGE(C36:C37)*100</f>
        <v>28.674506464295423</v>
      </c>
      <c r="D38" s="318" t="s">
        <v>1250</v>
      </c>
      <c r="E38" s="364"/>
    </row>
    <row r="39" spans="2:5" ht="37.950000000000003" customHeight="1" x14ac:dyDescent="0.3">
      <c r="B39" s="1" t="s">
        <v>1251</v>
      </c>
      <c r="C39" s="400">
        <v>24.93</v>
      </c>
      <c r="D39" s="318" t="s">
        <v>2472</v>
      </c>
      <c r="E39" s="364"/>
    </row>
    <row r="40" spans="2:5" x14ac:dyDescent="0.3">
      <c r="B40" s="364"/>
      <c r="C40" s="364"/>
      <c r="D40" s="364"/>
      <c r="E40" s="364"/>
    </row>
    <row r="41" spans="2:5" ht="22.05" customHeight="1" x14ac:dyDescent="0.3">
      <c r="B41" s="666" t="s">
        <v>1449</v>
      </c>
      <c r="C41" s="666"/>
      <c r="D41" s="666"/>
      <c r="E41" s="666"/>
    </row>
    <row r="42" spans="2:5" ht="19.95" customHeight="1" x14ac:dyDescent="0.3">
      <c r="B42" s="275" t="s">
        <v>61</v>
      </c>
      <c r="C42" s="276" t="s">
        <v>7</v>
      </c>
      <c r="D42" s="276" t="s">
        <v>8</v>
      </c>
      <c r="E42" s="277" t="s">
        <v>9</v>
      </c>
    </row>
    <row r="43" spans="2:5" ht="18" customHeight="1" x14ac:dyDescent="0.3">
      <c r="B43" s="278" t="s">
        <v>1450</v>
      </c>
      <c r="C43" s="288">
        <v>138.46</v>
      </c>
      <c r="D43" s="288">
        <v>188.2</v>
      </c>
      <c r="E43" s="288">
        <v>312.39</v>
      </c>
    </row>
    <row r="44" spans="2:5" ht="18" customHeight="1" x14ac:dyDescent="0.3">
      <c r="B44" s="278" t="s">
        <v>1451</v>
      </c>
      <c r="C44" s="288">
        <v>117.75</v>
      </c>
      <c r="D44" s="288">
        <v>162.56</v>
      </c>
      <c r="E44" s="288">
        <v>210.12</v>
      </c>
    </row>
    <row r="45" spans="2:5" ht="18" customHeight="1" x14ac:dyDescent="0.3">
      <c r="B45" s="278" t="s">
        <v>1452</v>
      </c>
      <c r="C45" s="289">
        <f>'01 Income Statement'!C19</f>
        <v>5.8</v>
      </c>
      <c r="D45" s="289">
        <f>'01 Income Statement'!D19</f>
        <v>8.0399999999999991</v>
      </c>
      <c r="E45" s="289">
        <f>'01 Income Statement'!E19</f>
        <v>10.81</v>
      </c>
    </row>
    <row r="46" spans="2:5" ht="18" customHeight="1" x14ac:dyDescent="0.3">
      <c r="B46" s="279" t="s">
        <v>1453</v>
      </c>
      <c r="C46" s="290">
        <f>'06 Core EPS Bridge'!C12</f>
        <v>5.7762395849709174</v>
      </c>
      <c r="D46" s="290">
        <f>'06 Core EPS Bridge'!D12</f>
        <v>7.8078203583192742</v>
      </c>
      <c r="E46" s="290">
        <f>'06 Core EPS Bridge'!E12</f>
        <v>9.2515780866721187</v>
      </c>
    </row>
    <row r="47" spans="2:5" ht="18" customHeight="1" x14ac:dyDescent="0.3">
      <c r="B47" s="280" t="s">
        <v>1454</v>
      </c>
      <c r="C47" s="281">
        <f>C43/C45</f>
        <v>23.872413793103451</v>
      </c>
      <c r="D47" s="281">
        <f t="shared" ref="D47:E47" si="0">D43/D45</f>
        <v>23.407960199004975</v>
      </c>
      <c r="E47" s="281">
        <f t="shared" si="0"/>
        <v>28.898242368177609</v>
      </c>
    </row>
    <row r="48" spans="2:5" ht="18" customHeight="1" x14ac:dyDescent="0.3">
      <c r="B48" s="282" t="s">
        <v>1455</v>
      </c>
      <c r="C48" s="283">
        <f>C43/C46</f>
        <v>23.970612361761503</v>
      </c>
      <c r="D48" s="283">
        <f t="shared" ref="D48:E48" si="1">D43/D46</f>
        <v>24.104038177501341</v>
      </c>
      <c r="E48" s="283">
        <f t="shared" si="1"/>
        <v>33.766131256031983</v>
      </c>
    </row>
    <row r="49" spans="2:5" ht="18" customHeight="1" x14ac:dyDescent="0.3">
      <c r="B49" s="286" t="s">
        <v>1456</v>
      </c>
      <c r="C49" s="287">
        <f>C44/C45</f>
        <v>20.301724137931036</v>
      </c>
      <c r="D49" s="287">
        <f t="shared" ref="D49:E49" si="2">D44/D45</f>
        <v>20.21890547263682</v>
      </c>
      <c r="E49" s="287">
        <f t="shared" si="2"/>
        <v>19.437557816836261</v>
      </c>
    </row>
    <row r="50" spans="2:5" ht="18" customHeight="1" x14ac:dyDescent="0.3">
      <c r="B50" s="284" t="s">
        <v>1457</v>
      </c>
      <c r="C50" s="285">
        <f>C44/C46</f>
        <v>20.385234765256513</v>
      </c>
      <c r="D50" s="285">
        <f t="shared" ref="D50:E50" si="3">D44/D46</f>
        <v>20.82015114843049</v>
      </c>
      <c r="E50" s="285">
        <f t="shared" si="3"/>
        <v>22.711800952391052</v>
      </c>
    </row>
    <row r="51" spans="2:5" x14ac:dyDescent="0.3">
      <c r="B51" s="364"/>
      <c r="C51" s="364"/>
      <c r="D51" s="364"/>
      <c r="E51" s="364"/>
    </row>
    <row r="52" spans="2:5" ht="31.95" customHeight="1" x14ac:dyDescent="0.3">
      <c r="B52" s="665" t="s">
        <v>1458</v>
      </c>
      <c r="C52" s="665"/>
      <c r="D52" s="665"/>
      <c r="E52" s="665"/>
    </row>
    <row r="53" spans="2:5" ht="30" customHeight="1" x14ac:dyDescent="0.3">
      <c r="B53" s="665" t="s">
        <v>1459</v>
      </c>
      <c r="C53" s="665"/>
      <c r="D53" s="665"/>
      <c r="E53" s="665"/>
    </row>
    <row r="54" spans="2:5" x14ac:dyDescent="0.3">
      <c r="B54" s="364"/>
      <c r="C54" s="364"/>
      <c r="D54" s="364"/>
      <c r="E54" s="364"/>
    </row>
    <row r="55" spans="2:5" x14ac:dyDescent="0.3">
      <c r="B55" s="402" t="s">
        <v>1577</v>
      </c>
      <c r="C55" s="402"/>
      <c r="D55" s="403"/>
      <c r="E55" s="364"/>
    </row>
    <row r="56" spans="2:5" x14ac:dyDescent="0.3">
      <c r="B56" s="404" t="s">
        <v>1578</v>
      </c>
      <c r="C56" s="404" t="s">
        <v>150</v>
      </c>
      <c r="D56" s="405" t="s">
        <v>1579</v>
      </c>
      <c r="E56" s="364"/>
    </row>
    <row r="57" spans="2:5" ht="28.2" x14ac:dyDescent="0.3">
      <c r="B57" s="364" t="s">
        <v>1580</v>
      </c>
      <c r="C57" s="406">
        <v>4.9599999999999998E-2</v>
      </c>
      <c r="D57" s="407" t="s">
        <v>1581</v>
      </c>
      <c r="E57" s="364"/>
    </row>
    <row r="58" spans="2:5" x14ac:dyDescent="0.3">
      <c r="B58" s="364" t="s">
        <v>1582</v>
      </c>
      <c r="C58" s="406">
        <v>4.4200000000000003E-2</v>
      </c>
      <c r="D58" s="407" t="s">
        <v>1583</v>
      </c>
      <c r="E58" s="364"/>
    </row>
    <row r="59" spans="2:5" ht="42" x14ac:dyDescent="0.3">
      <c r="B59" s="364" t="s">
        <v>1584</v>
      </c>
      <c r="C59" s="400">
        <v>1.23</v>
      </c>
      <c r="D59" s="407" t="s">
        <v>2234</v>
      </c>
      <c r="E59" s="364"/>
    </row>
    <row r="60" spans="2:5" x14ac:dyDescent="0.3">
      <c r="B60" s="364" t="s">
        <v>1585</v>
      </c>
      <c r="C60" s="566">
        <f>C57+'15 Assumptions'!C137*C58</f>
        <v>9.7284095306735152E-2</v>
      </c>
      <c r="D60" s="407" t="s">
        <v>2233</v>
      </c>
      <c r="E60" s="364"/>
    </row>
    <row r="61" spans="2:5" x14ac:dyDescent="0.3">
      <c r="B61" s="364" t="s">
        <v>969</v>
      </c>
      <c r="C61" s="409">
        <f>'15 Assumptions'!C10</f>
        <v>0.16112010082186476</v>
      </c>
      <c r="D61" s="407" t="s">
        <v>1586</v>
      </c>
      <c r="E61" s="364"/>
    </row>
    <row r="62" spans="2:5" x14ac:dyDescent="0.3">
      <c r="B62" s="364" t="s">
        <v>190</v>
      </c>
      <c r="C62" s="410">
        <f>'05 Capital Structure'!C25</f>
        <v>139720</v>
      </c>
      <c r="D62" s="407" t="s">
        <v>1587</v>
      </c>
      <c r="E62" s="364"/>
    </row>
    <row r="63" spans="2:5" x14ac:dyDescent="0.3">
      <c r="B63" s="364" t="s">
        <v>44</v>
      </c>
      <c r="C63" s="410">
        <f>'05 Capital Structure'!C16</f>
        <v>12274</v>
      </c>
      <c r="D63" s="407" t="s">
        <v>1588</v>
      </c>
      <c r="E63" s="364"/>
    </row>
    <row r="64" spans="2:5" x14ac:dyDescent="0.3">
      <c r="B64" s="364" t="s">
        <v>1589</v>
      </c>
      <c r="C64" s="411" t="s">
        <v>1590</v>
      </c>
      <c r="D64" s="407" t="s">
        <v>1591</v>
      </c>
      <c r="E64" s="364"/>
    </row>
    <row r="65" spans="2:5" x14ac:dyDescent="0.3">
      <c r="B65" s="407" t="s">
        <v>1592</v>
      </c>
      <c r="C65" s="407" t="s">
        <v>2764</v>
      </c>
      <c r="D65" s="407"/>
      <c r="E65" s="364"/>
    </row>
    <row r="66" spans="2:5" x14ac:dyDescent="0.3">
      <c r="B66" s="364" t="s">
        <v>1663</v>
      </c>
      <c r="C66" s="406">
        <v>5.8999999999999999E-3</v>
      </c>
      <c r="D66" s="364" t="s">
        <v>1664</v>
      </c>
      <c r="E66" s="364"/>
    </row>
    <row r="67" spans="2:5" x14ac:dyDescent="0.3">
      <c r="B67" s="364" t="s">
        <v>1646</v>
      </c>
      <c r="C67" s="408">
        <f>C57+C66</f>
        <v>5.5500000000000001E-2</v>
      </c>
      <c r="D67" s="364" t="s">
        <v>1665</v>
      </c>
      <c r="E67" s="364"/>
    </row>
    <row r="68" spans="2:5" x14ac:dyDescent="0.3">
      <c r="B68" s="364" t="s">
        <v>1649</v>
      </c>
      <c r="C68" s="412">
        <f>C7/(C7+'04 Balance Sheet'!G17)*C60+'04 Balance Sheet'!G17/(C7+'04 Balance Sheet'!G17)*C67*(1-C61)</f>
        <v>9.6062886550026177E-2</v>
      </c>
      <c r="D68" s="364" t="s">
        <v>1666</v>
      </c>
      <c r="E68" s="364"/>
    </row>
    <row r="70" spans="2:5" x14ac:dyDescent="0.3">
      <c r="B70" s="402" t="s">
        <v>2583</v>
      </c>
      <c r="C70" s="410"/>
      <c r="D70" s="407"/>
      <c r="E70" s="364"/>
    </row>
    <row r="71" spans="2:5" x14ac:dyDescent="0.3">
      <c r="B71" s="404" t="s">
        <v>61</v>
      </c>
      <c r="C71" s="404" t="s">
        <v>150</v>
      </c>
      <c r="D71" s="405" t="s">
        <v>12</v>
      </c>
      <c r="E71" s="364"/>
    </row>
    <row r="72" spans="2:5" ht="69" x14ac:dyDescent="0.3">
      <c r="B72" s="627" t="s">
        <v>2688</v>
      </c>
      <c r="C72" s="628">
        <f>'07 Consensus'!C73</f>
        <v>13.530000000000001</v>
      </c>
      <c r="D72" s="627" t="s">
        <v>2765</v>
      </c>
      <c r="E72" s="364"/>
    </row>
    <row r="73" spans="2:5" ht="55.2" x14ac:dyDescent="0.3">
      <c r="B73" s="627" t="s">
        <v>2699</v>
      </c>
      <c r="C73" s="628">
        <f>AVERAGE('DCF Base Model'!L48,'DCF Base Model'!M48)</f>
        <v>12.710659403386435</v>
      </c>
      <c r="D73" s="627" t="s">
        <v>2700</v>
      </c>
      <c r="E73" s="364"/>
    </row>
    <row r="74" spans="2:5" ht="69" x14ac:dyDescent="0.3">
      <c r="B74" s="627" t="s">
        <v>2512</v>
      </c>
      <c r="C74" s="634">
        <f>AVERAGE(26.61,17.89,21.69,22.05,29.41)</f>
        <v>23.529999999999998</v>
      </c>
      <c r="D74" s="627" t="s">
        <v>2567</v>
      </c>
      <c r="E74" s="364"/>
    </row>
    <row r="75" spans="2:5" ht="27.6" x14ac:dyDescent="0.3">
      <c r="B75" s="627" t="s">
        <v>2513</v>
      </c>
      <c r="C75" s="629">
        <f>MEDIAN('12 Peers'!F7:F11)</f>
        <v>26.58</v>
      </c>
      <c r="D75" s="627" t="s">
        <v>2514</v>
      </c>
      <c r="E75" s="364"/>
    </row>
    <row r="76" spans="2:5" x14ac:dyDescent="0.3">
      <c r="B76" s="627" t="s">
        <v>2515</v>
      </c>
      <c r="C76" s="629">
        <f>MEDIAN('12 Peers'!G7:G11)</f>
        <v>20.49</v>
      </c>
      <c r="D76" s="627" t="s">
        <v>2516</v>
      </c>
      <c r="E76" s="364"/>
    </row>
    <row r="77" spans="2:5" x14ac:dyDescent="0.3">
      <c r="B77" s="404" t="s">
        <v>2517</v>
      </c>
      <c r="C77" s="404" t="s">
        <v>2518</v>
      </c>
      <c r="D77" s="405" t="s">
        <v>2701</v>
      </c>
      <c r="E77" s="364"/>
    </row>
    <row r="78" spans="2:5" x14ac:dyDescent="0.3">
      <c r="B78" s="364" t="s">
        <v>2702</v>
      </c>
      <c r="C78" s="615">
        <f>C74*C73</f>
        <v>299.08181576168278</v>
      </c>
      <c r="D78" s="616">
        <f>C74*C72</f>
        <v>318.36090000000002</v>
      </c>
      <c r="E78" s="364"/>
    </row>
    <row r="79" spans="2:5" x14ac:dyDescent="0.3">
      <c r="B79" s="364" t="s">
        <v>2703</v>
      </c>
      <c r="C79" s="615">
        <f>C75*C73</f>
        <v>337.84932694201143</v>
      </c>
      <c r="D79" s="616">
        <f>C75*C72</f>
        <v>359.62740000000002</v>
      </c>
      <c r="E79" s="364"/>
    </row>
    <row r="80" spans="2:5" x14ac:dyDescent="0.3">
      <c r="B80" s="364" t="s">
        <v>2519</v>
      </c>
      <c r="C80" s="615">
        <f>(C76*('01 Income Statement'!G12+'09 Cash Flow'!G7)+'04 Balance Sheet'!G22+'04 Balance Sheet'!G54-'05 Capital Structure'!C7)/'05 Capital Structure'!C16</f>
        <v>308.96376731301939</v>
      </c>
      <c r="D80" s="616">
        <f>C80</f>
        <v>308.96376731301939</v>
      </c>
      <c r="E80" s="364"/>
    </row>
    <row r="81" spans="2:5" ht="27.6" x14ac:dyDescent="0.3">
      <c r="B81" s="627" t="s">
        <v>2520</v>
      </c>
      <c r="C81" s="630">
        <f>('04 Balance Sheet'!G54+'04 Balance Sheet'!G40)/'05 Capital Structure'!C16</f>
        <v>17.643834935636303</v>
      </c>
      <c r="D81" s="631" t="s">
        <v>2521</v>
      </c>
      <c r="E81" s="364"/>
    </row>
    <row r="82" spans="2:5" x14ac:dyDescent="0.3">
      <c r="B82" s="364" t="s">
        <v>2522</v>
      </c>
      <c r="C82" s="615">
        <f>C74*'DCF Base Model'!L48</f>
        <v>278.09204121516046</v>
      </c>
      <c r="D82" s="616">
        <f>C75*'DCF Base Model'!L48</f>
        <v>314.13882088818383</v>
      </c>
      <c r="E82" s="364"/>
    </row>
    <row r="83" spans="2:5" ht="138" x14ac:dyDescent="0.3">
      <c r="B83" s="627" t="s">
        <v>2704</v>
      </c>
      <c r="C83" s="632"/>
      <c r="D83" s="627"/>
      <c r="E83" s="364"/>
    </row>
    <row r="84" spans="2:5" x14ac:dyDescent="0.3">
      <c r="B84" s="364"/>
      <c r="C84" s="410"/>
      <c r="D84" s="407"/>
      <c r="E84" s="364"/>
    </row>
    <row r="85" spans="2:5" x14ac:dyDescent="0.3">
      <c r="B85" s="402" t="s">
        <v>2766</v>
      </c>
      <c r="C85" s="410"/>
      <c r="D85" s="407"/>
      <c r="E85" s="364"/>
    </row>
    <row r="86" spans="2:5" x14ac:dyDescent="0.3">
      <c r="B86" s="404"/>
      <c r="C86" s="404" t="s">
        <v>1685</v>
      </c>
      <c r="D86" s="405" t="s">
        <v>1686</v>
      </c>
      <c r="E86" s="364" t="s">
        <v>1687</v>
      </c>
    </row>
    <row r="87" spans="2:5" x14ac:dyDescent="0.3">
      <c r="B87" s="364" t="s">
        <v>2523</v>
      </c>
      <c r="C87" s="617">
        <v>46311</v>
      </c>
      <c r="D87" s="407"/>
      <c r="E87" s="364"/>
    </row>
    <row r="88" spans="2:5" x14ac:dyDescent="0.3">
      <c r="B88" s="364" t="s">
        <v>2524</v>
      </c>
      <c r="C88" s="615">
        <f>'20 DCF Valuation'!C29</f>
        <v>193.52645840684036</v>
      </c>
      <c r="D88" s="616">
        <f>'20 DCF Valuation'!D29</f>
        <v>348.27401988098728</v>
      </c>
      <c r="E88" s="618">
        <f>'20 DCF Valuation'!E29</f>
        <v>77.246174191031528</v>
      </c>
    </row>
    <row r="89" spans="2:5" x14ac:dyDescent="0.3">
      <c r="B89" s="364" t="s">
        <v>2525</v>
      </c>
      <c r="C89" s="615">
        <f>('20 DCF Valuation'!C16*(1+'20 DCF Valuation'!$H$18)^0.25+(SUM('20 DCF Valuation'!C17:C20)+'20 DCF Valuation'!C15)*(1+'20 DCF Valuation'!$H$18)^0.5+'20 DCF Valuation'!C21+SUM('20 DCF Valuation'!C23:C25))/'20 DCF Valuation'!C28</f>
        <v>197.14004376548911</v>
      </c>
      <c r="D89" s="616">
        <f>('20 DCF Valuation'!D16*(1+'20 DCF Valuation'!$H$18)^0.25+(SUM('20 DCF Valuation'!D17:D20)+'20 DCF Valuation'!D15)*(1+'20 DCF Valuation'!$H$18)^0.5+'20 DCF Valuation'!D21+SUM('20 DCF Valuation'!D23:D25))/'20 DCF Valuation'!D28</f>
        <v>355.17544897352917</v>
      </c>
      <c r="E89" s="618">
        <f>('20 DCF Valuation'!E16*(1+'20 DCF Valuation'!$H$18)^0.25+(SUM('20 DCF Valuation'!E17:E20)+'20 DCF Valuation'!E15)*(1+'20 DCF Valuation'!$H$18)^0.5+'20 DCF Valuation'!E21+SUM('20 DCF Valuation'!E23:E25))/'20 DCF Valuation'!E28</f>
        <v>78.384354154286555</v>
      </c>
    </row>
    <row r="90" spans="2:5" x14ac:dyDescent="0.3">
      <c r="B90" s="364" t="s">
        <v>2526</v>
      </c>
      <c r="C90" s="615">
        <f>C89*(1+'20 DCF Valuation'!$H$11)^(($C$87-'20 DCF Valuation'!$H$25)/365)</f>
        <v>202.6305293892587</v>
      </c>
      <c r="D90" s="616">
        <f>D89*(1+'20 DCF Valuation'!$H$11)^(($C$87-'20 DCF Valuation'!$H$25)/365)</f>
        <v>365.06732917836882</v>
      </c>
      <c r="E90" s="618">
        <f>E89*(1+'20 DCF Valuation'!$H$11)^(($C$87-'20 DCF Valuation'!$H$25)/365)</f>
        <v>80.567412255483518</v>
      </c>
    </row>
    <row r="91" spans="2:5" x14ac:dyDescent="0.3">
      <c r="B91" s="364" t="s">
        <v>2527</v>
      </c>
      <c r="C91" s="409">
        <f>C90/$C$6-1</f>
        <v>-0.40506025018568159</v>
      </c>
      <c r="D91" s="619">
        <f>D90/$C$6-1</f>
        <v>7.1867433507645018E-2</v>
      </c>
      <c r="E91" s="620">
        <f>E90/$C$6-1</f>
        <v>-0.76344751092080354</v>
      </c>
    </row>
    <row r="92" spans="2:5" x14ac:dyDescent="0.3">
      <c r="B92" s="364" t="s">
        <v>2528</v>
      </c>
      <c r="C92" s="398">
        <v>0.88</v>
      </c>
      <c r="D92" s="407"/>
      <c r="E92" s="364"/>
    </row>
    <row r="93" spans="2:5" x14ac:dyDescent="0.3">
      <c r="B93" s="364" t="s">
        <v>2767</v>
      </c>
      <c r="C93" s="615">
        <f>C90*(1+'20 DCF Valuation'!$H$11)-$C$92</f>
        <v>221.46325712241753</v>
      </c>
      <c r="D93" s="616">
        <f>D90*(1+'20 DCF Valuation'!$H$11)-$C$92</f>
        <v>399.70257402353252</v>
      </c>
      <c r="E93" s="618">
        <f>E90*(1+'20 DCF Valuation'!$H$11)-$C$92</f>
        <v>87.525340067963</v>
      </c>
    </row>
    <row r="94" spans="2:5" x14ac:dyDescent="0.3">
      <c r="B94" s="364" t="s">
        <v>2768</v>
      </c>
      <c r="C94" s="409">
        <f>(C93+$C$92)/$C$6-1</f>
        <v>-0.34718207486298025</v>
      </c>
      <c r="D94" s="619">
        <f>(D93+$C$92)/$C$6-1</f>
        <v>0.17614308706518855</v>
      </c>
      <c r="E94" s="620">
        <f>(E93+$C$92)/$C$6-1</f>
        <v>-0.74043471602817756</v>
      </c>
    </row>
    <row r="95" spans="2:5" ht="28.2" x14ac:dyDescent="0.3">
      <c r="B95" s="364" t="s">
        <v>2769</v>
      </c>
      <c r="C95" s="410" t="str">
        <f>IF(C94&gt;0.15,"BUY",IF(C94&lt;-0.1,"SELL","HOLD"))</f>
        <v>SELL</v>
      </c>
      <c r="D95" s="407" t="str">
        <f>IF(D94&gt;0.15,"BUY",IF(D94&lt;-0.1,"SELL","HOLD"))</f>
        <v>BUY</v>
      </c>
      <c r="E95" s="364" t="str">
        <f>IF(E94&gt;0.15,"BUY",IF(E94&lt;-0.1,"SELL","HOLD"))</f>
        <v>SELL</v>
      </c>
    </row>
    <row r="96" spans="2:5" x14ac:dyDescent="0.3">
      <c r="B96" s="364" t="s">
        <v>2529</v>
      </c>
      <c r="C96" s="398">
        <v>253.27</v>
      </c>
      <c r="D96" s="621">
        <v>411.47</v>
      </c>
      <c r="E96" s="398">
        <v>96.06</v>
      </c>
    </row>
    <row r="97" spans="2:5" x14ac:dyDescent="0.3">
      <c r="B97" s="364" t="s">
        <v>2530</v>
      </c>
      <c r="C97" s="409">
        <f>'15 Assumptions'!C97</f>
        <v>0.15</v>
      </c>
      <c r="D97" s="619">
        <f>'15 Assumptions'!D97</f>
        <v>0.25</v>
      </c>
      <c r="E97" s="620">
        <f>'15 Assumptions'!E97</f>
        <v>0.1</v>
      </c>
    </row>
    <row r="98" spans="2:5" x14ac:dyDescent="0.3">
      <c r="B98" s="364" t="s">
        <v>2531</v>
      </c>
      <c r="C98" s="409">
        <f>C38/100</f>
        <v>0.28674506464295424</v>
      </c>
      <c r="D98" s="619"/>
      <c r="E98" s="620"/>
    </row>
    <row r="99" spans="2:5" ht="138" x14ac:dyDescent="0.3">
      <c r="B99" s="627" t="s">
        <v>2532</v>
      </c>
      <c r="C99" s="632"/>
      <c r="D99" s="627"/>
      <c r="E99" s="364"/>
    </row>
    <row r="100" spans="2:5" x14ac:dyDescent="0.3">
      <c r="B100" s="402" t="s">
        <v>2747</v>
      </c>
      <c r="C100" s="410"/>
      <c r="D100" s="407"/>
      <c r="E100" s="364"/>
    </row>
    <row r="101" spans="2:5" x14ac:dyDescent="0.3">
      <c r="B101" s="404" t="s">
        <v>2533</v>
      </c>
      <c r="C101" s="404" t="s">
        <v>1683</v>
      </c>
      <c r="D101" s="405" t="s">
        <v>2534</v>
      </c>
      <c r="E101" s="364"/>
    </row>
    <row r="102" spans="2:5" x14ac:dyDescent="0.3">
      <c r="B102" s="364" t="s">
        <v>2535</v>
      </c>
      <c r="C102" s="615">
        <f>C88</f>
        <v>193.52645840684036</v>
      </c>
      <c r="D102" s="619">
        <f t="shared" ref="D102:D110" si="4">C102/$C$6-1</f>
        <v>-0.43179054462303534</v>
      </c>
      <c r="E102" s="364"/>
    </row>
    <row r="103" spans="2:5" x14ac:dyDescent="0.3">
      <c r="B103" s="364" t="s">
        <v>2536</v>
      </c>
      <c r="C103" s="615">
        <f>C90</f>
        <v>202.6305293892587</v>
      </c>
      <c r="D103" s="619">
        <f t="shared" si="4"/>
        <v>-0.40506025018568159</v>
      </c>
      <c r="E103" s="364"/>
    </row>
    <row r="104" spans="2:5" x14ac:dyDescent="0.3">
      <c r="B104" s="364" t="s">
        <v>2537</v>
      </c>
      <c r="C104" s="398">
        <v>253.27</v>
      </c>
      <c r="D104" s="619">
        <f t="shared" si="4"/>
        <v>-0.25637863707096498</v>
      </c>
      <c r="E104" s="364"/>
    </row>
    <row r="105" spans="2:5" x14ac:dyDescent="0.3">
      <c r="B105" s="364" t="s">
        <v>2538</v>
      </c>
      <c r="C105" s="398">
        <v>272.16000000000003</v>
      </c>
      <c r="D105" s="619">
        <f t="shared" si="4"/>
        <v>-0.20091605742975416</v>
      </c>
      <c r="E105" s="364"/>
    </row>
    <row r="106" spans="2:5" x14ac:dyDescent="0.3">
      <c r="B106" s="364" t="s">
        <v>2705</v>
      </c>
      <c r="C106" s="398">
        <v>304.98</v>
      </c>
      <c r="D106" s="619">
        <f t="shared" si="4"/>
        <v>-0.10455386241522058</v>
      </c>
      <c r="E106" s="364"/>
    </row>
    <row r="107" spans="2:5" x14ac:dyDescent="0.3">
      <c r="B107" s="364" t="s">
        <v>2539</v>
      </c>
      <c r="C107" s="398">
        <v>328.85</v>
      </c>
      <c r="D107" s="619">
        <f t="shared" si="4"/>
        <v>-3.4469596876009145E-2</v>
      </c>
      <c r="E107" s="364"/>
    </row>
    <row r="108" spans="2:5" x14ac:dyDescent="0.3">
      <c r="B108" s="364" t="s">
        <v>2540</v>
      </c>
      <c r="C108" s="615">
        <f>MIN(C78:D80)</f>
        <v>299.08181576168278</v>
      </c>
      <c r="D108" s="619">
        <f t="shared" si="4"/>
        <v>-0.12187141207409846</v>
      </c>
      <c r="E108" s="364"/>
    </row>
    <row r="109" spans="2:5" x14ac:dyDescent="0.3">
      <c r="B109" s="364" t="s">
        <v>2541</v>
      </c>
      <c r="C109" s="615">
        <f>MAX(C78:D80)</f>
        <v>359.62740000000002</v>
      </c>
      <c r="D109" s="619">
        <f t="shared" si="4"/>
        <v>5.5895358055139788E-2</v>
      </c>
      <c r="E109" s="364"/>
    </row>
    <row r="110" spans="2:5" x14ac:dyDescent="0.3">
      <c r="B110" s="364" t="s">
        <v>2542</v>
      </c>
      <c r="C110" s="615">
        <f>C6</f>
        <v>340.59</v>
      </c>
      <c r="D110" s="619">
        <f t="shared" si="4"/>
        <v>0</v>
      </c>
      <c r="E110" s="364"/>
    </row>
    <row r="111" spans="2:5" x14ac:dyDescent="0.3">
      <c r="B111" s="364" t="s">
        <v>2543</v>
      </c>
      <c r="C111" s="622">
        <v>193.5265</v>
      </c>
      <c r="D111" s="407" t="str">
        <f>IF(ABS(C111-C88)&lt;0.005,"CURRENT","STALE: rerun the sensitivities")</f>
        <v>CURRENT</v>
      </c>
      <c r="E111" s="364"/>
    </row>
    <row r="112" spans="2:5" ht="124.2" x14ac:dyDescent="0.3">
      <c r="B112" s="627" t="s">
        <v>2706</v>
      </c>
      <c r="C112" s="632"/>
      <c r="D112" s="627"/>
      <c r="E112" s="364"/>
    </row>
    <row r="113" spans="2:5" x14ac:dyDescent="0.3">
      <c r="B113" s="364"/>
      <c r="C113" s="410"/>
      <c r="D113" s="407"/>
      <c r="E113" s="364"/>
    </row>
    <row r="114" spans="2:5" x14ac:dyDescent="0.3">
      <c r="B114" s="402" t="s">
        <v>2748</v>
      </c>
      <c r="C114" s="410"/>
      <c r="D114" s="407"/>
      <c r="E114" s="364"/>
    </row>
    <row r="115" spans="2:5" x14ac:dyDescent="0.3">
      <c r="B115" s="404" t="s">
        <v>2544</v>
      </c>
      <c r="C115" s="404" t="s">
        <v>2545</v>
      </c>
      <c r="D115" s="405" t="s">
        <v>2546</v>
      </c>
      <c r="E115" s="364"/>
    </row>
    <row r="116" spans="2:5" x14ac:dyDescent="0.3">
      <c r="B116" s="364" t="s">
        <v>2547</v>
      </c>
      <c r="C116" s="623"/>
      <c r="D116" s="624">
        <v>48.67</v>
      </c>
      <c r="E116" s="364"/>
    </row>
    <row r="117" spans="2:5" x14ac:dyDescent="0.3">
      <c r="B117" s="364" t="s">
        <v>2548</v>
      </c>
      <c r="C117" s="625">
        <v>-40.94</v>
      </c>
      <c r="D117" s="624">
        <v>51.03</v>
      </c>
      <c r="E117" s="364"/>
    </row>
    <row r="118" spans="2:5" x14ac:dyDescent="0.3">
      <c r="B118" s="364" t="s">
        <v>2549</v>
      </c>
      <c r="C118" s="625">
        <v>-32.6</v>
      </c>
      <c r="D118" s="626"/>
      <c r="E118" s="364"/>
    </row>
    <row r="119" spans="2:5" x14ac:dyDescent="0.3">
      <c r="B119" s="364" t="s">
        <v>2550</v>
      </c>
      <c r="C119" s="625">
        <v>-20.34</v>
      </c>
      <c r="D119" s="626"/>
      <c r="E119" s="364"/>
    </row>
    <row r="120" spans="2:5" x14ac:dyDescent="0.3">
      <c r="B120" s="364" t="s">
        <v>2551</v>
      </c>
      <c r="C120" s="625">
        <v>-19.16</v>
      </c>
      <c r="D120" s="624">
        <v>16.36</v>
      </c>
      <c r="E120" s="364"/>
    </row>
    <row r="121" spans="2:5" x14ac:dyDescent="0.3">
      <c r="B121" s="364" t="s">
        <v>2707</v>
      </c>
      <c r="C121" s="625">
        <v>-17.34</v>
      </c>
      <c r="D121" s="624">
        <v>19.22</v>
      </c>
      <c r="E121" s="364"/>
    </row>
    <row r="122" spans="2:5" x14ac:dyDescent="0.3">
      <c r="B122" s="364" t="s">
        <v>2552</v>
      </c>
      <c r="C122" s="625">
        <v>-12.57</v>
      </c>
      <c r="D122" s="624">
        <v>12.55</v>
      </c>
      <c r="E122" s="364"/>
    </row>
    <row r="123" spans="2:5" x14ac:dyDescent="0.3">
      <c r="B123" s="364" t="s">
        <v>2553</v>
      </c>
      <c r="C123" s="625">
        <v>-9.1300000000000008</v>
      </c>
      <c r="D123" s="624">
        <v>8.61</v>
      </c>
      <c r="E123" s="364"/>
    </row>
    <row r="124" spans="2:5" x14ac:dyDescent="0.3">
      <c r="B124" s="364" t="s">
        <v>2554</v>
      </c>
      <c r="C124" s="625">
        <v>-0.48</v>
      </c>
      <c r="D124" s="626"/>
      <c r="E124" s="364"/>
    </row>
    <row r="125" spans="2:5" x14ac:dyDescent="0.3">
      <c r="B125" s="364" t="s">
        <v>2564</v>
      </c>
      <c r="C125" s="625">
        <v>-8.02</v>
      </c>
      <c r="D125" s="624">
        <v>8.4700000000000006</v>
      </c>
      <c r="E125" s="364"/>
    </row>
    <row r="126" spans="2:5" x14ac:dyDescent="0.3">
      <c r="B126" s="364" t="s">
        <v>2565</v>
      </c>
      <c r="C126" s="625">
        <v>-5.39</v>
      </c>
      <c r="D126" s="624"/>
      <c r="E126" s="364"/>
    </row>
    <row r="127" spans="2:5" x14ac:dyDescent="0.3">
      <c r="B127" s="364" t="s">
        <v>2708</v>
      </c>
      <c r="C127" s="625">
        <v>-5.64</v>
      </c>
      <c r="D127" s="624"/>
    </row>
    <row r="128" spans="2:5" x14ac:dyDescent="0.3">
      <c r="B128" s="402" t="s">
        <v>2770</v>
      </c>
      <c r="C128" s="410"/>
      <c r="D128" s="407"/>
      <c r="E128" s="364"/>
    </row>
    <row r="129" spans="2:5" x14ac:dyDescent="0.3">
      <c r="B129" s="364" t="s">
        <v>2771</v>
      </c>
      <c r="C129" s="615">
        <f>(C93+$C$92)/0.9</f>
        <v>247.0480634693528</v>
      </c>
      <c r="D129" s="616"/>
      <c r="E129" s="618"/>
    </row>
    <row r="130" spans="2:5" x14ac:dyDescent="0.3">
      <c r="B130" s="364" t="s">
        <v>2772</v>
      </c>
      <c r="C130" s="615">
        <f>(C93+$C$92)/1.15</f>
        <v>193.34196271514568</v>
      </c>
      <c r="D130" s="616"/>
      <c r="E130" s="618"/>
    </row>
    <row r="131" spans="2:5" x14ac:dyDescent="0.3">
      <c r="B131" s="364" t="s">
        <v>2655</v>
      </c>
      <c r="C131" s="615">
        <f>$C$6*0.9/(1+'20 DCF Valuation'!$H$11)</f>
        <v>279.35427234485911</v>
      </c>
      <c r="D131" s="616"/>
      <c r="E131" s="618"/>
    </row>
    <row r="132" spans="2:5" x14ac:dyDescent="0.3">
      <c r="B132" s="364" t="s">
        <v>2656</v>
      </c>
      <c r="C132" s="615">
        <f>$C$6*1.15/(1+'20 DCF Valuation'!$H$11)</f>
        <v>356.95268132954209</v>
      </c>
      <c r="D132" s="616"/>
      <c r="E132" s="618"/>
    </row>
    <row r="133" spans="2:5" ht="151.80000000000001" x14ac:dyDescent="0.3">
      <c r="B133" s="627" t="s">
        <v>2773</v>
      </c>
      <c r="C133" s="632"/>
      <c r="D133" s="627"/>
      <c r="E133" s="364"/>
    </row>
  </sheetData>
  <mergeCells count="5">
    <mergeCell ref="B30:E30"/>
    <mergeCell ref="B31:E31"/>
    <mergeCell ref="B52:E52"/>
    <mergeCell ref="B53:E53"/>
    <mergeCell ref="B41:E41"/>
  </mergeCells>
  <printOptions horizontalCentered="1"/>
  <pageMargins left="0.30000000000000004" right="0.30000000000000004" top="0.41666666666666669" bottom="0.41666666666666669" header="0.19444444444444445" footer="0.19444444444444445"/>
  <pageSetup scale="73"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7A5C"/>
    <pageSetUpPr fitToPage="1"/>
  </sheetPr>
  <dimension ref="B1:L38"/>
  <sheetViews>
    <sheetView showGridLines="0" workbookViewId="0">
      <pane xSplit="2" ySplit="5" topLeftCell="C25" activePane="bottomRight" state="frozen"/>
      <selection pane="topRight" activeCell="C1" sqref="C1"/>
      <selection pane="bottomLeft" activeCell="A6" sqref="A6"/>
      <selection pane="bottomRight" activeCell="B38" sqref="B38"/>
    </sheetView>
  </sheetViews>
  <sheetFormatPr defaultRowHeight="14.4" x14ac:dyDescent="0.3"/>
  <cols>
    <col min="1" max="1" width="3.33203125" customWidth="1"/>
    <col min="2" max="2" width="14" customWidth="1"/>
    <col min="3" max="5" width="16" customWidth="1"/>
    <col min="6" max="12" width="14" customWidth="1"/>
  </cols>
  <sheetData>
    <row r="1" spans="2:12" ht="6" customHeight="1" x14ac:dyDescent="0.3"/>
    <row r="2" spans="2:12" ht="28.05" customHeight="1" thickBot="1" x14ac:dyDescent="0.45">
      <c r="B2" s="396" t="s">
        <v>1814</v>
      </c>
      <c r="C2" s="396"/>
      <c r="D2" s="396"/>
      <c r="E2" s="396"/>
      <c r="F2" s="396"/>
      <c r="G2" s="396"/>
      <c r="H2" s="396"/>
      <c r="I2" s="396"/>
      <c r="J2" s="396"/>
      <c r="K2" s="396"/>
      <c r="L2" s="396"/>
    </row>
    <row r="3" spans="2:12" ht="15" thickBot="1" x14ac:dyDescent="0.35">
      <c r="B3" s="80" t="s">
        <v>2739</v>
      </c>
      <c r="C3" s="4"/>
      <c r="D3" s="4"/>
      <c r="E3" s="4"/>
      <c r="F3" s="4"/>
      <c r="G3" s="4"/>
      <c r="H3" s="4"/>
      <c r="I3" s="4"/>
      <c r="J3" s="4"/>
      <c r="K3" s="4"/>
      <c r="L3" s="4"/>
    </row>
    <row r="4" spans="2:12" x14ac:dyDescent="0.3">
      <c r="B4" s="1"/>
      <c r="C4" s="1"/>
      <c r="D4" s="1"/>
      <c r="E4" s="1"/>
      <c r="F4" s="1"/>
      <c r="G4" s="1"/>
      <c r="H4" s="1"/>
      <c r="I4" s="1"/>
      <c r="J4" s="1"/>
      <c r="K4" s="1"/>
      <c r="L4" s="1"/>
    </row>
    <row r="5" spans="2:12" ht="18" customHeight="1" x14ac:dyDescent="0.3">
      <c r="B5" s="128" t="s">
        <v>212</v>
      </c>
      <c r="C5" s="129" t="s">
        <v>213</v>
      </c>
      <c r="D5" s="129" t="s">
        <v>214</v>
      </c>
      <c r="E5" s="129" t="s">
        <v>215</v>
      </c>
      <c r="F5" s="129" t="s">
        <v>216</v>
      </c>
      <c r="G5" s="129" t="s">
        <v>217</v>
      </c>
      <c r="H5" s="129" t="s">
        <v>218</v>
      </c>
      <c r="I5" s="129" t="s">
        <v>219</v>
      </c>
      <c r="J5" s="129" t="s">
        <v>220</v>
      </c>
      <c r="K5" s="129" t="s">
        <v>221</v>
      </c>
      <c r="L5" s="129" t="s">
        <v>222</v>
      </c>
    </row>
    <row r="6" spans="2:12" x14ac:dyDescent="0.3">
      <c r="B6" s="93" t="s">
        <v>223</v>
      </c>
      <c r="C6" s="238">
        <f>'11 Valuation'!C6</f>
        <v>340.59</v>
      </c>
      <c r="D6" s="95">
        <f>'11 Valuation'!C7</f>
        <v>4165415.6999999997</v>
      </c>
      <c r="E6" s="238">
        <f>'11 Valuation'!C11</f>
        <v>17.089312594079278</v>
      </c>
      <c r="F6" s="238">
        <f>'07 Consensus'!C70</f>
        <v>25.56</v>
      </c>
      <c r="G6" s="238">
        <f>'11 Valuation'!C17</f>
        <v>22.648877852659588</v>
      </c>
      <c r="H6" s="414">
        <f>'11 Valuation'!C33</f>
        <v>1.86</v>
      </c>
      <c r="I6" s="238">
        <f>'11 Valuation'!C18</f>
        <v>78.189996808890058</v>
      </c>
      <c r="J6" s="95">
        <f>'11 Valuation'!C23</f>
        <v>53273</v>
      </c>
      <c r="K6" s="95">
        <f>'11 Valuation'!C25</f>
        <v>132402</v>
      </c>
      <c r="L6" s="414">
        <f>'11 Valuation'!C39</f>
        <v>24.93</v>
      </c>
    </row>
    <row r="7" spans="2:12" x14ac:dyDescent="0.3">
      <c r="B7" s="96" t="s">
        <v>224</v>
      </c>
      <c r="C7" s="178">
        <v>529.04999999999995</v>
      </c>
      <c r="D7" s="97">
        <v>3930000</v>
      </c>
      <c r="E7" s="178">
        <v>29.47</v>
      </c>
      <c r="F7" s="178">
        <v>26.75</v>
      </c>
      <c r="G7" s="178">
        <v>20.49</v>
      </c>
      <c r="H7" s="178">
        <v>1.7</v>
      </c>
      <c r="I7" s="178">
        <v>58.65</v>
      </c>
      <c r="J7" s="97">
        <v>66990</v>
      </c>
      <c r="K7" s="97">
        <v>115950</v>
      </c>
      <c r="L7" s="239">
        <v>26.18</v>
      </c>
    </row>
    <row r="8" spans="2:12" x14ac:dyDescent="0.3">
      <c r="B8" s="99" t="s">
        <v>225</v>
      </c>
      <c r="C8" s="119">
        <v>709.33</v>
      </c>
      <c r="D8" s="100">
        <v>1810000</v>
      </c>
      <c r="E8" s="119">
        <v>26.73</v>
      </c>
      <c r="F8" s="119">
        <v>22.19</v>
      </c>
      <c r="G8" s="119">
        <v>16.68</v>
      </c>
      <c r="H8" s="119">
        <v>1.1299999999999999</v>
      </c>
      <c r="I8" s="119">
        <v>44.1</v>
      </c>
      <c r="J8" s="100">
        <v>40980</v>
      </c>
      <c r="K8" s="100">
        <v>89330</v>
      </c>
      <c r="L8" s="240">
        <v>25.4</v>
      </c>
    </row>
    <row r="9" spans="2:12" x14ac:dyDescent="0.3">
      <c r="B9" s="96" t="s">
        <v>226</v>
      </c>
      <c r="C9" s="178">
        <v>250</v>
      </c>
      <c r="D9" s="97">
        <v>2700000</v>
      </c>
      <c r="E9" s="178">
        <v>20.100000000000001</v>
      </c>
      <c r="F9" s="178">
        <v>26.58</v>
      </c>
      <c r="G9" s="178">
        <v>16.73</v>
      </c>
      <c r="H9" s="178">
        <v>1.28</v>
      </c>
      <c r="I9" s="241"/>
      <c r="J9" s="609">
        <v>-7604</v>
      </c>
      <c r="K9" s="609">
        <v>169007</v>
      </c>
      <c r="L9" s="239">
        <v>11.94</v>
      </c>
    </row>
    <row r="10" spans="2:12" x14ac:dyDescent="0.3">
      <c r="B10" s="99" t="s">
        <v>227</v>
      </c>
      <c r="C10" s="119">
        <v>343.46</v>
      </c>
      <c r="D10" s="100">
        <v>5010000</v>
      </c>
      <c r="E10" s="119">
        <v>39.4</v>
      </c>
      <c r="F10" s="119">
        <v>37.340000000000003</v>
      </c>
      <c r="G10" s="119">
        <v>29.47</v>
      </c>
      <c r="H10" s="119">
        <v>3.36</v>
      </c>
      <c r="I10" s="119">
        <v>36.67</v>
      </c>
      <c r="J10" s="100">
        <v>136680</v>
      </c>
      <c r="K10" s="100">
        <v>10040</v>
      </c>
      <c r="L10" s="240">
        <v>101.57</v>
      </c>
    </row>
    <row r="11" spans="2:12" x14ac:dyDescent="0.3">
      <c r="B11" s="96" t="s">
        <v>228</v>
      </c>
      <c r="C11" s="178">
        <v>214.13</v>
      </c>
      <c r="D11" s="97">
        <v>5170000</v>
      </c>
      <c r="E11" s="178">
        <v>27.08</v>
      </c>
      <c r="F11" s="178">
        <v>17.7</v>
      </c>
      <c r="G11" s="178">
        <v>25.57</v>
      </c>
      <c r="H11" s="178">
        <v>0.35</v>
      </c>
      <c r="I11" s="178">
        <v>40.71</v>
      </c>
      <c r="J11" s="97">
        <v>127010</v>
      </c>
      <c r="K11" s="97">
        <v>7350</v>
      </c>
      <c r="L11" s="239">
        <v>92.03</v>
      </c>
    </row>
    <row r="12" spans="2:12" x14ac:dyDescent="0.3">
      <c r="B12" s="1"/>
      <c r="C12" s="1"/>
      <c r="D12" s="1"/>
      <c r="E12" s="1"/>
      <c r="F12" s="1"/>
      <c r="G12" s="1"/>
      <c r="H12" s="1"/>
      <c r="I12" s="1"/>
      <c r="J12" s="1"/>
      <c r="K12" s="1"/>
      <c r="L12" s="1"/>
    </row>
    <row r="13" spans="2:12" x14ac:dyDescent="0.3">
      <c r="B13" s="170" t="s">
        <v>2740</v>
      </c>
      <c r="C13" s="170"/>
      <c r="D13" s="170"/>
      <c r="E13" s="170"/>
      <c r="F13" s="170"/>
      <c r="G13" s="170"/>
      <c r="H13" s="170"/>
      <c r="I13" s="170"/>
      <c r="J13" s="170"/>
      <c r="K13" s="170"/>
      <c r="L13" s="170"/>
    </row>
    <row r="14" spans="2:12" ht="18" customHeight="1" x14ac:dyDescent="0.3">
      <c r="B14" s="128" t="s">
        <v>212</v>
      </c>
      <c r="C14" s="610">
        <v>46199</v>
      </c>
      <c r="D14" s="129" t="s">
        <v>229</v>
      </c>
      <c r="E14" s="129" t="s">
        <v>849</v>
      </c>
      <c r="F14" s="610">
        <v>46311</v>
      </c>
      <c r="G14" s="129" t="s">
        <v>2473</v>
      </c>
      <c r="H14" s="16"/>
      <c r="I14" s="16"/>
      <c r="J14" s="16"/>
      <c r="K14" s="16"/>
      <c r="L14" s="16"/>
    </row>
    <row r="15" spans="2:12" x14ac:dyDescent="0.3">
      <c r="B15" s="242" t="s">
        <v>223</v>
      </c>
      <c r="C15" s="243">
        <v>337.39</v>
      </c>
      <c r="D15" s="243">
        <v>332.13</v>
      </c>
      <c r="E15" s="244">
        <f t="shared" ref="E15:E20" si="0">(D15/C15-1)*100</f>
        <v>-1.5590266457215618</v>
      </c>
      <c r="F15" s="243">
        <f>C6</f>
        <v>340.59</v>
      </c>
      <c r="G15" s="244">
        <f t="shared" ref="G15:G20" si="1">(F15/C15-1)*100</f>
        <v>0.9484572749636877</v>
      </c>
      <c r="H15" s="155"/>
      <c r="I15" s="155"/>
      <c r="J15" s="155"/>
      <c r="K15" s="155"/>
      <c r="L15" s="155"/>
    </row>
    <row r="16" spans="2:12" x14ac:dyDescent="0.3">
      <c r="B16" s="96" t="s">
        <v>224</v>
      </c>
      <c r="C16" s="178">
        <v>372.97</v>
      </c>
      <c r="D16" s="178">
        <v>490.83</v>
      </c>
      <c r="E16" s="187">
        <f t="shared" si="0"/>
        <v>31.600396814757215</v>
      </c>
      <c r="F16" s="178">
        <f>C7</f>
        <v>529.04999999999995</v>
      </c>
      <c r="G16" s="187">
        <f t="shared" si="1"/>
        <v>41.847869801860725</v>
      </c>
      <c r="H16" s="157"/>
      <c r="I16" s="157"/>
      <c r="J16" s="157"/>
      <c r="K16" s="157"/>
      <c r="L16" s="157"/>
    </row>
    <row r="17" spans="2:12" x14ac:dyDescent="0.3">
      <c r="B17" s="99" t="s">
        <v>225</v>
      </c>
      <c r="C17" s="119">
        <v>550.25</v>
      </c>
      <c r="D17" s="119">
        <v>647.48</v>
      </c>
      <c r="E17" s="186">
        <f t="shared" si="0"/>
        <v>17.670149931849167</v>
      </c>
      <c r="F17" s="119">
        <f>C8</f>
        <v>709.33</v>
      </c>
      <c r="G17" s="186">
        <f t="shared" si="1"/>
        <v>28.910495229441182</v>
      </c>
      <c r="H17" s="155"/>
      <c r="I17" s="155"/>
      <c r="J17" s="155"/>
      <c r="K17" s="155"/>
      <c r="L17" s="155"/>
    </row>
    <row r="18" spans="2:12" x14ac:dyDescent="0.3">
      <c r="B18" s="96" t="s">
        <v>227</v>
      </c>
      <c r="C18" s="178">
        <v>283.77999999999997</v>
      </c>
      <c r="D18" s="178">
        <v>324.12</v>
      </c>
      <c r="E18" s="187">
        <f t="shared" si="0"/>
        <v>14.215237155543047</v>
      </c>
      <c r="F18" s="178">
        <f>C10</f>
        <v>343.46</v>
      </c>
      <c r="G18" s="187">
        <f t="shared" si="1"/>
        <v>21.030375643103817</v>
      </c>
      <c r="H18" s="157"/>
      <c r="I18" s="157"/>
      <c r="J18" s="157"/>
      <c r="K18" s="157"/>
      <c r="L18" s="157"/>
    </row>
    <row r="19" spans="2:12" x14ac:dyDescent="0.3">
      <c r="B19" s="99" t="s">
        <v>228</v>
      </c>
      <c r="C19" s="119">
        <v>192.53</v>
      </c>
      <c r="D19" s="119">
        <v>217.95</v>
      </c>
      <c r="E19" s="186">
        <f t="shared" si="0"/>
        <v>13.203137173427514</v>
      </c>
      <c r="F19" s="119">
        <f>C11</f>
        <v>214.13</v>
      </c>
      <c r="G19" s="186">
        <f t="shared" si="1"/>
        <v>11.219030800394748</v>
      </c>
      <c r="H19" s="155"/>
      <c r="I19" s="155"/>
      <c r="J19" s="155"/>
      <c r="K19" s="155"/>
      <c r="L19" s="155"/>
    </row>
    <row r="20" spans="2:12" x14ac:dyDescent="0.3">
      <c r="B20" s="96" t="s">
        <v>226</v>
      </c>
      <c r="C20" s="178">
        <v>232.69</v>
      </c>
      <c r="D20" s="178">
        <v>252.05</v>
      </c>
      <c r="E20" s="187">
        <f t="shared" si="0"/>
        <v>8.3200825132150094</v>
      </c>
      <c r="F20" s="178">
        <f>C9</f>
        <v>250</v>
      </c>
      <c r="G20" s="187">
        <f t="shared" si="1"/>
        <v>7.4390820404830471</v>
      </c>
      <c r="H20" s="157"/>
      <c r="I20" s="157"/>
      <c r="J20" s="157"/>
      <c r="K20" s="157"/>
      <c r="L20" s="157"/>
    </row>
    <row r="21" spans="2:12" x14ac:dyDescent="0.3">
      <c r="B21" s="1"/>
      <c r="C21" s="1"/>
      <c r="D21" s="1"/>
      <c r="E21" s="1"/>
      <c r="F21" s="1"/>
      <c r="G21" s="1"/>
      <c r="H21" s="1"/>
      <c r="I21" s="1"/>
      <c r="J21" s="1"/>
      <c r="K21" s="1"/>
      <c r="L21" s="1"/>
    </row>
    <row r="22" spans="2:12" x14ac:dyDescent="0.3">
      <c r="B22" s="130" t="s">
        <v>30</v>
      </c>
      <c r="C22" s="131"/>
      <c r="D22" s="131"/>
      <c r="E22" s="131"/>
      <c r="F22" s="131"/>
      <c r="G22" s="131"/>
      <c r="H22" s="131"/>
      <c r="I22" s="131"/>
      <c r="J22" s="131"/>
      <c r="K22" s="131"/>
      <c r="L22" s="131"/>
    </row>
    <row r="23" spans="2:12" ht="49.95" customHeight="1" x14ac:dyDescent="0.3">
      <c r="B23" s="659" t="s">
        <v>2741</v>
      </c>
      <c r="C23" s="659"/>
      <c r="D23" s="659"/>
      <c r="E23" s="659"/>
      <c r="F23" s="659"/>
      <c r="G23" s="659"/>
      <c r="H23" s="659"/>
      <c r="I23" s="659"/>
      <c r="J23" s="659"/>
      <c r="K23" s="659"/>
      <c r="L23" s="659"/>
    </row>
    <row r="24" spans="2:12" ht="91.95" customHeight="1" x14ac:dyDescent="0.3">
      <c r="B24" s="659" t="str">
        <f>"•  READ 1: THE REPORTED P/E IS NOT A LIKE-FOR-LIKE COMPARISON, FOR ALPHABET OR FOR AMAZON. On trailing reported earnings GOOGL ("&amp;TEXT($E$6,"0.0")&amp;"x) and AMZN ("&amp;TEXT($E$9,"0.0")&amp;"x) screen as the two cheapest names, and both carry large non-operating income: "&amp;TEXT($E$32,"0")&amp;"% of Alphabet's pretax income and "&amp;TEXT($E$35,"0")&amp;"% of Amazon's, against "&amp;TEXT(MAX($E$33,$E$34,$E$36,$E$37),"0")&amp;"% or less for the other four. "&amp;"Measured the same way for all six, on market value to after-tax operating income (rows 32-37), GOOGL is at "&amp;TEXT($H$32,"0.0")&amp;"x, "&amp;CHOOSE(RANK($H$32,$H$32:$H$37),"the dearest","the second dearest","the third dearest","fourth","fifth","the cheapest")&amp;" of the six (AAPL "&amp;TEXT($H$36,"0.0")&amp;"x, AMZN "&amp;TEXT($H$35,"0.0")&amp;"x, NVDA "&amp;TEXT($H$37,"0.0")&amp;"x, MSFT "&amp;TEXT($H$33,"0.0")&amp;"x, META "&amp;TEXT($H$34,"0.0")&amp;"x). "&amp;"On the provider's forward P/E (its earnings basis is not stated), GOOGL is at "&amp;TEXT($F$6,"0.0")&amp;"x against a peer median of "&amp;TEXT(MEDIAN($F$7:$F$11),"0.0")&amp;"x."</f>
        <v>•  READ 1: THE REPORTED P/E IS NOT A LIKE-FOR-LIKE COMPARISON, FOR ALPHABET OR FOR AMAZON. On trailing reported earnings GOOGL (17.1x) and AMZN (20.1x) screen as the two cheapest names, and both carry large non-operating income: 51% of Alphabet's pretax income and 46% of Amazon's, against 14% or less for the other four. Measured the same way for all six, on market value to after-tax operating income (rows 32-37), GOOGL is at 34.6x, the third dearest of the six (AAPL 39.1x, AMZN 37.2x, NVDA 31.2x, MSFT 31.4x, META 26.8x). On the provider's forward P/E (its earnings basis is not stated), GOOGL is at 25.6x against a peer median of 26.6x.</v>
      </c>
      <c r="C24" s="659"/>
      <c r="D24" s="659"/>
      <c r="E24" s="659"/>
      <c r="F24" s="659"/>
      <c r="G24" s="659"/>
      <c r="H24" s="659"/>
      <c r="I24" s="659"/>
      <c r="J24" s="659"/>
      <c r="K24" s="659"/>
      <c r="L24" s="659"/>
    </row>
    <row r="25" spans="2:12" ht="49.95" customHeight="1" x14ac:dyDescent="0.3">
      <c r="B25" s="659" t="str">
        <f>"•  READ 2: negative free cash flow is a COHORT FEATURE, not an Alphabet failure. Amazon's TTM FCF is "&amp;"NEGATIVE "&amp;TEXT(-$J$9,"#,##0")&amp;" on "&amp;TEXT($K$9,"#,##0")&amp;" of capex, worse than Alphabet's "&amp;"positive "&amp;TEXT($J$6,"#,##0")&amp;". A bear case has to argue Alphabet's conversion is worse than the cohort's, not merely that it is falling."&amp;" (Amazon on its own net-capex basis, Q2 8-K: OCF 161,403 less net capex 169,007; corrected 2026-10-07 from gross purchases of 173,030.)"</f>
        <v>•  READ 2: negative free cash flow is a COHORT FEATURE, not an Alphabet failure. Amazon's TTM FCF is NEGATIVE 7,604 on 169,007 of capex, worse than Alphabet's positive 53,273. A bear case has to argue Alphabet's conversion is worse than the cohort's, not merely that it is falling. (Amazon on its own net-capex basis, Q2 8-K: OCF 161,403 less net capex 169,007; corrected 2026-10-07 from gross purchases of 173,030.)</v>
      </c>
      <c r="C25" s="660"/>
      <c r="D25" s="660"/>
      <c r="E25" s="660"/>
      <c r="F25" s="660"/>
      <c r="G25" s="660"/>
      <c r="H25" s="660"/>
      <c r="I25" s="660"/>
      <c r="J25" s="660"/>
      <c r="K25" s="660"/>
      <c r="L25" s="660"/>
    </row>
    <row r="26" spans="2:12" ht="43.95" customHeight="1" x14ac:dyDescent="0.3">
      <c r="B26" s="659" t="str">
        <f>"•  READ 3: the capital-light names hold the cash. NVDA generates "&amp;TEXT($J$11,"#,##0")&amp;" of FCF on "&amp;TEXT($K$11,"#,##0")&amp;" of capex; "&amp;"AAPL "&amp;TEXT($J$10,"#,##0")&amp;" on "&amp;TEXT($K$10,"#,##0")&amp;". NVDA is now the largest company at "&amp;"$"&amp;TEXT($D$11/1000000,"0.00")&amp;"T"&amp;". The hyperscaler cohort is transferring free cash flow to its suppliers."</f>
        <v>•  READ 3: the capital-light names hold the cash. NVDA generates 127,010 of FCF on 7,350 of capex; AAPL 136,680 on 10,040. NVDA is now the largest company at $5.17T. The hyperscaler cohort is transferring free cash flow to its suppliers.</v>
      </c>
      <c r="C26" s="660"/>
      <c r="D26" s="660"/>
      <c r="E26" s="660"/>
      <c r="F26" s="660"/>
      <c r="G26" s="660"/>
      <c r="H26" s="660"/>
      <c r="I26" s="660"/>
      <c r="J26" s="660"/>
      <c r="K26" s="660"/>
      <c r="L26" s="660"/>
    </row>
    <row r="27" spans="2:12" ht="34.049999999999997" customHeight="1" x14ac:dyDescent="0.3">
      <c r="B27" s="659" t="str">
        <f>"•  READ 4: over the eleven weeks to Sep 10, GOOGL was the ONLY mega-cap to fall, against a quarter that delivered "&amp;"+"&amp;TEXT('02 Quarterly'!$E$23,"0")&amp;"% revenue and +"&amp;TEXT('02 Quarterly'!$E$28,"0")&amp;"% operating income"&amp;"."</f>
        <v>•  READ 4: over the eleven weeks to Sep 10, GOOGL was the ONLY mega-cap to fall, against a quarter that delivered +24% revenue and +30% operating income.</v>
      </c>
      <c r="C27" s="660"/>
      <c r="D27" s="660"/>
      <c r="E27" s="660"/>
      <c r="F27" s="660"/>
      <c r="G27" s="660"/>
      <c r="H27" s="660"/>
      <c r="I27" s="660"/>
      <c r="J27" s="660"/>
      <c r="K27" s="660"/>
      <c r="L27" s="660"/>
    </row>
    <row r="28" spans="2:12" ht="76.05" customHeight="1" x14ac:dyDescent="0.3">
      <c r="B28" s="667" t="str">
        <f>"•  READ 5: ROIC on the provider's basis is "&amp;TEXT($L$6,"0.00")&amp;"%, below MSFT ("&amp;TEXT($L$7,"0.00")&amp;") and META ("&amp;TEXT($L$8,"0.00")&amp;") as the capex build arrives in the denominator, while AAPL ("&amp;TEXT($L$10,"0.00")&amp;") and NVDA ("&amp;TEXT($L$11,"0.00")&amp;") operate on a fraction of the invested capital. The PEG of "&amp;TEXT($H$6,"0.00")&amp;" is the provider's figure. What the incremental capital earns is the question the model has to answer."</f>
        <v>•  READ 5: ROIC on the provider's basis is 24.93%, below MSFT (26.18) and META (25.40) as the capex build arrives in the denominator, while AAPL (101.57) and NVDA (92.03) operate on a fraction of the invested capital. The PEG of 1.86 is the provider's figure. What the incremental capital earns is the question the model has to answer.</v>
      </c>
      <c r="C28" s="667"/>
      <c r="D28" s="667"/>
      <c r="E28" s="667"/>
      <c r="F28" s="667"/>
      <c r="G28" s="667"/>
      <c r="H28" s="667"/>
      <c r="I28" s="667"/>
      <c r="J28" s="667"/>
      <c r="K28" s="667"/>
      <c r="L28" s="667"/>
    </row>
    <row r="30" spans="2:12" x14ac:dyDescent="0.3">
      <c r="B30" s="170" t="s">
        <v>2505</v>
      </c>
    </row>
    <row r="31" spans="2:12" ht="52.8" x14ac:dyDescent="0.3">
      <c r="B31" s="128" t="s">
        <v>212</v>
      </c>
      <c r="C31" s="129" t="s">
        <v>2506</v>
      </c>
      <c r="D31" s="129" t="s">
        <v>2507</v>
      </c>
      <c r="E31" s="129" t="s">
        <v>2508</v>
      </c>
      <c r="F31" s="129" t="s">
        <v>26</v>
      </c>
      <c r="G31" s="129" t="s">
        <v>2509</v>
      </c>
      <c r="H31" s="129" t="s">
        <v>2510</v>
      </c>
      <c r="I31" s="129" t="s">
        <v>2511</v>
      </c>
    </row>
    <row r="32" spans="2:12" x14ac:dyDescent="0.3">
      <c r="B32" s="96" t="s">
        <v>223</v>
      </c>
      <c r="C32" s="613">
        <f>'01 Income Statement'!G12</f>
        <v>147628</v>
      </c>
      <c r="D32" s="613">
        <f>'01 Income Statement'!G15</f>
        <v>299269</v>
      </c>
      <c r="E32" s="614">
        <f t="shared" ref="E32:E37" si="2">(D32-C32)/D32*100</f>
        <v>50.670467038015964</v>
      </c>
      <c r="F32" s="614">
        <f>'01 Income Statement'!G17</f>
        <v>18.399500115280901</v>
      </c>
      <c r="G32" s="613">
        <f t="shared" ref="G32:G37" si="3">C32*(1-F32/100)</f>
        <v>120465.18596981312</v>
      </c>
      <c r="H32" s="614">
        <f t="shared" ref="H32:H37" si="4">D6/G32</f>
        <v>34.577755112118403</v>
      </c>
      <c r="I32" s="612">
        <v>27.39</v>
      </c>
    </row>
    <row r="33" spans="2:9" x14ac:dyDescent="0.3">
      <c r="B33" s="96" t="s">
        <v>224</v>
      </c>
      <c r="C33" s="357">
        <v>155240</v>
      </c>
      <c r="D33" s="357">
        <v>165930</v>
      </c>
      <c r="E33" s="614">
        <f t="shared" si="2"/>
        <v>6.4424757427831016</v>
      </c>
      <c r="F33" s="612">
        <v>19.399999999999999</v>
      </c>
      <c r="G33" s="613">
        <f t="shared" si="3"/>
        <v>125123.44</v>
      </c>
      <c r="H33" s="614">
        <f t="shared" si="4"/>
        <v>31.408983001106748</v>
      </c>
      <c r="I33" s="612">
        <v>25.64</v>
      </c>
    </row>
    <row r="34" spans="2:9" x14ac:dyDescent="0.3">
      <c r="B34" s="96" t="s">
        <v>225</v>
      </c>
      <c r="C34" s="357">
        <v>86930</v>
      </c>
      <c r="D34" s="357">
        <v>87520</v>
      </c>
      <c r="E34" s="614">
        <f t="shared" si="2"/>
        <v>0.67413162705667273</v>
      </c>
      <c r="F34" s="612">
        <v>22.2</v>
      </c>
      <c r="G34" s="613">
        <f t="shared" si="3"/>
        <v>67631.540000000008</v>
      </c>
      <c r="H34" s="614">
        <f t="shared" si="4"/>
        <v>26.762661326357492</v>
      </c>
      <c r="I34" s="612">
        <v>21.04</v>
      </c>
    </row>
    <row r="35" spans="2:9" x14ac:dyDescent="0.3">
      <c r="B35" s="96" t="s">
        <v>226</v>
      </c>
      <c r="C35" s="357">
        <v>93710</v>
      </c>
      <c r="D35" s="357">
        <v>174900</v>
      </c>
      <c r="E35" s="614">
        <f t="shared" si="2"/>
        <v>46.420811892510002</v>
      </c>
      <c r="F35" s="612">
        <v>22.65</v>
      </c>
      <c r="G35" s="613">
        <f t="shared" si="3"/>
        <v>72484.685000000012</v>
      </c>
      <c r="H35" s="614">
        <f t="shared" si="4"/>
        <v>37.249247892847983</v>
      </c>
      <c r="I35" s="612">
        <v>30.15</v>
      </c>
    </row>
    <row r="36" spans="2:9" x14ac:dyDescent="0.3">
      <c r="B36" s="96" t="s">
        <v>227</v>
      </c>
      <c r="C36" s="357">
        <v>154860</v>
      </c>
      <c r="D36" s="357">
        <v>155910</v>
      </c>
      <c r="E36" s="614">
        <f t="shared" si="2"/>
        <v>0.67346546084279391</v>
      </c>
      <c r="F36" s="612">
        <v>17.3</v>
      </c>
      <c r="G36" s="613">
        <f t="shared" si="3"/>
        <v>128069.21999999999</v>
      </c>
      <c r="H36" s="614">
        <f t="shared" si="4"/>
        <v>39.119469924155084</v>
      </c>
      <c r="I36" s="612">
        <v>31.97</v>
      </c>
    </row>
    <row r="37" spans="2:9" x14ac:dyDescent="0.3">
      <c r="B37" s="96" t="s">
        <v>228</v>
      </c>
      <c r="C37" s="357">
        <v>197580</v>
      </c>
      <c r="D37" s="357">
        <v>229740</v>
      </c>
      <c r="E37" s="614">
        <f t="shared" si="2"/>
        <v>13.998433011230086</v>
      </c>
      <c r="F37" s="612">
        <v>16.05</v>
      </c>
      <c r="G37" s="613">
        <f t="shared" si="3"/>
        <v>165868.41</v>
      </c>
      <c r="H37" s="614">
        <f t="shared" si="4"/>
        <v>31.169286544677192</v>
      </c>
      <c r="I37" s="612">
        <v>26.05</v>
      </c>
    </row>
    <row r="38" spans="2:9" ht="409.6" x14ac:dyDescent="0.3">
      <c r="B38" s="611" t="s">
        <v>2742</v>
      </c>
    </row>
  </sheetData>
  <mergeCells count="6">
    <mergeCell ref="B28:L28"/>
    <mergeCell ref="B23:L23"/>
    <mergeCell ref="B27:L27"/>
    <mergeCell ref="B26:L26"/>
    <mergeCell ref="B25:L25"/>
    <mergeCell ref="B24:L24"/>
  </mergeCells>
  <printOptions horizontalCentered="1"/>
  <pageMargins left="0.30000000000000004" right="0.30000000000000004" top="0.41666666666666669" bottom="0.41666666666666669" header="0.19444444444444445" footer="0.19444444444444445"/>
  <pageSetup scale="82"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7A5C"/>
    <pageSetUpPr fitToPage="1"/>
  </sheetPr>
  <dimension ref="B1:H40"/>
  <sheetViews>
    <sheetView showGridLines="0" workbookViewId="0">
      <pane xSplit="2" ySplit="5" topLeftCell="C39" activePane="bottomRight" state="frozen"/>
      <selection pane="topRight" activeCell="C1" sqref="C1"/>
      <selection pane="bottomLeft" activeCell="A6" sqref="A6"/>
      <selection pane="bottomRight" activeCell="C29" sqref="C29:H29"/>
    </sheetView>
  </sheetViews>
  <sheetFormatPr defaultRowHeight="14.4" x14ac:dyDescent="0.3"/>
  <cols>
    <col min="1" max="1" width="3.33203125" customWidth="1"/>
    <col min="2" max="2" width="42" customWidth="1"/>
    <col min="3" max="3" width="18.109375" bestFit="1" customWidth="1"/>
    <col min="4" max="7" width="16" customWidth="1"/>
    <col min="8" max="8" width="6.77734375" bestFit="1" customWidth="1"/>
  </cols>
  <sheetData>
    <row r="1" spans="2:8" ht="6" customHeight="1" x14ac:dyDescent="0.3"/>
    <row r="2" spans="2:8" ht="28.05" customHeight="1" x14ac:dyDescent="0.4">
      <c r="B2" s="394" t="s">
        <v>1815</v>
      </c>
      <c r="C2" s="1"/>
      <c r="D2" s="1"/>
      <c r="E2" s="1"/>
      <c r="F2" s="1"/>
      <c r="G2" s="1"/>
      <c r="H2" s="1"/>
    </row>
    <row r="3" spans="2:8" ht="40.049999999999997" customHeight="1" thickBot="1" x14ac:dyDescent="0.35">
      <c r="B3" s="301" t="s">
        <v>2425</v>
      </c>
      <c r="C3" s="4"/>
      <c r="D3" s="4"/>
      <c r="E3" s="4"/>
      <c r="F3" s="4"/>
      <c r="G3" s="4"/>
      <c r="H3" s="4"/>
    </row>
    <row r="4" spans="2:8" x14ac:dyDescent="0.3">
      <c r="B4" s="1"/>
      <c r="C4" s="1"/>
      <c r="D4" s="1"/>
      <c r="E4" s="1"/>
      <c r="F4" s="1"/>
      <c r="G4" s="1"/>
      <c r="H4" s="1"/>
    </row>
    <row r="5" spans="2:8" ht="18" customHeight="1" x14ac:dyDescent="0.3">
      <c r="B5" s="128" t="s">
        <v>296</v>
      </c>
      <c r="C5" s="129" t="s">
        <v>297</v>
      </c>
      <c r="D5" s="129" t="s">
        <v>298</v>
      </c>
      <c r="E5" s="129" t="s">
        <v>299</v>
      </c>
      <c r="F5" s="129" t="s">
        <v>2426</v>
      </c>
      <c r="G5" s="129" t="s">
        <v>300</v>
      </c>
      <c r="H5" s="129" t="s">
        <v>2484</v>
      </c>
    </row>
    <row r="6" spans="2:8" x14ac:dyDescent="0.3">
      <c r="B6" s="248" t="s">
        <v>2661</v>
      </c>
      <c r="C6" s="249">
        <v>5</v>
      </c>
      <c r="D6" s="249">
        <v>5</v>
      </c>
      <c r="E6" s="249">
        <v>4</v>
      </c>
      <c r="F6" s="249">
        <v>3</v>
      </c>
      <c r="G6" s="463">
        <f t="shared" ref="G6:G12" si="0">SUM(C6:F6)</f>
        <v>17</v>
      </c>
      <c r="H6" s="641" t="s">
        <v>305</v>
      </c>
    </row>
    <row r="7" spans="2:8" x14ac:dyDescent="0.3">
      <c r="B7" s="188" t="s">
        <v>301</v>
      </c>
      <c r="C7" s="250">
        <v>5</v>
      </c>
      <c r="D7" s="250">
        <v>5</v>
      </c>
      <c r="E7" s="250">
        <v>4</v>
      </c>
      <c r="F7" s="250">
        <v>3</v>
      </c>
      <c r="G7" s="464">
        <f t="shared" si="0"/>
        <v>17</v>
      </c>
      <c r="H7" s="642" t="s">
        <v>302</v>
      </c>
    </row>
    <row r="8" spans="2:8" x14ac:dyDescent="0.3">
      <c r="B8" s="248" t="s">
        <v>303</v>
      </c>
      <c r="C8" s="249">
        <v>5</v>
      </c>
      <c r="D8" s="249">
        <v>5</v>
      </c>
      <c r="E8" s="249">
        <v>4</v>
      </c>
      <c r="F8" s="249">
        <v>3</v>
      </c>
      <c r="G8" s="463">
        <f t="shared" si="0"/>
        <v>17</v>
      </c>
      <c r="H8" s="641" t="s">
        <v>304</v>
      </c>
    </row>
    <row r="9" spans="2:8" x14ac:dyDescent="0.3">
      <c r="B9" s="96" t="s">
        <v>2662</v>
      </c>
      <c r="C9" s="97">
        <v>4</v>
      </c>
      <c r="D9" s="97">
        <v>5</v>
      </c>
      <c r="E9" s="97">
        <v>4</v>
      </c>
      <c r="F9" s="97">
        <v>3</v>
      </c>
      <c r="G9" s="139">
        <f t="shared" si="0"/>
        <v>16</v>
      </c>
      <c r="H9" s="640" t="s">
        <v>305</v>
      </c>
    </row>
    <row r="10" spans="2:8" x14ac:dyDescent="0.3">
      <c r="B10" s="99" t="s">
        <v>2663</v>
      </c>
      <c r="C10" s="100">
        <v>5</v>
      </c>
      <c r="D10" s="100">
        <v>3</v>
      </c>
      <c r="E10" s="100">
        <v>3</v>
      </c>
      <c r="F10" s="100">
        <v>4</v>
      </c>
      <c r="G10" s="140">
        <f t="shared" si="0"/>
        <v>15</v>
      </c>
      <c r="H10" s="643" t="s">
        <v>302</v>
      </c>
    </row>
    <row r="11" spans="2:8" x14ac:dyDescent="0.3">
      <c r="B11" s="96" t="s">
        <v>2664</v>
      </c>
      <c r="C11" s="97">
        <v>4</v>
      </c>
      <c r="D11" s="97">
        <v>4</v>
      </c>
      <c r="E11" s="97">
        <v>2</v>
      </c>
      <c r="F11" s="97">
        <v>3</v>
      </c>
      <c r="G11" s="139">
        <f t="shared" si="0"/>
        <v>13</v>
      </c>
      <c r="H11" s="640" t="s">
        <v>302</v>
      </c>
    </row>
    <row r="12" spans="2:8" x14ac:dyDescent="0.3">
      <c r="B12" s="99" t="s">
        <v>2665</v>
      </c>
      <c r="C12" s="100">
        <v>3</v>
      </c>
      <c r="D12" s="100">
        <v>4</v>
      </c>
      <c r="E12" s="100">
        <v>3</v>
      </c>
      <c r="F12" s="100">
        <v>3</v>
      </c>
      <c r="G12" s="140">
        <f t="shared" si="0"/>
        <v>13</v>
      </c>
      <c r="H12" s="643" t="s">
        <v>305</v>
      </c>
    </row>
    <row r="13" spans="2:8" x14ac:dyDescent="0.3">
      <c r="B13" s="96" t="s">
        <v>2666</v>
      </c>
      <c r="C13" s="97">
        <v>3</v>
      </c>
      <c r="D13" s="97">
        <v>4</v>
      </c>
      <c r="E13" s="97">
        <v>2</v>
      </c>
      <c r="F13" s="97">
        <v>2</v>
      </c>
      <c r="G13" s="139">
        <f>SUM(C13:F13)</f>
        <v>11</v>
      </c>
      <c r="H13" s="640" t="s">
        <v>302</v>
      </c>
    </row>
    <row r="14" spans="2:8" x14ac:dyDescent="0.3">
      <c r="B14" s="1"/>
      <c r="C14" s="1"/>
      <c r="D14" s="1"/>
      <c r="E14" s="1"/>
      <c r="F14" s="1"/>
      <c r="G14" s="1"/>
      <c r="H14" s="1"/>
    </row>
    <row r="15" spans="2:8" x14ac:dyDescent="0.3">
      <c r="B15" s="130" t="s">
        <v>30</v>
      </c>
      <c r="C15" s="131"/>
      <c r="D15" s="131"/>
      <c r="E15" s="131"/>
      <c r="F15" s="131"/>
      <c r="G15" s="131"/>
      <c r="H15" s="131"/>
    </row>
    <row r="16" spans="2:8" ht="30" customHeight="1" x14ac:dyDescent="0.3">
      <c r="B16" s="659" t="s">
        <v>2427</v>
      </c>
      <c r="C16" s="660"/>
      <c r="D16" s="660"/>
      <c r="E16" s="660"/>
      <c r="F16" s="660"/>
      <c r="G16" s="660"/>
      <c r="H16" s="660"/>
    </row>
    <row r="17" spans="2:8" ht="34.049999999999997" customHeight="1" x14ac:dyDescent="0.3">
      <c r="B17" s="659" t="str">
        <f>"A rises 16 -&gt; "&amp;$G$6&amp;" (re-scored 2026-09-21; was 19). 'I can forecast' 3 -&gt; 4 because normalising is arithmetic, not prediction. 'Consensus gap' back to 3: "&amp;"consensus FY2027 EPS of "&amp;TEXT('07 Consensus'!$C$34,"0.00")&amp;" ("&amp;TEXT('07 Consensus'!$C$34/'07 Consensus'!$C$6-1,"0%")&amp;")"&amp;" is consistent with the marks not being carried into FY2027, the FY2026 figure is core earnings plus H1 marks already booked, and the earlier '47 up, 0 down' revisions claim was not supported (FY2026: 4 up, 1 down). What survives: the he"&amp;"adline "&amp;TEXT('11 Valuation'!$C$13,"0.0")&amp;"x forward P/E on the September GAAP consensus can distort screening-based comparisons using FY2026 reported EPS."</f>
        <v>A rises 16 -&gt; 17 (re-scored 2026-09-21; was 19). 'I can forecast' 3 -&gt; 4 because normalising is arithmetic, not prediction. 'Consensus gap' back to 3: consensus FY2027 EPS of 15.24 (-26%) is consistent with the marks not being carried into FY2027, the FY2026 figure is core earnings plus H1 marks already booked, and the earlier '47 up, 0 down' revisions claim was not supported (FY2026: 4 up, 1 down). What survives: the headline 16.5x forward P/E on the September GAAP consensus can distort screening-based comparisons using FY2026 reported EPS.</v>
      </c>
      <c r="C17" s="660"/>
      <c r="D17" s="660"/>
      <c r="E17" s="660"/>
      <c r="F17" s="660"/>
      <c r="G17" s="660"/>
      <c r="H17" s="660"/>
    </row>
    <row r="18" spans="2:8" ht="48" customHeight="1" x14ac:dyDescent="0.3">
      <c r="B18" s="659" t="s">
        <v>2428</v>
      </c>
      <c r="C18" s="660"/>
      <c r="D18" s="660"/>
      <c r="E18" s="660"/>
      <c r="F18" s="660"/>
      <c r="G18" s="660"/>
      <c r="H18" s="660"/>
    </row>
    <row r="19" spans="2:8" ht="43.95" customHeight="1" x14ac:dyDescent="0.3">
      <c r="B19" s="659" t="str">
        <f>"•  THE SEPTEMBER CONSENSUS IS STRUCK ON REPORTED EPS: the +90.54% FY2026 growth rate implies a base of 20.60/1.9054 = 10.81, which is the reported FY2025 EPS."&amp;" That fits a GAAP basis; it does not show how each analyst treats the marks. Core growth over the same period is +"&amp;TEXT(('06 Core EPS Bridge'!$D$18/'06 Core EPS Bridge'!$E$12-1)*100,"0.0")&amp;"% (17 Model). A +90.5% headline against that core growth is the gap the reported multiple misreads."</f>
        <v>•  THE SEPTEMBER CONSENSUS IS STRUCK ON REPORTED EPS: the +90.54% FY2026 growth rate implies a base of 20.60/1.9054 = 10.81, which is the reported FY2025 EPS. That fits a GAAP basis; it does not show how each analyst treats the marks. Core growth over the same period is +27.7% (17 Model). A +90.5% headline against that core growth is the gap the reported multiple misreads.</v>
      </c>
      <c r="C19" s="660"/>
      <c r="D19" s="660"/>
      <c r="E19" s="660"/>
      <c r="F19" s="660"/>
      <c r="G19" s="660"/>
      <c r="H19" s="660"/>
    </row>
    <row r="20" spans="2:8" ht="34.049999999999997" customHeight="1" x14ac:dyDescent="0.3">
      <c r="B20" s="659" t="str">
        <f>"•  CORROBORATING EVIDENCE FROM THE Q2 CALL: nine sell-side analysts asked questions and NOT ONE asked about the "&amp;TEXT('06 Core EPS Bridge'!$I$7,"#,##0")&amp;" gain on equity securities or the gap between "&amp;TEXT('06 Core EPS Bridge'!$I$13,"0.00")&amp;" reported and "&amp;"~"&amp;TEXT('06 Core EPS Bridge'!$I$12,"0.00")&amp;" core EPS. See '10 Guidance and Quotes'."</f>
        <v>•  CORROBORATING EVIDENCE FROM THE Q2 CALL: nine sell-side analysts asked questions and NOT ONE asked about the 99,031 gain on equity securities or the gap between 9.11 reported and ~2.76 core EPS. See '10 Guidance and Quotes'.</v>
      </c>
      <c r="C20" s="660"/>
      <c r="D20" s="660"/>
      <c r="E20" s="660"/>
      <c r="F20" s="660"/>
      <c r="G20" s="660"/>
      <c r="H20" s="660"/>
    </row>
    <row r="21" spans="2:8" ht="36" customHeight="1" x14ac:dyDescent="0.3">
      <c r="B21" s="659" t="str">
        <f>"•  "&amp;"C falls 18 -&gt; "&amp;$G$8&amp;". Still material and now actually occurring, but 'consensus gap' 4 -&gt; 3 because the FCF decline ran in Semafor, Forbes, CNBC and Seeking Alpha within a week. The raw fact is crowded; the TIMING i"&amp;"s not."</f>
        <v>•  C falls 18 -&gt; 17. Still material and now actually occurring, but 'consensus gap' 4 -&gt; 3 because the FCF decline ran in Semafor, Forbes, CNBC and Seeking Alpha within a week. The raw fact is crowded; the TIMING is not.</v>
      </c>
      <c r="C21" s="660"/>
      <c r="D21" s="660"/>
      <c r="E21" s="660"/>
      <c r="F21" s="660"/>
      <c r="G21" s="660"/>
      <c r="H21" s="660"/>
    </row>
    <row r="22" spans="2:8" ht="36" customHeight="1" x14ac:dyDescent="0.3">
      <c r="B22" s="659" t="str">
        <f>"•  "&amp;"B holds at "&amp;$G$7&amp;" on offsetting moves: 'probably occurs' 4 -&gt; 5 "&amp;"(Cloud +"&amp;TEXT('03 Segments'!$F$33,"0")&amp;"%)"&amp;", 'consensus gap' 4 -&gt; 3 (visible to everyone)."</f>
        <v>•  B holds at 17 on offsetting moves: 'probably occurs' 4 -&gt; 5 (Cloud +82%), 'consensus gap' 4 -&gt; 3 (visible to everyone).</v>
      </c>
      <c r="C22" s="660"/>
      <c r="D22" s="660"/>
      <c r="E22" s="660"/>
      <c r="F22" s="660"/>
      <c r="G22" s="660"/>
      <c r="H22" s="660"/>
    </row>
    <row r="23" spans="2:8" ht="40.049999999999997" customHeight="1" x14ac:dyDescent="0.3">
      <c r="B23" s="659" t="str">
        <f>"H rises 9 -&gt; "&amp;$G$13&amp;" (re-scored 2026-09-21). The US structural threats failed (Brinkema declined AdX/DFP divestiture on Sep 2 2026; Mehta refused Chrome/Android in Sep 2025), but the Jul 16 2026 EU DMA specification deci"&amp;"sions are binding and dated: Google must share ranking, query, click and view data with rival engines and AI chatbots from Jan 2027, and open Android to third-party AI assistants from Jul 2027. 'Excee"&amp;"ds materiality' 2 -&gt; 3 and 'Probably occurs' 2 -&gt; 4; 'I can forecast' 3 -&gt; 2 because the revenue effect is hard to size. Still not a critical factor, but no longer closed."</f>
        <v>H rises 9 -&gt; 11 (re-scored 2026-09-21). The US structural threats failed (Brinkema declined AdX/DFP divestiture on Sep 2 2026; Mehta refused Chrome/Android in Sep 2025), but the Jul 16 2026 EU DMA specification decisions are binding and dated: Google must share ranking, query, click and view data with rival engines and AI chatbots from Jan 2027, and open Android to third-party AI assistants from Jul 2027. 'Exceeds materiality' 2 -&gt; 3 and 'Probably occurs' 2 -&gt; 4; 'I can forecast' 3 -&gt; 2 because the revenue effect is hard to size. Still not a critical factor, but no longer closed.</v>
      </c>
      <c r="C23" s="660"/>
      <c r="D23" s="660"/>
      <c r="E23" s="660"/>
      <c r="F23" s="660"/>
      <c r="G23" s="660"/>
      <c r="H23" s="660"/>
    </row>
    <row r="24" spans="2:8" ht="34.049999999999997" customHeight="1" x14ac:dyDescent="0.3">
      <c r="B24" s="659" t="str">
        <f>"•  "&amp;"F holds at "&amp;$G$11&amp;" but as a RISING WATCH ITEM. Jeff Dean left after 27 years, with Sanjay Ghemawat, Oriol Vinyals and Quoc Le; Demis Hassabis moved to chairman of DeepMind. Forecastability stays at 2, which is why it d"&amp;"oes not become a pillar despite the deterioration."</f>
        <v>•  F holds at 13 but as a RISING WATCH ITEM. Jeff Dean left after 27 years, with Sanjay Ghemawat, Oriol Vinyals and Quoc Le; Demis Hassabis moved to chairman of DeepMind. Forecastability stays at 2, which is why it does not become a pillar despite the deterioration.</v>
      </c>
      <c r="C24" s="660"/>
      <c r="D24" s="660"/>
      <c r="E24" s="660"/>
      <c r="F24" s="660"/>
      <c r="G24" s="660"/>
      <c r="H24" s="660"/>
    </row>
    <row r="25" spans="2:8" ht="36" customHeight="1" x14ac:dyDescent="0.3">
      <c r="B25" s="659" t="str">
        <f>"G rises to "&amp;$G$12&amp;" on the confirmed "&amp;TEXT('05 Capital Structure'!$C$7,"#,##0")&amp;" preferred (~"&amp;TEXT('05 Capital Structure'!$C$24,"#,##0")&amp;"/yr"&amp;" of dividends), the 40,000 ATM authorised and undrawn at Jun 30 (corrected 2026-09-21; the 30,400 figure was the separate June common offering), and suspended buybacks. A real EPS-bridge input now."</f>
        <v>G rises to 13 on the confirmed 19,000 preferred (~1,188/yr of dividends), the 40,000 ATM authorised and undrawn at Jun 30 (corrected 2026-09-21; the 30,400 figure was the separate June common offering), and suspended buybacks. A real EPS-bridge input now.</v>
      </c>
      <c r="C25" s="660"/>
      <c r="D25" s="660"/>
      <c r="E25" s="660"/>
      <c r="F25" s="660"/>
      <c r="G25" s="660"/>
      <c r="H25" s="660"/>
    </row>
    <row r="26" spans="2:8" ht="37.950000000000003" customHeight="1" x14ac:dyDescent="0.3">
      <c r="B26" s="659" t="str">
        <f>"CRITICAL FACTORS: "&amp;IF(AND($G$6=$G$7,$G$7=$G$8),"A, B and C now tie at "&amp;$G$6&amp;".","A scores "&amp;$G$6&amp;", B "&amp;$G$7&amp;" and C "&amp;$G$8&amp;".")&amp;" (1) A - valuation via earnings quality; (2) B - Cloud growth and backlog conversion; (3) C - capex to depreciation to FCF timing, where the live forecast gap sits: "&amp;"consensus FY2027 operating margin is "&amp;TEXT('07 Consensus'!$C$39,"0.0")&amp;"%"&amp;" (07 Consensus row 39) "&amp;"against "&amp;TEXT('DCF Base Model'!$M$25*100,"0.0")&amp;"% in the base case"&amp;". NAMED DOWNSIDE RISK: E - Search durability."</f>
        <v>CRITICAL FACTORS: A, B and C now tie at 17. (1) A - valuation via earnings quality; (2) B - Cloud growth and backlog conversion; (3) C - capex to depreciation to FCF timing, where the live forecast gap sits: consensus FY2027 operating margin is 35.3% (07 Consensus row 39) against 33.5% in the base case. NAMED DOWNSIDE RISK: E - Search durability.</v>
      </c>
      <c r="C26" s="660"/>
      <c r="D26" s="660"/>
      <c r="E26" s="660"/>
      <c r="F26" s="660"/>
      <c r="G26" s="660"/>
      <c r="H26" s="660"/>
    </row>
    <row r="27" spans="2:8" ht="42" customHeight="1" x14ac:dyDescent="0.3">
      <c r="B27" s="659" t="s">
        <v>306</v>
      </c>
      <c r="C27" s="660"/>
      <c r="D27" s="660"/>
      <c r="E27" s="660"/>
      <c r="F27" s="660"/>
      <c r="G27" s="660"/>
      <c r="H27" s="660"/>
    </row>
    <row r="28" spans="2:8" ht="14.55" customHeight="1" x14ac:dyDescent="0.3">
      <c r="B28" s="262" t="s">
        <v>1225</v>
      </c>
      <c r="C28" s="262"/>
      <c r="D28" s="262"/>
      <c r="E28" s="262"/>
      <c r="F28" s="262"/>
      <c r="G28" s="262"/>
      <c r="H28" s="262"/>
    </row>
    <row r="29" spans="2:8" ht="34.049999999999997" customHeight="1" x14ac:dyDescent="0.3">
      <c r="B29" s="322" t="s">
        <v>1226</v>
      </c>
      <c r="C29" s="668" t="s">
        <v>1227</v>
      </c>
      <c r="D29" s="668"/>
      <c r="E29" s="668"/>
      <c r="F29" s="668"/>
      <c r="G29" s="668"/>
      <c r="H29" s="668"/>
    </row>
    <row r="30" spans="2:8" ht="34.049999999999997" customHeight="1" x14ac:dyDescent="0.3">
      <c r="B30" s="323" t="s">
        <v>1228</v>
      </c>
      <c r="C30" s="668" t="s">
        <v>1237</v>
      </c>
      <c r="D30" s="668"/>
      <c r="E30" s="668"/>
      <c r="F30" s="668"/>
      <c r="G30" s="668"/>
      <c r="H30" s="668"/>
    </row>
    <row r="31" spans="2:8" ht="34.049999999999997" customHeight="1" x14ac:dyDescent="0.3">
      <c r="B31" s="323" t="s">
        <v>1229</v>
      </c>
      <c r="C31" s="668" t="s">
        <v>1230</v>
      </c>
      <c r="D31" s="668"/>
      <c r="E31" s="668"/>
      <c r="F31" s="668"/>
      <c r="G31" s="668"/>
      <c r="H31" s="668"/>
    </row>
    <row r="32" spans="2:8" ht="34.049999999999997" customHeight="1" x14ac:dyDescent="0.3">
      <c r="B32" s="323" t="s">
        <v>1231</v>
      </c>
      <c r="C32" s="668" t="s">
        <v>1238</v>
      </c>
      <c r="D32" s="668"/>
      <c r="E32" s="668"/>
      <c r="F32" s="668"/>
      <c r="G32" s="668"/>
      <c r="H32" s="668"/>
    </row>
    <row r="33" spans="2:8" ht="42" customHeight="1" x14ac:dyDescent="0.3">
      <c r="B33" s="323" t="s">
        <v>2429</v>
      </c>
      <c r="C33" s="668" t="s">
        <v>2430</v>
      </c>
      <c r="D33" s="668"/>
      <c r="E33" s="668"/>
      <c r="F33" s="668"/>
      <c r="G33" s="668"/>
      <c r="H33" s="668"/>
    </row>
    <row r="34" spans="2:8" ht="40.049999999999997" customHeight="1" x14ac:dyDescent="0.3">
      <c r="B34" s="322" t="s">
        <v>1232</v>
      </c>
      <c r="C34" s="668" t="s">
        <v>1239</v>
      </c>
      <c r="D34" s="668"/>
      <c r="E34" s="668"/>
      <c r="F34" s="668"/>
      <c r="G34" s="668"/>
      <c r="H34" s="668"/>
    </row>
    <row r="35" spans="2:8" ht="36" customHeight="1" x14ac:dyDescent="0.3">
      <c r="B35" s="322" t="s">
        <v>1233</v>
      </c>
      <c r="C35" s="668" t="s">
        <v>2485</v>
      </c>
      <c r="D35" s="668"/>
      <c r="E35" s="668"/>
      <c r="F35" s="668"/>
      <c r="G35" s="668"/>
      <c r="H35" s="668"/>
    </row>
    <row r="36" spans="2:8" ht="34.049999999999997" customHeight="1" x14ac:dyDescent="0.3">
      <c r="B36" s="322" t="s">
        <v>1234</v>
      </c>
      <c r="C36" s="668" t="str" cm="1">
        <f t="array" ref="C36">"The top three by TOTAL are the critical factors and are what the model is built to answer: "&amp;LEFT(INDEX($B$6:$B$13,_xlfn.AGGREGATE(15,6,(ROW($G$6:$G$13)-ROW($G$6)+1)/(($G$6:$G$13-ROW($G$6:$G$13)/1000)=_xlfn.AGGREGATE(14,6,$G$6:$G$13-ROW($G$6:$G$13)/1000,1)),1)),1)&amp;" ("&amp;INDEX($G$6:$G$13,_xlfn.AGGREGATE(15,6,(ROW($G$6:$G$13)-ROW($G$6)+1)/(($G$6:$G$13-ROW($G$6:$G$13)/1000)=_xlfn.AGGREGATE(14,6,$G$6:$G$13-ROW($G$6:$G$13)/1000,1)),1))&amp;")"&amp;", "&amp;LEFT(INDEX($B$6:$B$13,_xlfn.AGGREGATE(15,6,(ROW($G$6:$G$13)-ROW($G$6)+1)/(($G$6:$G$13-ROW($G$6:$G$13)/1000)=_xlfn.AGGREGATE(14,6,$G$6:$G$13-ROW($G$6:$G$13)/1000,2)),1)),1)&amp;" ("&amp;INDEX($G$6:$G$13,_xlfn.AGGREGATE(15,6,(ROW($G$6:$G$13)-ROW($G$6)+1)/(($G$6:$G$13-ROW($G$6:$G$13)/1000)=_xlfn.AGGREGATE(14,6,$G$6:$G$13-ROW($G$6:$G$13)/1000,2)),1))&amp;")"&amp;" and "&amp;LEFT(INDEX($B$6:$B$13,_xlfn.AGGREGATE(15,6,(ROW($G$6:$G$13)-ROW($G$6)+1)/(($G$6:$G$13-ROW($G$6:$G$13)/1000)=_xlfn.AGGREGATE(14,6,$G$6:$G$13-ROW($G$6:$G$13)/1000,3)),1)),1)&amp;" ("&amp;INDEX($G$6:$G$13,_xlfn.AGGREGATE(15,6,(ROW($G$6:$G$13)-ROW($G$6)+1)/(($G$6:$G$13-ROW($G$6:$G$13)/1000)=_xlfn.AGGREGATE(14,6,$G$6:$G$13-ROW($G$6:$G$13)/1000,3)),1))&amp;")"&amp;". Generated live from column G; ties are listed in row order. See the note at row 26."</f>
        <v>The top three by TOTAL are the critical factors and are what the model is built to answer: A (17), B (17) and C (17). Generated live from column G; ties are listed in row order. See the note at row 26.</v>
      </c>
      <c r="D36" s="668"/>
      <c r="E36" s="668"/>
      <c r="F36" s="668"/>
      <c r="G36" s="668"/>
      <c r="H36" s="668"/>
    </row>
    <row r="37" spans="2:8" ht="30" customHeight="1" x14ac:dyDescent="0.3">
      <c r="B37" s="322" t="s">
        <v>2667</v>
      </c>
      <c r="C37" s="668" t="s">
        <v>2668</v>
      </c>
      <c r="D37" s="668"/>
      <c r="E37" s="668"/>
      <c r="F37" s="668"/>
      <c r="G37" s="668"/>
      <c r="H37" s="668"/>
    </row>
    <row r="38" spans="2:8" ht="34.049999999999997" customHeight="1" x14ac:dyDescent="0.3">
      <c r="B38" s="322" t="s">
        <v>1235</v>
      </c>
      <c r="C38" s="668" t="s">
        <v>2669</v>
      </c>
      <c r="D38" s="668"/>
      <c r="E38" s="668"/>
      <c r="F38" s="668"/>
      <c r="G38" s="668"/>
      <c r="H38" s="668"/>
    </row>
    <row r="39" spans="2:8" ht="34.049999999999997" customHeight="1" x14ac:dyDescent="0.3">
      <c r="B39" s="322" t="s">
        <v>1236</v>
      </c>
      <c r="C39" s="668" t="s">
        <v>2774</v>
      </c>
      <c r="D39" s="668"/>
      <c r="E39" s="668"/>
      <c r="F39" s="668"/>
      <c r="G39" s="668"/>
      <c r="H39" s="668"/>
    </row>
    <row r="40" spans="2:8" ht="14.55" customHeight="1" x14ac:dyDescent="0.3">
      <c r="B40" s="263"/>
      <c r="C40" s="263"/>
      <c r="D40" s="264"/>
      <c r="E40" s="264"/>
      <c r="F40" s="264"/>
      <c r="G40" s="264"/>
      <c r="H40" s="264"/>
    </row>
  </sheetData>
  <mergeCells count="23">
    <mergeCell ref="B25:H25"/>
    <mergeCell ref="B17:H17"/>
    <mergeCell ref="B27:H27"/>
    <mergeCell ref="B16:H16"/>
    <mergeCell ref="B26:H26"/>
    <mergeCell ref="B20:H20"/>
    <mergeCell ref="B24:H24"/>
    <mergeCell ref="B18:H18"/>
    <mergeCell ref="B19:H19"/>
    <mergeCell ref="B22:H22"/>
    <mergeCell ref="B23:H23"/>
    <mergeCell ref="B21:H21"/>
    <mergeCell ref="C29:H29"/>
    <mergeCell ref="C30:H30"/>
    <mergeCell ref="C31:H31"/>
    <mergeCell ref="C32:H32"/>
    <mergeCell ref="C33:H33"/>
    <mergeCell ref="C39:H39"/>
    <mergeCell ref="C34:H34"/>
    <mergeCell ref="C35:H35"/>
    <mergeCell ref="C36:H36"/>
    <mergeCell ref="C37:H37"/>
    <mergeCell ref="C38:H38"/>
  </mergeCells>
  <printOptions horizontalCentered="1"/>
  <pageMargins left="0.30000000000000004" right="0.30000000000000004" top="0.41666666666666669" bottom="0.41666666666666669" header="0.19444444444444445" footer="0.19444444444444445"/>
  <pageSetup scale="96"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95FD-C7E9-4CDA-B4BB-2CDC131C652C}">
  <sheetPr>
    <tabColor rgb="FF002F6C"/>
  </sheetPr>
  <dimension ref="A2:Z24"/>
  <sheetViews>
    <sheetView showGridLines="0" topLeftCell="A21" workbookViewId="0">
      <selection activeCell="B14" sqref="B14"/>
    </sheetView>
  </sheetViews>
  <sheetFormatPr defaultRowHeight="14.4" x14ac:dyDescent="0.3"/>
  <cols>
    <col min="1" max="1" width="8.88671875" style="1"/>
    <col min="2" max="2" width="114.77734375" style="1" customWidth="1"/>
    <col min="3" max="3" width="55.5546875" style="1" customWidth="1"/>
    <col min="4" max="26" width="8.88671875" style="1"/>
  </cols>
  <sheetData>
    <row r="2" spans="2:3" ht="28.05" customHeight="1" thickBot="1" x14ac:dyDescent="0.45">
      <c r="B2" s="396" t="s">
        <v>1816</v>
      </c>
      <c r="C2" s="396"/>
    </row>
    <row r="3" spans="2:3" ht="18" thickBot="1" x14ac:dyDescent="0.35">
      <c r="B3" s="3" t="s">
        <v>948</v>
      </c>
      <c r="C3" s="4"/>
    </row>
    <row r="5" spans="2:3" x14ac:dyDescent="0.3">
      <c r="B5" s="5" t="s">
        <v>212</v>
      </c>
      <c r="C5" s="6" t="s">
        <v>949</v>
      </c>
    </row>
    <row r="6" spans="2:3" x14ac:dyDescent="0.3">
      <c r="B6" s="9" t="s">
        <v>950</v>
      </c>
      <c r="C6" s="10" t="s">
        <v>223</v>
      </c>
    </row>
    <row r="7" spans="2:3" x14ac:dyDescent="0.3">
      <c r="B7" s="9" t="s">
        <v>951</v>
      </c>
      <c r="C7" s="11">
        <v>46280</v>
      </c>
    </row>
    <row r="8" spans="2:3" x14ac:dyDescent="0.3">
      <c r="B8" s="9" t="s">
        <v>952</v>
      </c>
      <c r="C8" s="10" t="s">
        <v>953</v>
      </c>
    </row>
    <row r="9" spans="2:3" x14ac:dyDescent="0.3">
      <c r="B9" s="9" t="s">
        <v>954</v>
      </c>
      <c r="C9" s="10" t="s">
        <v>955</v>
      </c>
    </row>
    <row r="10" spans="2:3" x14ac:dyDescent="0.3">
      <c r="B10" s="7" t="s">
        <v>956</v>
      </c>
      <c r="C10" s="8" t="s">
        <v>957</v>
      </c>
    </row>
    <row r="12" spans="2:3" ht="19.95" customHeight="1" x14ac:dyDescent="0.3">
      <c r="B12" s="12" t="s">
        <v>958</v>
      </c>
      <c r="C12" s="12"/>
    </row>
    <row r="13" spans="2:3" ht="30" customHeight="1" x14ac:dyDescent="0.3">
      <c r="B13" s="319" t="s">
        <v>1146</v>
      </c>
      <c r="C13" s="318"/>
    </row>
    <row r="14" spans="2:3" ht="37.950000000000003" customHeight="1" x14ac:dyDescent="0.3">
      <c r="B14" s="319" t="s">
        <v>1147</v>
      </c>
      <c r="C14" s="318"/>
    </row>
    <row r="15" spans="2:3" ht="36" customHeight="1" x14ac:dyDescent="0.3">
      <c r="B15" s="319" t="s">
        <v>1148</v>
      </c>
      <c r="C15" s="318"/>
    </row>
    <row r="16" spans="2:3" ht="43.95" customHeight="1" x14ac:dyDescent="0.3">
      <c r="B16" s="319" t="s">
        <v>1566</v>
      </c>
      <c r="C16" s="318"/>
    </row>
    <row r="17" spans="2:3" ht="31.95" customHeight="1" x14ac:dyDescent="0.3">
      <c r="B17" s="319" t="s">
        <v>959</v>
      </c>
      <c r="C17" s="318"/>
    </row>
    <row r="18" spans="2:3" ht="37.950000000000003" customHeight="1" x14ac:dyDescent="0.3">
      <c r="B18" s="319" t="s">
        <v>960</v>
      </c>
      <c r="C18" s="318"/>
    </row>
    <row r="19" spans="2:3" ht="24" customHeight="1" x14ac:dyDescent="0.3">
      <c r="B19" s="318"/>
      <c r="C19" s="318"/>
    </row>
    <row r="20" spans="2:3" ht="28.05" customHeight="1" x14ac:dyDescent="0.3">
      <c r="B20" s="324" t="s">
        <v>961</v>
      </c>
      <c r="C20" s="324"/>
    </row>
    <row r="21" spans="2:3" ht="54" customHeight="1" x14ac:dyDescent="0.3">
      <c r="B21" s="319" t="s">
        <v>962</v>
      </c>
      <c r="C21" s="318"/>
    </row>
    <row r="22" spans="2:3" ht="40.049999999999997" customHeight="1" x14ac:dyDescent="0.3">
      <c r="B22" s="319" t="s">
        <v>963</v>
      </c>
      <c r="C22" s="318"/>
    </row>
    <row r="23" spans="2:3" ht="49.95" customHeight="1" x14ac:dyDescent="0.3">
      <c r="B23" s="319" t="s">
        <v>964</v>
      </c>
      <c r="C23" s="318"/>
    </row>
    <row r="24" spans="2:3" ht="43.95" customHeight="1" x14ac:dyDescent="0.3">
      <c r="B24" s="319" t="s">
        <v>1829</v>
      </c>
      <c r="C24" s="31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41729-AA90-4C16-B483-CC052E8B2A7D}">
  <sheetPr>
    <tabColor rgb="FF002F6C"/>
  </sheetPr>
  <dimension ref="A2:Z137"/>
  <sheetViews>
    <sheetView showGridLines="0" topLeftCell="A7" workbookViewId="0">
      <selection activeCell="B59" sqref="B59:H59"/>
    </sheetView>
  </sheetViews>
  <sheetFormatPr defaultRowHeight="14.4" x14ac:dyDescent="0.3"/>
  <cols>
    <col min="1" max="1" width="8.88671875" style="1"/>
    <col min="2" max="2" width="42.5546875" style="1" customWidth="1"/>
    <col min="3" max="4" width="14.44140625" style="1" customWidth="1"/>
    <col min="5" max="5" width="55.5546875" style="1" customWidth="1"/>
    <col min="6" max="7" width="14.44140625" style="1" customWidth="1"/>
    <col min="8" max="8" width="51.88671875" style="1" customWidth="1"/>
    <col min="9" max="26" width="8.88671875" style="1"/>
  </cols>
  <sheetData>
    <row r="2" spans="2:8" ht="28.05" customHeight="1" thickBot="1" x14ac:dyDescent="0.45">
      <c r="B2" s="396" t="s">
        <v>1817</v>
      </c>
      <c r="C2" s="396"/>
      <c r="D2" s="396"/>
      <c r="E2" s="396"/>
      <c r="F2" s="396"/>
      <c r="G2" s="396"/>
      <c r="H2" s="396"/>
    </row>
    <row r="3" spans="2:8" ht="40.049999999999997" customHeight="1" thickBot="1" x14ac:dyDescent="0.35">
      <c r="B3" s="312" t="s">
        <v>965</v>
      </c>
      <c r="C3" s="4"/>
      <c r="D3" s="4"/>
      <c r="E3" s="4"/>
      <c r="F3" s="4"/>
      <c r="G3" s="4"/>
      <c r="H3" s="4"/>
    </row>
    <row r="5" spans="2:8" ht="18" customHeight="1" x14ac:dyDescent="0.3">
      <c r="B5" s="16" t="s">
        <v>966</v>
      </c>
      <c r="C5" s="16"/>
      <c r="D5" s="16"/>
      <c r="E5" s="16" t="s">
        <v>970</v>
      </c>
      <c r="F5" s="16"/>
      <c r="G5" s="16"/>
      <c r="H5" s="16"/>
    </row>
    <row r="6" spans="2:8" x14ac:dyDescent="0.3">
      <c r="B6" s="18" t="s">
        <v>967</v>
      </c>
      <c r="C6" s="6">
        <v>2026</v>
      </c>
      <c r="E6" s="19" t="s">
        <v>971</v>
      </c>
      <c r="H6" s="13"/>
    </row>
    <row r="7" spans="2:8" x14ac:dyDescent="0.3">
      <c r="B7" s="26" t="s">
        <v>968</v>
      </c>
      <c r="C7" s="27">
        <v>340.59</v>
      </c>
      <c r="D7" s="28"/>
      <c r="E7" s="29" t="s">
        <v>1788</v>
      </c>
      <c r="F7" s="28"/>
      <c r="G7" s="28"/>
      <c r="H7" s="353"/>
    </row>
    <row r="8" spans="2:8" ht="68.400000000000006" x14ac:dyDescent="0.3">
      <c r="B8" s="26" t="s">
        <v>2005</v>
      </c>
      <c r="C8" s="506">
        <f>'05 Capital Structure'!C16</f>
        <v>12274</v>
      </c>
      <c r="D8" s="28"/>
      <c r="E8" s="29" t="s">
        <v>2006</v>
      </c>
      <c r="F8" s="28"/>
      <c r="G8" s="28"/>
      <c r="H8" s="353"/>
    </row>
    <row r="9" spans="2:8" ht="22.8" x14ac:dyDescent="0.3">
      <c r="B9" s="26" t="s">
        <v>188</v>
      </c>
      <c r="C9" s="31">
        <v>1187.5</v>
      </c>
      <c r="D9" s="28"/>
      <c r="E9" s="29" t="s">
        <v>1483</v>
      </c>
      <c r="F9" s="28"/>
      <c r="G9" s="28"/>
      <c r="H9" s="353"/>
    </row>
    <row r="10" spans="2:8" x14ac:dyDescent="0.3">
      <c r="B10" s="22" t="s">
        <v>2075</v>
      </c>
      <c r="C10" s="521">
        <f>IF(ISNUMBER(C87),C87,C86)</f>
        <v>0.16112010082186476</v>
      </c>
      <c r="D10" s="24"/>
      <c r="E10" s="25" t="str">
        <f>"Core basis since 2026-10-07 (entry 53): "&amp;TEXT(C10,"0.0%")&amp;", from row 86 unless C87 overrides it. The old 18.5% carried forward the reported TTM rate of "&amp;TEXT('01 Income Statement'!$G$17/100,"0.0%")&amp;", which the equity gains push up because they are taxed near 21% (row 85)."</f>
        <v>Core basis since 2026-10-07 (entry 53): 16.1%, from row 86 unless C87 overrides it. The old 18.5% carried forward the reported TTM rate of 18.4%, which the equity gains push up because they are taxed near 21% (row 85).</v>
      </c>
      <c r="F10" s="24"/>
      <c r="G10" s="24"/>
      <c r="H10" s="354"/>
    </row>
    <row r="11" spans="2:8" x14ac:dyDescent="0.3">
      <c r="H11" s="13"/>
    </row>
    <row r="12" spans="2:8" x14ac:dyDescent="0.3">
      <c r="B12" s="16" t="s">
        <v>972</v>
      </c>
      <c r="C12" s="16"/>
      <c r="D12" s="16"/>
      <c r="E12" s="16"/>
      <c r="F12" s="16"/>
      <c r="G12" s="16"/>
      <c r="H12" s="324"/>
    </row>
    <row r="13" spans="2:8" x14ac:dyDescent="0.3">
      <c r="C13" s="424" t="s">
        <v>973</v>
      </c>
      <c r="D13" s="424" t="s">
        <v>974</v>
      </c>
      <c r="E13" s="424" t="s">
        <v>975</v>
      </c>
      <c r="F13" s="424" t="s">
        <v>976</v>
      </c>
      <c r="G13" s="424" t="s">
        <v>977</v>
      </c>
      <c r="H13" s="355" t="s">
        <v>978</v>
      </c>
    </row>
    <row r="14" spans="2:8" ht="68.400000000000006" x14ac:dyDescent="0.3">
      <c r="B14" s="18" t="s">
        <v>70</v>
      </c>
      <c r="C14" s="33">
        <v>0.15</v>
      </c>
      <c r="D14" s="33">
        <v>0.12</v>
      </c>
      <c r="E14" s="33">
        <v>0.1</v>
      </c>
      <c r="F14" s="33">
        <v>0.09</v>
      </c>
      <c r="G14" s="33">
        <v>0.08</v>
      </c>
      <c r="H14" s="19" t="str">
        <f>"Ran 19.1% Q1'26 / 16.8% Q2'26. Decays toward GDP-plus as the base gets larger. Cross-check: total revenue grows "&amp;TEXT('DCF Base Model'!$M$19,"0.0%")&amp;" in FY2027E against "&amp;TEXT('07 Consensus'!$C$35/'07 Consensus'!$C$7-1,"0.0%")&amp;" for consensus, so the base sits slightly below the Street. One point more or less a year on Services segments moves base value by about +$8 / -$8. Sensitivity and confidence are summarized in this rationale."</f>
        <v>Ran 19.1% Q1'26 / 16.8% Q2'26. Decays toward GDP-plus as the base gets larger. Cross-check: total revenue grows 21.2% in FY2027E against 24.2% for consensus, so the base sits slightly below the Street. One point more or less a year on Services segments moves base value by about +$8 / -$8. Sensitivity and confidence are summarized in this rationale.</v>
      </c>
    </row>
    <row r="15" spans="2:8" ht="22.8" x14ac:dyDescent="0.3">
      <c r="B15" s="26" t="s">
        <v>71</v>
      </c>
      <c r="C15" s="34">
        <v>0.125</v>
      </c>
      <c r="D15" s="34">
        <v>0.115</v>
      </c>
      <c r="E15" s="34">
        <v>0.105</v>
      </c>
      <c r="F15" s="34">
        <v>0.1</v>
      </c>
      <c r="G15" s="34">
        <v>9.5000000000000001E-2</v>
      </c>
      <c r="H15" s="29" t="s">
        <v>979</v>
      </c>
    </row>
    <row r="16" spans="2:8" ht="22.8" x14ac:dyDescent="0.3">
      <c r="B16" s="26" t="s">
        <v>72</v>
      </c>
      <c r="C16" s="34">
        <v>-0.02</v>
      </c>
      <c r="D16" s="34">
        <v>-0.02</v>
      </c>
      <c r="E16" s="34">
        <v>-0.02</v>
      </c>
      <c r="F16" s="34">
        <v>-0.02</v>
      </c>
      <c r="G16" s="34">
        <v>-0.02</v>
      </c>
      <c r="H16" s="29" t="s">
        <v>980</v>
      </c>
    </row>
    <row r="17" spans="2:8" x14ac:dyDescent="0.3">
      <c r="B17" s="26" t="s">
        <v>74</v>
      </c>
      <c r="C17" s="34">
        <v>0.16</v>
      </c>
      <c r="D17" s="34">
        <v>0.14499999999999999</v>
      </c>
      <c r="E17" s="34">
        <v>0.13</v>
      </c>
      <c r="F17" s="34">
        <v>0.12</v>
      </c>
      <c r="G17" s="34">
        <v>0.11</v>
      </c>
      <c r="H17" s="29" t="s">
        <v>981</v>
      </c>
    </row>
    <row r="18" spans="2:8" ht="34.200000000000003" x14ac:dyDescent="0.3">
      <c r="B18" s="26" t="s">
        <v>76</v>
      </c>
      <c r="C18" s="34">
        <v>0.7</v>
      </c>
      <c r="D18" s="492" t="s">
        <v>1952</v>
      </c>
      <c r="E18" s="492" t="s">
        <v>1952</v>
      </c>
      <c r="F18" s="492" t="s">
        <v>1952</v>
      </c>
      <c r="G18" s="492" t="s">
        <v>1952</v>
      </c>
      <c r="H18" s="29" t="s">
        <v>1953</v>
      </c>
    </row>
    <row r="19" spans="2:8" x14ac:dyDescent="0.3">
      <c r="B19" s="22" t="s">
        <v>77</v>
      </c>
      <c r="C19" s="32">
        <v>0.05</v>
      </c>
      <c r="D19" s="32">
        <v>0.05</v>
      </c>
      <c r="E19" s="32">
        <v>0.05</v>
      </c>
      <c r="F19" s="32">
        <v>0.05</v>
      </c>
      <c r="G19" s="32">
        <v>0.05</v>
      </c>
      <c r="H19" s="25" t="s">
        <v>982</v>
      </c>
    </row>
    <row r="20" spans="2:8" x14ac:dyDescent="0.3">
      <c r="H20" s="19"/>
    </row>
    <row r="21" spans="2:8" x14ac:dyDescent="0.3">
      <c r="B21" s="16" t="s">
        <v>983</v>
      </c>
      <c r="C21" s="425"/>
      <c r="D21" s="16"/>
      <c r="E21" s="16"/>
      <c r="F21" s="16"/>
      <c r="G21" s="16"/>
      <c r="H21" s="20"/>
    </row>
    <row r="22" spans="2:8" ht="34.200000000000003" x14ac:dyDescent="0.3">
      <c r="B22" s="18" t="s">
        <v>984</v>
      </c>
      <c r="C22" s="33">
        <v>0.03</v>
      </c>
      <c r="E22" s="19" t="s">
        <v>1954</v>
      </c>
      <c r="H22" s="19"/>
    </row>
    <row r="23" spans="2:8" ht="22.8" x14ac:dyDescent="0.3">
      <c r="B23" s="26" t="s">
        <v>985</v>
      </c>
      <c r="C23" s="34">
        <v>-0.04</v>
      </c>
      <c r="D23" s="28"/>
      <c r="E23" s="29" t="s">
        <v>987</v>
      </c>
      <c r="F23" s="28"/>
      <c r="G23" s="28"/>
      <c r="H23" s="29"/>
    </row>
    <row r="24" spans="2:8" ht="34.200000000000003" x14ac:dyDescent="0.3">
      <c r="B24" s="22" t="s">
        <v>986</v>
      </c>
      <c r="C24" s="23">
        <v>0</v>
      </c>
      <c r="D24" s="24"/>
      <c r="E24" s="25" t="s">
        <v>1484</v>
      </c>
      <c r="F24" s="24"/>
      <c r="G24" s="24"/>
      <c r="H24" s="25"/>
    </row>
    <row r="25" spans="2:8" x14ac:dyDescent="0.3">
      <c r="H25" s="19"/>
    </row>
    <row r="26" spans="2:8" ht="57" x14ac:dyDescent="0.3">
      <c r="B26" s="16" t="s">
        <v>1400</v>
      </c>
      <c r="C26" s="425"/>
      <c r="D26" s="425"/>
      <c r="E26" s="425"/>
      <c r="F26" s="425"/>
      <c r="G26" s="425"/>
      <c r="H26" s="19" t="s">
        <v>1426</v>
      </c>
    </row>
    <row r="27" spans="2:8" ht="79.8" x14ac:dyDescent="0.3">
      <c r="B27" s="18" t="s">
        <v>1401</v>
      </c>
      <c r="C27" s="33">
        <v>0.35299999999999998</v>
      </c>
      <c r="D27" s="33">
        <v>0.35799999999999998</v>
      </c>
      <c r="E27" s="33">
        <v>0.36299999999999999</v>
      </c>
      <c r="F27" s="33">
        <v>0.36799999999999999</v>
      </c>
      <c r="G27" s="33">
        <v>0.373</v>
      </c>
      <c r="H27" s="19" t="s">
        <v>2212</v>
      </c>
    </row>
    <row r="28" spans="2:8" ht="45.6" x14ac:dyDescent="0.3">
      <c r="B28" s="26" t="s">
        <v>1402</v>
      </c>
      <c r="C28" s="34">
        <v>0.35799999999999998</v>
      </c>
      <c r="D28" s="34">
        <v>0.36799999999999999</v>
      </c>
      <c r="E28" s="34">
        <v>0.378</v>
      </c>
      <c r="F28" s="34">
        <v>0.38800000000000001</v>
      </c>
      <c r="G28" s="34">
        <v>0.39800000000000002</v>
      </c>
      <c r="H28" s="29" t="s">
        <v>1427</v>
      </c>
    </row>
    <row r="29" spans="2:8" ht="45.6" x14ac:dyDescent="0.3">
      <c r="B29" s="22" t="s">
        <v>1403</v>
      </c>
      <c r="C29" s="32">
        <v>0.34499999999999997</v>
      </c>
      <c r="D29" s="32">
        <v>0.34</v>
      </c>
      <c r="E29" s="32">
        <v>0.33500000000000002</v>
      </c>
      <c r="F29" s="32">
        <v>0.33</v>
      </c>
      <c r="G29" s="32">
        <v>0.32500000000000001</v>
      </c>
      <c r="H29" s="25" t="str">
        <f>"Starts 0.8pp below the H1'26 anchor and gives back 0.5pp a year as growth slows. "&amp;"The low reported margin in this case comes mainly from depreciation on the capex path at row 34, peaking at "&amp;TEXT(MAX($C$34:$G$34),"0%")&amp;" of revenue, against slowing revenue, not from this input."</f>
        <v>Starts 0.8pp below the H1'26 anchor and gives back 0.5pp a year as growth slows. The low reported margin in this case comes mainly from depreciation on the capex path at row 34, peaking at 46% of revenue, against slowing revenue, not from this input.</v>
      </c>
    </row>
    <row r="30" spans="2:8" x14ac:dyDescent="0.3">
      <c r="H30" s="19"/>
    </row>
    <row r="31" spans="2:8" x14ac:dyDescent="0.3">
      <c r="B31" s="16" t="s">
        <v>988</v>
      </c>
      <c r="C31" s="425"/>
      <c r="D31" s="425"/>
      <c r="E31" s="425"/>
      <c r="F31" s="425"/>
      <c r="G31" s="425"/>
      <c r="H31" s="20"/>
    </row>
    <row r="32" spans="2:8" ht="102.6" x14ac:dyDescent="0.3">
      <c r="B32" s="18" t="s">
        <v>1899</v>
      </c>
      <c r="C32" s="33">
        <v>0.41</v>
      </c>
      <c r="D32" s="33">
        <v>0.433</v>
      </c>
      <c r="E32" s="33">
        <v>0.37</v>
      </c>
      <c r="F32" s="33">
        <v>0.31</v>
      </c>
      <c r="G32" s="33">
        <v>0.25</v>
      </c>
      <c r="H32" s="19" t="s">
        <v>2650</v>
      </c>
    </row>
    <row r="33" spans="2:8" ht="68.400000000000006" x14ac:dyDescent="0.3">
      <c r="B33" s="26" t="s">
        <v>1900</v>
      </c>
      <c r="C33" s="34">
        <v>0.4</v>
      </c>
      <c r="D33" s="34">
        <v>0.39</v>
      </c>
      <c r="E33" s="34">
        <v>0.32</v>
      </c>
      <c r="F33" s="34">
        <v>0.25</v>
      </c>
      <c r="G33" s="34">
        <v>0.2</v>
      </c>
      <c r="H33" s="29" t="s">
        <v>2490</v>
      </c>
    </row>
    <row r="34" spans="2:8" ht="57" x14ac:dyDescent="0.3">
      <c r="B34" s="22" t="s">
        <v>1901</v>
      </c>
      <c r="C34" s="32">
        <v>0.42</v>
      </c>
      <c r="D34" s="32">
        <v>0.46</v>
      </c>
      <c r="E34" s="32">
        <v>0.4</v>
      </c>
      <c r="F34" s="32">
        <v>0.33</v>
      </c>
      <c r="G34" s="32">
        <v>0.27</v>
      </c>
      <c r="H34" s="25" t="s">
        <v>2491</v>
      </c>
    </row>
    <row r="35" spans="2:8" x14ac:dyDescent="0.3">
      <c r="H35" s="19"/>
    </row>
    <row r="36" spans="2:8" ht="22.8" x14ac:dyDescent="0.3">
      <c r="B36" s="18" t="s">
        <v>151</v>
      </c>
      <c r="C36" s="35">
        <v>122814</v>
      </c>
      <c r="E36" s="19" t="str">
        <f>"Source: '08 PPE and Depreciation'. Earning no depreciation today - "&amp;TEXT('08 PPE and Depreciation'!$C$25,"0.0")&amp;"% of gross PP&amp;E."</f>
        <v>Source: '08 PPE and Depreciation'. Earning no depreciation today - 28.8% of gross PP&amp;E.</v>
      </c>
      <c r="H36" s="19"/>
    </row>
    <row r="37" spans="2:8" ht="91.2" x14ac:dyDescent="0.3">
      <c r="B37" s="26" t="s">
        <v>989</v>
      </c>
      <c r="C37" s="36">
        <v>0.6</v>
      </c>
      <c r="D37" s="28"/>
      <c r="E37" s="360" t="s">
        <v>2555</v>
      </c>
      <c r="F37" s="28"/>
      <c r="G37" s="28"/>
      <c r="H37" s="29"/>
    </row>
    <row r="38" spans="2:8" ht="22.8" x14ac:dyDescent="0.3">
      <c r="B38" s="26" t="s">
        <v>990</v>
      </c>
      <c r="C38" s="36">
        <v>0.45</v>
      </c>
      <c r="D38" s="28"/>
      <c r="E38" s="29" t="s">
        <v>994</v>
      </c>
      <c r="F38" s="28"/>
      <c r="G38" s="28"/>
      <c r="H38" s="29"/>
    </row>
    <row r="39" spans="2:8" x14ac:dyDescent="0.3">
      <c r="B39" s="26" t="s">
        <v>991</v>
      </c>
      <c r="C39" s="36">
        <v>0.8</v>
      </c>
      <c r="D39" s="28"/>
      <c r="E39" s="29" t="s">
        <v>995</v>
      </c>
      <c r="F39" s="28"/>
      <c r="G39" s="28"/>
      <c r="H39" s="29"/>
    </row>
    <row r="40" spans="2:8" x14ac:dyDescent="0.3">
      <c r="B40" s="26" t="s">
        <v>992</v>
      </c>
      <c r="C40" s="27">
        <v>6</v>
      </c>
      <c r="D40" s="28"/>
      <c r="E40" s="29" t="s">
        <v>996</v>
      </c>
      <c r="F40" s="28"/>
      <c r="G40" s="28"/>
      <c r="H40" s="29"/>
    </row>
    <row r="41" spans="2:8" ht="45.6" x14ac:dyDescent="0.3">
      <c r="B41" s="26" t="s">
        <v>993</v>
      </c>
      <c r="C41" s="27">
        <v>20</v>
      </c>
      <c r="D41" s="28"/>
      <c r="E41" s="29" t="s">
        <v>2444</v>
      </c>
      <c r="F41" s="28"/>
      <c r="G41" s="28"/>
      <c r="H41" s="29"/>
    </row>
    <row r="42" spans="2:8" ht="79.8" x14ac:dyDescent="0.3">
      <c r="B42" s="22" t="s">
        <v>2041</v>
      </c>
      <c r="C42" s="507">
        <v>0.9</v>
      </c>
      <c r="D42" s="24"/>
      <c r="E42" s="25" t="s">
        <v>2042</v>
      </c>
      <c r="F42" s="24"/>
      <c r="G42" s="24"/>
      <c r="H42" s="25"/>
    </row>
    <row r="43" spans="2:8" x14ac:dyDescent="0.3">
      <c r="C43" s="6"/>
      <c r="H43" s="19"/>
    </row>
    <row r="44" spans="2:8" x14ac:dyDescent="0.3">
      <c r="B44" s="16" t="s">
        <v>997</v>
      </c>
      <c r="C44" s="425"/>
      <c r="D44" s="16"/>
      <c r="E44" s="16"/>
      <c r="F44" s="16"/>
      <c r="G44" s="16"/>
      <c r="H44" s="20"/>
    </row>
    <row r="45" spans="2:8" ht="57" x14ac:dyDescent="0.3">
      <c r="B45" s="18" t="s">
        <v>998</v>
      </c>
      <c r="C45" s="33">
        <v>0.06</v>
      </c>
      <c r="D45" s="33">
        <v>5.8000000000000003E-2</v>
      </c>
      <c r="E45" s="33">
        <v>5.6000000000000001E-2</v>
      </c>
      <c r="F45" s="33">
        <v>5.3999999999999999E-2</v>
      </c>
      <c r="G45" s="33">
        <v>5.1999999999999998E-2</v>
      </c>
      <c r="H45" s="19" t="str">
        <f>"TTM SBC "&amp;TEXT('09 Cash Flow'!$G$8,"#,##0")&amp;" on revenue "&amp;TEXT('01 Income Statement'!$G$6,"#,##0")&amp;" = "&amp;TEXT('09 Cash Flow'!$G$8/'01 Income Statement'!$G$6,"0.0%")&amp;". Drifts down as revenue outgrows grant value."&amp;" SBC is expensed inside operating income, so it is already a cost in FCFF, and value per share uses today's diluted count: this path changes EPS and the forecast share count, not the DCF value."</f>
        <v>TTM SBC 28,147 on revenue 445,866 = 6.3%. Drifts down as revenue outgrows grant value. SBC is expensed inside operating income, so it is already a cost in FCFF, and value per share uses today's diluted count: this path changes EPS and the forecast share count, not the DCF value.</v>
      </c>
    </row>
    <row r="46" spans="2:8" ht="68.400000000000006" x14ac:dyDescent="0.3">
      <c r="B46" s="26" t="s">
        <v>999</v>
      </c>
      <c r="C46" s="31">
        <v>3000</v>
      </c>
      <c r="D46" s="31">
        <v>3200</v>
      </c>
      <c r="E46" s="31">
        <v>3400</v>
      </c>
      <c r="F46" s="31">
        <v>3600</v>
      </c>
      <c r="G46" s="31">
        <v>3800</v>
      </c>
      <c r="H46" s="29" t="s">
        <v>2412</v>
      </c>
    </row>
    <row r="47" spans="2:8" ht="45.6" x14ac:dyDescent="0.3">
      <c r="B47" s="26" t="s">
        <v>1000</v>
      </c>
      <c r="C47" s="31">
        <v>135946</v>
      </c>
      <c r="D47" s="31">
        <v>0</v>
      </c>
      <c r="E47" s="31">
        <v>0</v>
      </c>
      <c r="F47" s="31">
        <v>0</v>
      </c>
      <c r="G47" s="31">
        <v>0</v>
      </c>
      <c r="H47" s="29" t="s">
        <v>1517</v>
      </c>
    </row>
    <row r="48" spans="2:8" ht="22.8" x14ac:dyDescent="0.3">
      <c r="B48" s="22" t="s">
        <v>1001</v>
      </c>
      <c r="C48" s="30">
        <v>27172</v>
      </c>
      <c r="D48" s="23"/>
      <c r="E48" s="23"/>
      <c r="F48" s="23"/>
      <c r="G48" s="23"/>
      <c r="H48" s="361" t="s">
        <v>1562</v>
      </c>
    </row>
    <row r="49" spans="2:8" x14ac:dyDescent="0.3">
      <c r="H49" s="13"/>
    </row>
    <row r="50" spans="2:8" x14ac:dyDescent="0.3">
      <c r="B50" s="16" t="s">
        <v>1002</v>
      </c>
      <c r="C50" s="16"/>
      <c r="D50" s="16"/>
      <c r="E50" s="16"/>
      <c r="F50" s="16"/>
      <c r="G50" s="16"/>
      <c r="H50" s="324"/>
    </row>
    <row r="51" spans="2:8" ht="79.8" x14ac:dyDescent="0.3">
      <c r="B51" s="14" t="str">
        <f>"TTM Jun'26 net income of "&amp;TEXT('01 Income Statement'!$G$18,"#,##0")&amp;" contains "&amp;TEXT('17 Model'!$K$28,"#,##0")&amp;" of pretax mark-to-market gains on the equity-securities portfolio ("&amp;"FY2025 "&amp;TEXT('06 Core EPS Bridge'!$E$7,"#,##0")&amp;" + "&amp;"H1'26 "&amp;TEXT('06 Core EPS Bridge'!$J$7,"#,##0")&amp;" - "&amp;"H1'25 "&amp;TEXT('06 Core EPS Bridge'!$F$7+'06 Core EPS Bridge'!$H$7,"#,##0")&amp;", all filed), "&amp;"about "&amp;TEXT('17 Model'!$K$28*(1-$C$85),"#,##0")&amp;" after tax"&amp;". In Q2'26 alone the gain was "&amp;TEXT('06 Core EPS Bridge'!$I$7,"#,##0")&amp;", which is "&amp;TEXT('06 Core EPS Bridge'!$I$7/'06 Core EPS Bridge'!$I$6,"0%")&amp;" of pretax"&amp;" income. That is why the stock looks like "&amp;TEXT('11 Valuation'!$C$11,"0.0")&amp;"x"&amp;" earnings on reported figures and "&amp;"about "&amp;TEXT('11 Valuation'!$C$12,"0")&amp;"x"&amp;" on core."</f>
        <v>TTM Jun'26 net income of 244,205 contains 148,982 of pretax mark-to-market gains on the equity-securities portfolio (FY2025 24,080 + H1'26 135,946 - H1'25 11,044, all filed), about 117,696 after tax. In Q2'26 alone the gain was 99,031, which is 71% of pretax income. That is why the stock looks like 17.1x earnings on reported figures and about 33x on core.</v>
      </c>
      <c r="H51" s="13"/>
    </row>
    <row r="52" spans="2:8" ht="68.400000000000006" x14ac:dyDescent="0.3">
      <c r="B52" s="14" t="s">
        <v>1003</v>
      </c>
      <c r="H52" s="13"/>
    </row>
    <row r="53" spans="2:8" ht="68.400000000000006" x14ac:dyDescent="0.3">
      <c r="B53" s="14" t="s">
        <v>1004</v>
      </c>
      <c r="H53" s="13"/>
    </row>
    <row r="54" spans="2:8" x14ac:dyDescent="0.3">
      <c r="H54" s="13"/>
    </row>
    <row r="55" spans="2:8" x14ac:dyDescent="0.3">
      <c r="B55" s="16" t="s">
        <v>2584</v>
      </c>
      <c r="H55" s="13"/>
    </row>
    <row r="56" spans="2:8" ht="57" x14ac:dyDescent="0.3">
      <c r="B56" s="26" t="s">
        <v>1397</v>
      </c>
      <c r="C56" s="426">
        <v>80598</v>
      </c>
      <c r="D56" s="28"/>
      <c r="E56" s="29" t="s">
        <v>1398</v>
      </c>
      <c r="H56" s="13"/>
    </row>
    <row r="57" spans="2:8" ht="68.400000000000006" x14ac:dyDescent="0.3">
      <c r="B57" s="26" t="s">
        <v>1399</v>
      </c>
      <c r="C57" s="427">
        <v>0</v>
      </c>
      <c r="D57" s="28"/>
      <c r="E57" s="29" t="str">
        <f>"Drives the reconciling line at 17 Model row 73. Held at zero deliberately. The historical residual is "&amp;TEXT('17 Model'!$H$73,"+#,##0;-#,##0")&amp;" (FY2023), "&amp;TEXT('17 Model'!$I$73,"+#,##0;-#,##0")&amp;" (FY2024), "&amp;TEXT('17 Model'!$J$73,"+#,##0;-#,##0")&amp;" (FY2025) and "&amp;TEXT('17 Model'!$K$73,"+#,##0;-#,##0")&amp;" (TTM Jun'26)"&amp;", and the TTM figure is mostly deferred tax on the equity-securities gain, which is forecast at zero, so extrapolating it would be wrong. Zero is the neutral choice, not a forecast. Set a view here if"&amp;" you want one."</f>
        <v>Drives the reconciling line at 17 Model row 73. Held at zero deliberately. The historical residual is -6,063 (FY2023), -9,201 (FY2024), +10,534 (FY2025) and +37,068 (TTM Jun'26), and the TTM figure is mostly deferred tax on the equity-securities gain, which is forecast at zero, so extrapolating it would be wrong. Zero is the neutral choice, not a forecast. Set a view here if you want one.</v>
      </c>
      <c r="H57" s="13"/>
    </row>
    <row r="58" spans="2:8" ht="57" x14ac:dyDescent="0.3">
      <c r="B58" s="26" t="s">
        <v>1518</v>
      </c>
      <c r="C58" s="428">
        <v>0.25</v>
      </c>
      <c r="D58" s="28"/>
      <c r="E58" s="29" t="s">
        <v>1519</v>
      </c>
      <c r="H58" s="13"/>
    </row>
    <row r="59" spans="2:8" ht="57" x14ac:dyDescent="0.3">
      <c r="B59" s="26" t="s">
        <v>2012</v>
      </c>
      <c r="C59" s="31">
        <v>-5200</v>
      </c>
      <c r="D59" s="28"/>
      <c r="E59" s="29" t="s">
        <v>2013</v>
      </c>
      <c r="H59" s="13"/>
    </row>
    <row r="60" spans="2:8" x14ac:dyDescent="0.3">
      <c r="B60" s="669" t="s">
        <v>1693</v>
      </c>
      <c r="C60" s="670"/>
      <c r="D60" s="670"/>
      <c r="E60" s="670"/>
      <c r="F60" s="670"/>
      <c r="G60" s="670"/>
      <c r="H60" s="670"/>
    </row>
    <row r="61" spans="2:8" x14ac:dyDescent="0.3">
      <c r="B61" s="382" t="s">
        <v>1578</v>
      </c>
      <c r="C61" s="382" t="s">
        <v>973</v>
      </c>
      <c r="D61" s="382" t="s">
        <v>974</v>
      </c>
      <c r="E61" s="382" t="s">
        <v>975</v>
      </c>
      <c r="F61" s="382" t="s">
        <v>976</v>
      </c>
      <c r="G61" s="382" t="s">
        <v>977</v>
      </c>
      <c r="H61" s="382" t="s">
        <v>970</v>
      </c>
    </row>
    <row r="62" spans="2:8" x14ac:dyDescent="0.3">
      <c r="B62" s="1" t="s">
        <v>1694</v>
      </c>
      <c r="C62" s="86">
        <f>'04 Balance Sheet'!G9/'01 Income Statement'!G6</f>
        <v>0.15514751068706742</v>
      </c>
      <c r="D62" s="376">
        <f t="shared" ref="D62:D67" si="0">$C62</f>
        <v>0.15514751068706742</v>
      </c>
      <c r="E62" s="376">
        <f t="shared" ref="E62:G67" si="1">$C62</f>
        <v>0.15514751068706742</v>
      </c>
      <c r="F62" s="376">
        <f t="shared" si="1"/>
        <v>0.15514751068706742</v>
      </c>
      <c r="G62" s="376">
        <f t="shared" si="1"/>
        <v>0.15514751068706742</v>
      </c>
      <c r="H62" s="381" t="s">
        <v>1703</v>
      </c>
    </row>
    <row r="63" spans="2:8" ht="27" x14ac:dyDescent="0.3">
      <c r="B63" s="1" t="s">
        <v>1695</v>
      </c>
      <c r="C63" s="86">
        <f>('04 Balance Sheet'!G10-'04 Balance Sheet'!G8-'04 Balance Sheet'!G9)/'01 Income Statement'!G6</f>
        <v>7.1490088950491845E-2</v>
      </c>
      <c r="D63" s="376">
        <f t="shared" si="0"/>
        <v>7.1490088950491845E-2</v>
      </c>
      <c r="E63" s="376">
        <f t="shared" si="1"/>
        <v>7.1490088950491845E-2</v>
      </c>
      <c r="F63" s="376">
        <f t="shared" si="1"/>
        <v>7.1490088950491845E-2</v>
      </c>
      <c r="G63" s="376">
        <f t="shared" si="1"/>
        <v>7.1490088950491845E-2</v>
      </c>
      <c r="H63" s="381" t="s">
        <v>1704</v>
      </c>
    </row>
    <row r="64" spans="2:8" ht="27" x14ac:dyDescent="0.3">
      <c r="B64" s="1" t="s">
        <v>1696</v>
      </c>
      <c r="C64" s="86">
        <f>'04 Balance Sheet'!G15/'01 Income Statement'!G6</f>
        <v>0.28284507004346598</v>
      </c>
      <c r="D64" s="376">
        <f t="shared" si="0"/>
        <v>0.28284507004346598</v>
      </c>
      <c r="E64" s="376">
        <f t="shared" si="1"/>
        <v>0.28284507004346598</v>
      </c>
      <c r="F64" s="376">
        <f t="shared" si="1"/>
        <v>0.28284507004346598</v>
      </c>
      <c r="G64" s="376">
        <f t="shared" si="1"/>
        <v>0.28284507004346598</v>
      </c>
      <c r="H64" s="381" t="s">
        <v>1705</v>
      </c>
    </row>
    <row r="65" spans="2:8" ht="27" x14ac:dyDescent="0.3">
      <c r="B65" s="1" t="s">
        <v>1697</v>
      </c>
      <c r="C65" s="86">
        <f>('04 Balance Sheet'!G18-'04 Balance Sheet'!G15-'04 Balance Sheet'!G17)/'01 Income Statement'!G6</f>
        <v>0.11805789183297224</v>
      </c>
      <c r="D65" s="376">
        <f t="shared" si="0"/>
        <v>0.11805789183297224</v>
      </c>
      <c r="E65" s="376">
        <f t="shared" si="1"/>
        <v>0.11805789183297224</v>
      </c>
      <c r="F65" s="376">
        <f t="shared" si="1"/>
        <v>0.11805789183297224</v>
      </c>
      <c r="G65" s="376">
        <f t="shared" si="1"/>
        <v>0.11805789183297224</v>
      </c>
      <c r="H65" s="381" t="s">
        <v>1706</v>
      </c>
    </row>
    <row r="66" spans="2:8" x14ac:dyDescent="0.3">
      <c r="B66" s="1" t="s">
        <v>1698</v>
      </c>
      <c r="C66" s="47">
        <f>'04 Balance Sheet'!G13</f>
        <v>57828</v>
      </c>
      <c r="D66" s="274">
        <f t="shared" si="0"/>
        <v>57828</v>
      </c>
      <c r="E66" s="274">
        <f t="shared" si="1"/>
        <v>57828</v>
      </c>
      <c r="F66" s="274">
        <f t="shared" si="1"/>
        <v>57828</v>
      </c>
      <c r="G66" s="274">
        <f t="shared" si="1"/>
        <v>57828</v>
      </c>
      <c r="H66" s="381" t="s">
        <v>1707</v>
      </c>
    </row>
    <row r="67" spans="2:8" x14ac:dyDescent="0.3">
      <c r="B67" s="1" t="s">
        <v>1699</v>
      </c>
      <c r="C67" s="47">
        <f>'04 Balance Sheet'!G14-'04 Balance Sheet'!G10-'04 Balance Sheet'!G12-'04 Balance Sheet'!G13</f>
        <v>199419</v>
      </c>
      <c r="D67" s="274">
        <f t="shared" si="0"/>
        <v>199419</v>
      </c>
      <c r="E67" s="274">
        <f t="shared" si="1"/>
        <v>199419</v>
      </c>
      <c r="F67" s="274">
        <f t="shared" si="1"/>
        <v>199419</v>
      </c>
      <c r="G67" s="274">
        <f t="shared" si="1"/>
        <v>199419</v>
      </c>
      <c r="H67" s="381" t="s">
        <v>1708</v>
      </c>
    </row>
    <row r="68" spans="2:8" ht="27" x14ac:dyDescent="0.3">
      <c r="B68" s="1" t="s">
        <v>1700</v>
      </c>
      <c r="C68" s="383">
        <v>0.87239999999999995</v>
      </c>
      <c r="D68" s="383">
        <v>0.9153</v>
      </c>
      <c r="E68" s="383">
        <v>0.9546</v>
      </c>
      <c r="F68" s="384">
        <f>E68*1.05</f>
        <v>1.0023299999999999</v>
      </c>
      <c r="G68" s="384">
        <f>F68*1.05</f>
        <v>1.0524465000000001</v>
      </c>
      <c r="H68" s="381" t="s">
        <v>1709</v>
      </c>
    </row>
    <row r="69" spans="2:8" ht="27" x14ac:dyDescent="0.3">
      <c r="B69" s="1" t="s">
        <v>1701</v>
      </c>
      <c r="C69" s="35">
        <v>0</v>
      </c>
      <c r="D69" s="35">
        <v>0</v>
      </c>
      <c r="E69" s="35">
        <v>0</v>
      </c>
      <c r="F69" s="35">
        <v>0</v>
      </c>
      <c r="G69" s="35">
        <v>0</v>
      </c>
      <c r="H69" s="381" t="s">
        <v>1710</v>
      </c>
    </row>
    <row r="70" spans="2:8" ht="27" x14ac:dyDescent="0.3">
      <c r="B70" s="1" t="s">
        <v>1702</v>
      </c>
      <c r="C70" s="35">
        <v>0</v>
      </c>
      <c r="D70" s="35">
        <v>0</v>
      </c>
      <c r="E70" s="35">
        <v>0</v>
      </c>
      <c r="F70" s="35">
        <v>0</v>
      </c>
      <c r="G70" s="35">
        <v>0</v>
      </c>
      <c r="H70" s="381" t="s">
        <v>1711</v>
      </c>
    </row>
    <row r="72" spans="2:8" x14ac:dyDescent="0.3">
      <c r="B72" s="16" t="s">
        <v>2585</v>
      </c>
      <c r="C72" s="425"/>
      <c r="D72" s="425"/>
      <c r="E72" s="425"/>
      <c r="F72" s="425"/>
      <c r="G72" s="425"/>
      <c r="H72" s="20"/>
    </row>
    <row r="73" spans="2:8" x14ac:dyDescent="0.3">
      <c r="C73" s="424" t="s">
        <v>973</v>
      </c>
      <c r="D73" s="424" t="s">
        <v>974</v>
      </c>
      <c r="E73" s="424" t="s">
        <v>975</v>
      </c>
      <c r="F73" s="424" t="s">
        <v>976</v>
      </c>
      <c r="G73" s="424" t="s">
        <v>977</v>
      </c>
      <c r="H73" s="355" t="s">
        <v>978</v>
      </c>
    </row>
    <row r="74" spans="2:8" ht="91.2" x14ac:dyDescent="0.3">
      <c r="B74" s="18" t="s">
        <v>1941</v>
      </c>
      <c r="C74" s="33"/>
      <c r="D74" s="488">
        <v>0.3</v>
      </c>
      <c r="E74" s="488">
        <v>0.3</v>
      </c>
      <c r="F74" s="488">
        <v>0.3</v>
      </c>
      <c r="G74" s="488">
        <v>0.3</v>
      </c>
      <c r="H74" s="19" t="str">
        <f>"17 Model row 14: Cloud(t) = Cloud(t-1) + this x capex(t-1). Set 2026-10-07 (entry 61) to 30 cents, the FY2024-FY2025 history ("&amp;TEXT('DCF Base Model'!$I$114,"0.0")&amp;" and "&amp;TEXT('DCF Base Model'!$J$114,"0.0")&amp;" cents). The earlier 22.4-25.0 only reproduced the old growth-rate path and was never a view. FY2026E runs about 45 on the supply-constrained H1 pace and keeps its growth rate in row 18. Backlog check"&amp;" (17 Model rows 107-112): modeled Cloud revenue in the 24 months after Jun'26 is "&amp;TEXT('DCF Base Model'!$O$108,"#,##0")&amp;" against "&amp;TEXT('DCF Base Model'!$O$109,"#,##0")&amp;" of backlog converting, "&amp;TEXT('DCF Base Model'!$O$111,"0%")&amp;" beyond signed contracts."</f>
        <v>17 Model row 14: Cloud(t) = Cloud(t-1) + this x capex(t-1). Set 2026-10-07 (entry 61) to 30 cents, the FY2024-FY2025 history (31.4 and 29.5 cents). The earlier 22.4-25.0 only reproduced the old growth-rate path and was never a view. FY2026E runs about 45 on the supply-constrained H1 pace and keeps its growth rate in row 18. Backlog check (17 Model rows 107-112): modeled Cloud revenue in the 24 months after Jun'26 is 333,676 against 256,950 of backlog converting, 30% beyond signed contracts.</v>
      </c>
    </row>
    <row r="75" spans="2:8" ht="34.200000000000003" x14ac:dyDescent="0.3">
      <c r="B75" s="26" t="s">
        <v>1942</v>
      </c>
      <c r="C75" s="34"/>
      <c r="D75" s="489">
        <v>0.33</v>
      </c>
      <c r="E75" s="489">
        <v>0.34</v>
      </c>
      <c r="F75" s="489">
        <v>0.35499999999999998</v>
      </c>
      <c r="G75" s="489">
        <v>0.374</v>
      </c>
      <c r="H75" s="29" t="s">
        <v>2400</v>
      </c>
    </row>
    <row r="76" spans="2:8" ht="45.6" x14ac:dyDescent="0.3">
      <c r="B76" s="22" t="s">
        <v>1943</v>
      </c>
      <c r="C76" s="32"/>
      <c r="D76" s="490">
        <v>0.20100000000000001</v>
      </c>
      <c r="E76" s="490">
        <v>0.184</v>
      </c>
      <c r="F76" s="490">
        <v>0.185</v>
      </c>
      <c r="G76" s="490">
        <v>0.19500000000000001</v>
      </c>
      <c r="H76" s="25" t="s">
        <v>2557</v>
      </c>
    </row>
    <row r="78" spans="2:8" ht="45.6" x14ac:dyDescent="0.3">
      <c r="B78" s="26" t="s">
        <v>1944</v>
      </c>
      <c r="C78" s="491">
        <v>1</v>
      </c>
      <c r="D78" s="28"/>
      <c r="E78" s="360" t="s">
        <v>1945</v>
      </c>
      <c r="F78" s="28"/>
      <c r="G78" s="28"/>
      <c r="H78" s="29"/>
    </row>
    <row r="79" spans="2:8" ht="79.8" x14ac:dyDescent="0.3">
      <c r="B79" s="26" t="s">
        <v>1946</v>
      </c>
      <c r="C79" s="491">
        <v>10</v>
      </c>
      <c r="D79" s="28"/>
      <c r="E79" s="360" t="s">
        <v>2556</v>
      </c>
      <c r="F79" s="28"/>
      <c r="G79" s="28"/>
      <c r="H79" s="29"/>
    </row>
    <row r="80" spans="2:8" ht="193.8" x14ac:dyDescent="0.3">
      <c r="B80" s="26" t="s">
        <v>1947</v>
      </c>
      <c r="C80" s="34">
        <v>0.15</v>
      </c>
      <c r="D80" s="28"/>
      <c r="E80" s="360" t="str">
        <f>_xlfn._LONGTEXT("Return on each new dollar reinvested after FY2030E. It sets terminal reinvestment (growth / this x NOPAT) and, since 2026-10-07, the terminal margin (row 104). In that steady state the return on the whole capital base equals this figure, so it is a statem","ent about the legacy business as well as the new capital; 11 Valuation rows 96-112 show the value with the FY2030E margin held and reconcile the DCF to the multiples. Why 15% in the base: (1) the five-year b")&amp;"uild earns about "&amp;TEXT('20 DCF Valuation'!$C$71,"0%")&amp;" in the base case (20 DCF Valuation C71), so 15% assumes post-2030 investment earns about what the AI build earns; (2) it sits "&amp;TEXT(($C$80-'20 DCF Valuation'!$H$18)*100,"0.0")&amp;" points above the "&amp;TEXT('20 DCF Valuation'!$H$18,"0.0%")&amp;" WACC, so growth still adds value; (3) it is well below Alphabet's TTM ROIC of "&amp;TEXT('11 Valuation'!$C$38/100,"0%")&amp;" (11 Valuation C38), which the capital-light search business earns and new data-centre capital will not resemble; (4) capital-heavy peers bracket it: Amazon "&amp;TEXT('12 Peers'!$L$9/100,"0%")&amp;", Microsoft "&amp;TEXT('12 Peers'!$L$7/100,"0%")&amp;" (12 Peers). A judgment, not a derived figure, set toward the conservative side of that range. Best 25% (what the existing base earns), worst 10% (about the cost of capital). 10% and 25% move base val"&amp;"ue by about -$41 and +$51. Sensitivities and confidence: the assumptions rationale."</f>
        <v>Return on each new dollar reinvested after FY2030E. It sets terminal reinvestment (growth / this x NOPAT) and, since 2026-10-07, the terminal margin (row 104). In that steady state the return on the whole capital base equals this figure, so it is a statement about the legacy business as well as the new capital; 11 Valuation rows 96-112 show the value with the FY2030E margin held and reconcile the DCF to the multiples. Why 15% in the base: (1) the five-year build earns about 15% in the base case (20 DCF Valuation C71), so 15% assumes post-2030 investment earns about what the AI build earns; (2) it sits 5.4 points above the 9.6% WACC, so growth still adds value; (3) it is well below Alphabet's TTM ROIC of 29% (11 Valuation C38), which the capital-light search business earns and new data-centre capital will not resemble; (4) capital-heavy peers bracket it: Amazon 12%, Microsoft 26% (12 Peers). A judgment, not a derived figure, set toward the conservative side of that range. Best 25% (what the existing base earns), worst 10% (about the cost of capital). 10% and 25% move base value by about -$41 and +$51. Sensitivities and confidence: the assumptions rationale.</v>
      </c>
      <c r="F80" s="28"/>
      <c r="G80" s="28"/>
      <c r="H80" s="29"/>
    </row>
    <row r="81" spans="2:8" x14ac:dyDescent="0.3">
      <c r="B81" s="26" t="s">
        <v>1948</v>
      </c>
      <c r="C81" s="34">
        <v>0.25</v>
      </c>
      <c r="D81" s="28"/>
      <c r="E81" s="360" t="s">
        <v>1949</v>
      </c>
      <c r="F81" s="28"/>
      <c r="G81" s="28"/>
      <c r="H81" s="29"/>
    </row>
    <row r="82" spans="2:8" ht="22.8" x14ac:dyDescent="0.3">
      <c r="B82" s="26" t="s">
        <v>1950</v>
      </c>
      <c r="C82" s="34">
        <v>0.1</v>
      </c>
      <c r="D82" s="28"/>
      <c r="E82" s="360" t="s">
        <v>1951</v>
      </c>
      <c r="F82" s="28"/>
      <c r="G82" s="28"/>
      <c r="H82" s="29"/>
    </row>
    <row r="84" spans="2:8" x14ac:dyDescent="0.3">
      <c r="B84" s="16" t="s">
        <v>2586</v>
      </c>
      <c r="C84" s="425"/>
      <c r="D84" s="425"/>
      <c r="E84" s="425"/>
      <c r="F84" s="425"/>
      <c r="G84" s="425"/>
      <c r="H84" s="20"/>
    </row>
    <row r="85" spans="2:8" ht="57" x14ac:dyDescent="0.3">
      <c r="B85" s="22" t="s">
        <v>2073</v>
      </c>
      <c r="C85" s="519">
        <v>0.21</v>
      </c>
      <c r="D85" s="24"/>
      <c r="E85" s="25" t="str">
        <f>"Not disclosed: the Q2 2026 10-Q tax note (R23, R81, R82) gives only effective rates and unrecognised benefits. 21% is the US federal statutory rate. Corroboration: the net deferred tax liability rose "&amp;TEXT('04 Balance Sheet'!$G$36-'04 Balance Sheet'!$E$36,"#,##0")&amp;" in H1'26, "&amp;TEXT('04 Balance Sheet'!$G$37,"0.0%")&amp;" of the "&amp;TEXT('06 Core EPS Bridge'!$J$7,"#,##0")&amp;" of H1 gains, most of them unrealised (04 Balance Sheet rows 34-37)."</f>
        <v>Not disclosed: the Q2 2026 10-Q tax note (R23, R81, R82) gives only effective rates and unrecognised benefits. 21% is the US federal statutory rate. Corroboration: the net deferred tax liability rose 29,565 in H1'26, 21.7% of the 135,946 of H1 gains, most of them unrealised (04 Balance Sheet rows 34-37).</v>
      </c>
      <c r="F85" s="24"/>
      <c r="G85" s="24"/>
      <c r="H85" s="354"/>
    </row>
    <row r="86" spans="2:8" ht="45.6" x14ac:dyDescent="0.3">
      <c r="B86" s="22" t="s">
        <v>2398</v>
      </c>
      <c r="C86" s="520">
        <f>AVERAGE('06 Core EPS Bridge'!D36,'06 Core EPS Bridge'!E36,'06 Core EPS Bridge'!J36)/100</f>
        <v>0.16112010082186476</v>
      </c>
      <c r="D86" s="24"/>
      <c r="E86" s="25" t="str">
        <f>"DERIVED. Core rates on 06 Core EPS Bridge row 36: FY2024 "&amp;TEXT('06 Core EPS Bridge'!$D$36,"0.0")&amp;"%, FY2025 "&amp;TEXT('06 Core EPS Bridge'!$E$36,"0.0")&amp;"%, H1'26 "&amp;TEXT('06 Core EPS Bridge'!$J$36,"0.0")&amp;"%. FY2023 ("&amp;TEXT('06 Core EPS Bridge'!$C$36,"0.0")&amp;"%) is left out since 2026-10-07 (entry 61): it is older and below every later period, which cluster within half a point. Quarters are left out because they overlap H1'26."</f>
        <v>DERIVED. Core rates on 06 Core EPS Bridge row 36: FY2024 16.3%, FY2025 16.0%, H1'26 16.0%. FY2023 (13.9%) is left out since 2026-10-07 (entry 61): it is older and below every later period, which cluster within half a point. Quarters are left out because they overlap H1'26.</v>
      </c>
      <c r="F86" s="24"/>
      <c r="G86" s="24"/>
      <c r="H86" s="354"/>
    </row>
    <row r="87" spans="2:8" ht="34.200000000000003" x14ac:dyDescent="0.3">
      <c r="B87" s="22" t="s">
        <v>2074</v>
      </c>
      <c r="C87" s="519"/>
      <c r="D87" s="24"/>
      <c r="E87" s="25" t="s">
        <v>2775</v>
      </c>
      <c r="F87" s="24"/>
      <c r="G87" s="24"/>
      <c r="H87" s="354"/>
    </row>
    <row r="89" spans="2:8" x14ac:dyDescent="0.3">
      <c r="B89" s="16" t="s">
        <v>2587</v>
      </c>
      <c r="C89" s="425"/>
      <c r="D89" s="425"/>
      <c r="E89" s="425"/>
      <c r="F89" s="425"/>
      <c r="G89" s="425"/>
      <c r="H89" s="20"/>
    </row>
    <row r="90" spans="2:8" ht="57" x14ac:dyDescent="0.3">
      <c r="B90" s="26" t="s">
        <v>2096</v>
      </c>
      <c r="C90" s="491">
        <v>1</v>
      </c>
      <c r="D90" s="28"/>
      <c r="E90" s="360" t="s">
        <v>2097</v>
      </c>
      <c r="F90" s="28"/>
      <c r="G90" s="28"/>
      <c r="H90" s="29"/>
    </row>
    <row r="91" spans="2:8" ht="79.8" x14ac:dyDescent="0.3">
      <c r="B91" s="26" t="s">
        <v>2098</v>
      </c>
      <c r="C91" s="491">
        <v>1</v>
      </c>
      <c r="D91" s="28"/>
      <c r="E91" s="360" t="s">
        <v>2401</v>
      </c>
      <c r="F91" s="28"/>
      <c r="G91" s="28"/>
      <c r="H91" s="29"/>
    </row>
    <row r="92" spans="2:8" x14ac:dyDescent="0.3">
      <c r="B92" s="1" t="s">
        <v>2099</v>
      </c>
      <c r="C92" s="424" t="s">
        <v>1685</v>
      </c>
      <c r="D92" s="424" t="s">
        <v>1686</v>
      </c>
      <c r="E92" s="424" t="s">
        <v>1687</v>
      </c>
      <c r="F92" s="424"/>
      <c r="G92" s="424"/>
      <c r="H92" s="355" t="s">
        <v>2100</v>
      </c>
    </row>
    <row r="93" spans="2:8" ht="30" customHeight="1" x14ac:dyDescent="0.3">
      <c r="B93" s="26" t="s">
        <v>2101</v>
      </c>
      <c r="C93" s="427">
        <f>'DCF Base Drivers'!G25</f>
        <v>0.373</v>
      </c>
      <c r="D93" s="427">
        <f>'DCF Best Drivers'!G25</f>
        <v>0.39800000000000002</v>
      </c>
      <c r="E93" s="535">
        <f>'DCF Worst Drivers'!G25</f>
        <v>0.32500000000000001</v>
      </c>
      <c r="F93" s="28"/>
      <c r="G93" s="28"/>
      <c r="H93" s="29" t="s">
        <v>2102</v>
      </c>
    </row>
    <row r="94" spans="2:8" ht="30" customHeight="1" x14ac:dyDescent="0.3">
      <c r="B94" s="26" t="s">
        <v>2103</v>
      </c>
      <c r="C94" s="536">
        <f>'17 Model'!$K$64/'17 Model'!$K$23</f>
        <v>5.6602207838229425E-2</v>
      </c>
      <c r="D94" s="536">
        <f>'17 Model'!$K$64/'17 Model'!$K$23</f>
        <v>5.6602207838229425E-2</v>
      </c>
      <c r="E94" s="537">
        <f>'17 Model'!$K$64/'17 Model'!$K$23</f>
        <v>5.6602207838229425E-2</v>
      </c>
      <c r="F94" s="28"/>
      <c r="G94" s="28"/>
      <c r="H94" s="29" t="s">
        <v>2104</v>
      </c>
    </row>
    <row r="95" spans="2:8" ht="30" customHeight="1" x14ac:dyDescent="0.3">
      <c r="B95" s="26" t="s">
        <v>2105</v>
      </c>
      <c r="C95" s="428">
        <f>'DCF Base Drivers'!C29</f>
        <v>8.3333333333333339</v>
      </c>
      <c r="D95" s="428">
        <f>'DCF Best Drivers'!C29</f>
        <v>9.7560975609756095</v>
      </c>
      <c r="E95" s="538">
        <f>'DCF Worst Drivers'!C29</f>
        <v>6.9767441860465116</v>
      </c>
      <c r="F95" s="28"/>
      <c r="G95" s="28"/>
      <c r="H95" s="29" t="s">
        <v>2106</v>
      </c>
    </row>
    <row r="96" spans="2:8" ht="30" customHeight="1" x14ac:dyDescent="0.3">
      <c r="B96" s="26" t="s">
        <v>1650</v>
      </c>
      <c r="C96" s="427">
        <f>'20 DCF Valuation'!$H$19</f>
        <v>0.03</v>
      </c>
      <c r="D96" s="427">
        <f>'20 DCF Valuation'!$H$19</f>
        <v>0.03</v>
      </c>
      <c r="E96" s="535">
        <f>'20 DCF Valuation'!$H$19</f>
        <v>0.03</v>
      </c>
      <c r="F96" s="28"/>
      <c r="G96" s="28"/>
      <c r="H96" s="29" t="s">
        <v>2107</v>
      </c>
    </row>
    <row r="97" spans="2:8" ht="30" customHeight="1" x14ac:dyDescent="0.3">
      <c r="B97" s="26" t="s">
        <v>1957</v>
      </c>
      <c r="C97" s="539">
        <f>$C$80</f>
        <v>0.15</v>
      </c>
      <c r="D97" s="539">
        <f>$C$81</f>
        <v>0.25</v>
      </c>
      <c r="E97" s="540">
        <f>$C$82</f>
        <v>0.1</v>
      </c>
      <c r="F97" s="28"/>
      <c r="G97" s="28"/>
      <c r="H97" s="29" t="s">
        <v>2108</v>
      </c>
    </row>
    <row r="98" spans="2:8" ht="30" customHeight="1" x14ac:dyDescent="0.3">
      <c r="B98" s="26" t="s">
        <v>2109</v>
      </c>
      <c r="C98" s="541">
        <f>$C$42</f>
        <v>0.9</v>
      </c>
      <c r="D98" s="541">
        <f>$C$42</f>
        <v>0.9</v>
      </c>
      <c r="E98" s="542">
        <f>$C$42</f>
        <v>0.9</v>
      </c>
      <c r="F98" s="28"/>
      <c r="G98" s="28"/>
      <c r="H98" s="29" t="s">
        <v>2110</v>
      </c>
    </row>
    <row r="99" spans="2:8" ht="30" customHeight="1" x14ac:dyDescent="0.3">
      <c r="B99" s="26" t="s">
        <v>2111</v>
      </c>
      <c r="C99" s="543">
        <f>(1+C96)^-(C98-0.5)*(1-(1+C96)^-C95)/(C96*C95)</f>
        <v>0.8630573405179276</v>
      </c>
      <c r="D99" s="543">
        <f>(1+D96)^-(D98-0.5)*(1-(1+D96)^-D95)/(D96*D95)</f>
        <v>0.84589003260235884</v>
      </c>
      <c r="E99" s="544">
        <f>(1+E96)^-(E98-0.5)*(1-(1+E96)^-E95)/(E96*E95)</f>
        <v>0.87987094318176562</v>
      </c>
      <c r="F99" s="28"/>
      <c r="G99" s="28"/>
      <c r="H99" s="29" t="s">
        <v>2112</v>
      </c>
    </row>
    <row r="100" spans="2:8" ht="30" customHeight="1" x14ac:dyDescent="0.3">
      <c r="B100" s="26" t="s">
        <v>2113</v>
      </c>
      <c r="C100" s="539">
        <f>(C96/C97)*(1-$C$10)*(C93+C94)/((1-C99)+(C96/C97)*(1-$C$10)*C99)</f>
        <v>0.25582514574573939</v>
      </c>
      <c r="D100" s="539">
        <f>(D96/D97)*(1-$C$10)*(D93+D94)/((1-D99)+(D96/D97)*(1-$C$10)*D99)</f>
        <v>0.19126648366607549</v>
      </c>
      <c r="E100" s="540">
        <f>(E96/E97)*(1-$C$10)*(E93+E94)/((1-E99)+(E96/E97)*(1-$C$10)*E99)</f>
        <v>0.28116665161255361</v>
      </c>
      <c r="F100" s="28"/>
      <c r="G100" s="28"/>
      <c r="H100" s="29" t="s">
        <v>2114</v>
      </c>
    </row>
    <row r="101" spans="2:8" ht="30" customHeight="1" x14ac:dyDescent="0.3">
      <c r="B101" s="26" t="s">
        <v>2115</v>
      </c>
      <c r="C101" s="34"/>
      <c r="D101" s="34"/>
      <c r="E101" s="545"/>
      <c r="F101" s="28"/>
      <c r="G101" s="28"/>
      <c r="H101" s="29" t="s">
        <v>2776</v>
      </c>
    </row>
    <row r="102" spans="2:8" ht="30" customHeight="1" x14ac:dyDescent="0.3">
      <c r="B102" s="26" t="s">
        <v>2116</v>
      </c>
      <c r="C102" s="539">
        <f>IF(ISNUMBER(C101),C101,C100)</f>
        <v>0.25582514574573939</v>
      </c>
      <c r="D102" s="539">
        <f>IF(ISNUMBER(D101),D101,D100)</f>
        <v>0.19126648366607549</v>
      </c>
      <c r="E102" s="540">
        <f>IF(ISNUMBER(E101),E101,E100)</f>
        <v>0.28116665161255361</v>
      </c>
      <c r="F102" s="28"/>
      <c r="G102" s="28"/>
      <c r="H102" s="29"/>
    </row>
    <row r="103" spans="2:8" ht="30" customHeight="1" x14ac:dyDescent="0.3">
      <c r="B103" s="26" t="s">
        <v>2117</v>
      </c>
      <c r="C103" s="539">
        <f>C102*C99</f>
        <v>0.22079176992492905</v>
      </c>
      <c r="D103" s="539">
        <f>D102*D99</f>
        <v>0.16179041210403514</v>
      </c>
      <c r="E103" s="540">
        <f>E102*E99</f>
        <v>0.24739036694559643</v>
      </c>
      <c r="F103" s="28"/>
      <c r="G103" s="28"/>
      <c r="H103" s="29" t="s">
        <v>2118</v>
      </c>
    </row>
    <row r="104" spans="2:8" ht="30" customHeight="1" x14ac:dyDescent="0.3">
      <c r="B104" s="26" t="s">
        <v>2119</v>
      </c>
      <c r="C104" s="539">
        <f>C93+C94-C103</f>
        <v>0.2088104379133004</v>
      </c>
      <c r="D104" s="539">
        <f>D93+D94-D103</f>
        <v>0.29281179573419436</v>
      </c>
      <c r="E104" s="540">
        <f>E93+E94-E103</f>
        <v>0.13421184089263302</v>
      </c>
      <c r="F104" s="28"/>
      <c r="G104" s="28"/>
      <c r="H104" s="29" t="s">
        <v>2120</v>
      </c>
    </row>
    <row r="105" spans="2:8" ht="30" customHeight="1" x14ac:dyDescent="0.3">
      <c r="B105" s="26" t="s">
        <v>2121</v>
      </c>
      <c r="C105" s="34"/>
      <c r="D105" s="34"/>
      <c r="E105" s="545"/>
      <c r="F105" s="28"/>
      <c r="G105" s="28"/>
      <c r="H105" s="29" t="s">
        <v>2777</v>
      </c>
    </row>
    <row r="106" spans="2:8" ht="30" customHeight="1" x14ac:dyDescent="0.3">
      <c r="B106" s="26" t="s">
        <v>2122</v>
      </c>
      <c r="C106" s="539">
        <f>IF(ISNUMBER(C105),C105,C104)</f>
        <v>0.2088104379133004</v>
      </c>
      <c r="D106" s="539">
        <f>IF(ISNUMBER(D105),D105,D104)</f>
        <v>0.29281179573419436</v>
      </c>
      <c r="E106" s="540">
        <f>IF(ISNUMBER(E105),E105,E104)</f>
        <v>0.13421184089263302</v>
      </c>
      <c r="F106" s="28"/>
      <c r="G106" s="28"/>
      <c r="H106" s="29" t="s">
        <v>2123</v>
      </c>
    </row>
    <row r="107" spans="2:8" ht="30" customHeight="1" x14ac:dyDescent="0.3">
      <c r="B107" s="26" t="s">
        <v>2124</v>
      </c>
      <c r="C107" s="539">
        <f>C102*(1-C99)/(C106*(1-$C$10))</f>
        <v>0.19999999999999996</v>
      </c>
      <c r="D107" s="539">
        <f>D102*(1-D99)/(D106*(1-$C$10))</f>
        <v>0.11999999999999998</v>
      </c>
      <c r="E107" s="540">
        <f>E102*(1-E99)/(E106*(1-$C$10))</f>
        <v>0.29999999999999993</v>
      </c>
      <c r="F107" s="28"/>
      <c r="G107" s="28"/>
      <c r="H107" s="29" t="s">
        <v>2125</v>
      </c>
    </row>
    <row r="108" spans="2:8" ht="30" customHeight="1" x14ac:dyDescent="0.3">
      <c r="B108" s="26" t="s">
        <v>2126</v>
      </c>
      <c r="C108" s="539">
        <f>C96/C97</f>
        <v>0.2</v>
      </c>
      <c r="D108" s="539">
        <f>D96/D97</f>
        <v>0.12</v>
      </c>
      <c r="E108" s="540">
        <f>E96/E97</f>
        <v>0.3</v>
      </c>
      <c r="F108" s="28"/>
      <c r="G108" s="28"/>
      <c r="H108" s="29"/>
    </row>
    <row r="109" spans="2:8" ht="30" customHeight="1" x14ac:dyDescent="0.3">
      <c r="B109" s="26" t="s">
        <v>2127</v>
      </c>
      <c r="C109" s="427">
        <f>'DCF Base Model'!P25</f>
        <v>0.28565561423105057</v>
      </c>
      <c r="D109" s="427">
        <f>'DCF Best Model'!P25</f>
        <v>0.34540843283143779</v>
      </c>
      <c r="E109" s="535">
        <f>'DCF Worst Model'!P25</f>
        <v>0.17642158381700743</v>
      </c>
      <c r="F109" s="28"/>
      <c r="G109" s="28"/>
      <c r="H109" s="29"/>
    </row>
    <row r="111" spans="2:8" x14ac:dyDescent="0.3">
      <c r="B111" s="16" t="s">
        <v>2588</v>
      </c>
      <c r="C111" s="425"/>
      <c r="D111" s="425"/>
      <c r="E111" s="425"/>
      <c r="F111" s="425"/>
      <c r="G111" s="425"/>
      <c r="H111" s="20"/>
    </row>
    <row r="112" spans="2:8" ht="22.8" x14ac:dyDescent="0.3">
      <c r="B112" s="26" t="s">
        <v>2165</v>
      </c>
      <c r="C112" s="31">
        <v>513900</v>
      </c>
      <c r="D112" s="28"/>
      <c r="E112" s="360" t="s">
        <v>2166</v>
      </c>
      <c r="F112" s="28"/>
      <c r="G112" s="28"/>
      <c r="H112" s="29"/>
    </row>
    <row r="113" spans="2:8" ht="34.200000000000003" x14ac:dyDescent="0.3">
      <c r="B113" s="26" t="s">
        <v>2167</v>
      </c>
      <c r="C113" s="36">
        <v>0.5</v>
      </c>
      <c r="D113" s="28"/>
      <c r="E113" s="360" t="s">
        <v>2168</v>
      </c>
      <c r="F113" s="28"/>
      <c r="G113" s="28"/>
      <c r="H113" s="29"/>
    </row>
    <row r="114" spans="2:8" ht="34.200000000000003" x14ac:dyDescent="0.3">
      <c r="B114" s="26" t="s">
        <v>2169</v>
      </c>
      <c r="C114" s="36">
        <v>0.1</v>
      </c>
      <c r="D114" s="28"/>
      <c r="E114" s="360" t="s">
        <v>2170</v>
      </c>
      <c r="F114" s="28"/>
      <c r="G114" s="28"/>
      <c r="H114" s="29"/>
    </row>
    <row r="116" spans="2:8" x14ac:dyDescent="0.3">
      <c r="B116" s="16" t="s">
        <v>2589</v>
      </c>
      <c r="C116" s="425"/>
      <c r="D116" s="425"/>
      <c r="E116" s="425"/>
      <c r="F116" s="425"/>
      <c r="G116" s="425"/>
      <c r="H116" s="20"/>
    </row>
    <row r="117" spans="2:8" ht="34.200000000000003" x14ac:dyDescent="0.3">
      <c r="B117" s="26" t="s">
        <v>2185</v>
      </c>
      <c r="C117" s="491">
        <v>0</v>
      </c>
      <c r="D117" s="28"/>
      <c r="E117" s="360" t="s">
        <v>2778</v>
      </c>
      <c r="F117" s="28"/>
      <c r="G117" s="28"/>
      <c r="H117" s="29"/>
    </row>
    <row r="118" spans="2:8" x14ac:dyDescent="0.3">
      <c r="B118" s="1" t="s">
        <v>2186</v>
      </c>
      <c r="C118" s="424" t="s">
        <v>1685</v>
      </c>
      <c r="D118" s="424" t="s">
        <v>1686</v>
      </c>
      <c r="E118" s="424" t="s">
        <v>1687</v>
      </c>
      <c r="F118" s="424"/>
      <c r="G118" s="424"/>
      <c r="H118" s="355" t="s">
        <v>978</v>
      </c>
    </row>
    <row r="119" spans="2:8" ht="30" customHeight="1" x14ac:dyDescent="0.3">
      <c r="B119" s="26" t="s">
        <v>2187</v>
      </c>
      <c r="C119" s="555">
        <v>0</v>
      </c>
      <c r="D119" s="555">
        <v>0.02</v>
      </c>
      <c r="E119" s="556">
        <v>-0.02</v>
      </c>
      <c r="F119" s="28"/>
      <c r="G119" s="28"/>
      <c r="H119" s="29" t="s">
        <v>2431</v>
      </c>
    </row>
    <row r="120" spans="2:8" ht="30" customHeight="1" x14ac:dyDescent="0.3">
      <c r="B120" s="26" t="s">
        <v>2188</v>
      </c>
      <c r="C120" s="555">
        <v>0</v>
      </c>
      <c r="D120" s="555">
        <v>0.05</v>
      </c>
      <c r="E120" s="556">
        <v>-0.05</v>
      </c>
      <c r="F120" s="28"/>
      <c r="G120" s="28"/>
      <c r="H120" s="29" t="s">
        <v>2432</v>
      </c>
    </row>
    <row r="121" spans="2:8" ht="30" customHeight="1" x14ac:dyDescent="0.3">
      <c r="B121" s="26" t="s">
        <v>2189</v>
      </c>
      <c r="C121" s="555">
        <v>0</v>
      </c>
      <c r="D121" s="555">
        <v>0</v>
      </c>
      <c r="E121" s="556">
        <v>0</v>
      </c>
      <c r="F121" s="28"/>
      <c r="G121" s="28"/>
      <c r="H121" s="29" t="s">
        <v>2190</v>
      </c>
    </row>
    <row r="122" spans="2:8" x14ac:dyDescent="0.3">
      <c r="B122" s="1" t="s">
        <v>2191</v>
      </c>
      <c r="C122" s="424"/>
      <c r="D122" s="424"/>
      <c r="E122" s="424"/>
      <c r="F122" s="424"/>
      <c r="G122" s="424"/>
      <c r="H122" s="355" t="s">
        <v>2192</v>
      </c>
    </row>
    <row r="123" spans="2:8" x14ac:dyDescent="0.3">
      <c r="B123" s="26" t="s">
        <v>2193</v>
      </c>
      <c r="C123" s="427">
        <f>('03 Segments'!G20+'03 Segments'!I20)/('03 Segments'!G12+'03 Segments'!I12)</f>
        <v>0.43508690010153278</v>
      </c>
      <c r="D123" s="28"/>
      <c r="E123" s="360" t="s">
        <v>2194</v>
      </c>
      <c r="F123" s="28"/>
      <c r="G123" s="28"/>
      <c r="H123" s="29"/>
    </row>
    <row r="124" spans="2:8" ht="34.200000000000003" x14ac:dyDescent="0.3">
      <c r="B124" s="26" t="s">
        <v>2195</v>
      </c>
      <c r="C124" s="427">
        <f>('03 Segments'!G21+'03 Segments'!I21)/('03 Segments'!G13+'03 Segments'!I13)</f>
        <v>0.34404857576569337</v>
      </c>
      <c r="D124" s="28"/>
      <c r="E124" s="360" t="s">
        <v>2196</v>
      </c>
      <c r="F124" s="28"/>
      <c r="G124" s="28"/>
      <c r="H124" s="29"/>
    </row>
    <row r="125" spans="2:8" x14ac:dyDescent="0.3">
      <c r="B125" s="26" t="s">
        <v>2197</v>
      </c>
      <c r="C125" s="427">
        <f>('03 Segments'!G22+'03 Segments'!I22+'03 Segments'!G23+'03 Segments'!I23)/('03 Segments'!G16+'03 Segments'!I16)</f>
        <v>-6.5648781846995102E-2</v>
      </c>
      <c r="D125" s="28"/>
      <c r="E125" s="360" t="s">
        <v>2198</v>
      </c>
      <c r="F125" s="28"/>
      <c r="G125" s="28"/>
      <c r="H125" s="29"/>
    </row>
    <row r="126" spans="2:8" ht="34.200000000000003" x14ac:dyDescent="0.3">
      <c r="B126" s="26" t="s">
        <v>2199</v>
      </c>
      <c r="C126" s="427">
        <f>'09 Cash Flow'!G22/('03 Segments'!G16+'03 Segments'!I16)-'17 Model'!$K$64/'17 Model'!$K$23</f>
        <v>2.5465653014532796E-3</v>
      </c>
      <c r="D126" s="28"/>
      <c r="E126" s="360" t="s">
        <v>2200</v>
      </c>
      <c r="F126" s="28"/>
      <c r="G126" s="28"/>
      <c r="H126" s="29"/>
    </row>
    <row r="129" spans="2:8" x14ac:dyDescent="0.3">
      <c r="B129" s="16" t="s">
        <v>2590</v>
      </c>
      <c r="C129" s="425"/>
      <c r="D129" s="425"/>
      <c r="E129" s="425"/>
      <c r="F129" s="425"/>
      <c r="G129" s="425"/>
      <c r="H129" s="20"/>
    </row>
    <row r="130" spans="2:8" ht="30" customHeight="1" x14ac:dyDescent="0.3">
      <c r="B130" s="560" t="s">
        <v>2219</v>
      </c>
      <c r="C130" s="561">
        <v>3</v>
      </c>
      <c r="D130" s="28"/>
      <c r="E130" s="360" t="s">
        <v>2399</v>
      </c>
      <c r="F130" s="28"/>
      <c r="G130" s="28"/>
      <c r="H130" s="29"/>
    </row>
    <row r="131" spans="2:8" ht="30" customHeight="1" x14ac:dyDescent="0.3">
      <c r="B131" s="560" t="s">
        <v>2220</v>
      </c>
      <c r="C131" s="562">
        <f>'11 Valuation'!C59</f>
        <v>1.23</v>
      </c>
      <c r="D131" s="28"/>
      <c r="E131" s="360" t="s">
        <v>2221</v>
      </c>
      <c r="F131" s="28"/>
      <c r="G131" s="28"/>
      <c r="H131" s="29"/>
    </row>
    <row r="132" spans="2:8" ht="30" customHeight="1" x14ac:dyDescent="0.3">
      <c r="B132" s="560" t="s">
        <v>2222</v>
      </c>
      <c r="C132" s="563">
        <f>0.67*C131+0.33</f>
        <v>1.1541000000000001</v>
      </c>
      <c r="D132" s="28"/>
      <c r="E132" s="360" t="s">
        <v>2223</v>
      </c>
      <c r="F132" s="28"/>
      <c r="G132" s="28"/>
      <c r="H132" s="29"/>
    </row>
    <row r="133" spans="2:8" ht="30" customHeight="1" x14ac:dyDescent="0.3">
      <c r="B133" s="560" t="s">
        <v>2224</v>
      </c>
      <c r="C133" s="564">
        <v>1.01</v>
      </c>
      <c r="D133" s="28"/>
      <c r="E133" s="360" t="s">
        <v>2225</v>
      </c>
      <c r="F133" s="28"/>
      <c r="G133" s="28"/>
      <c r="H133" s="29"/>
    </row>
    <row r="134" spans="2:8" ht="30" customHeight="1" x14ac:dyDescent="0.3">
      <c r="B134" s="560" t="s">
        <v>2226</v>
      </c>
      <c r="C134" s="564">
        <v>1.25</v>
      </c>
      <c r="D134" s="28"/>
      <c r="E134" s="360" t="s">
        <v>2227</v>
      </c>
      <c r="F134" s="28"/>
      <c r="G134" s="28"/>
      <c r="H134" s="29"/>
    </row>
    <row r="135" spans="2:8" ht="30" customHeight="1" x14ac:dyDescent="0.3">
      <c r="B135" s="560" t="s">
        <v>2228</v>
      </c>
      <c r="C135" s="562">
        <f>('15 Assumptions'!C133*('03 Segments'!G12+'03 Segments'!I12)+'15 Assumptions'!C134*('03 Segments'!G13+'03 Segments'!I13))/('03 Segments'!G12+'03 Segments'!I12+'03 Segments'!G13+'03 Segments'!I13)*(1+(1-C10)*'04 Balance Sheet'!G17/'11 Valuation'!C7)</f>
        <v>1.0788256856727412</v>
      </c>
      <c r="D135" s="28"/>
      <c r="E135" s="360" t="s">
        <v>2229</v>
      </c>
      <c r="F135" s="28"/>
      <c r="G135" s="28"/>
      <c r="H135" s="29"/>
    </row>
    <row r="136" spans="2:8" ht="30" customHeight="1" x14ac:dyDescent="0.3">
      <c r="B136" s="560" t="s">
        <v>2230</v>
      </c>
      <c r="C136" s="564">
        <v>1</v>
      </c>
      <c r="D136" s="28"/>
      <c r="E136" s="360" t="s">
        <v>2591</v>
      </c>
      <c r="F136" s="28"/>
      <c r="G136" s="28"/>
      <c r="H136" s="29"/>
    </row>
    <row r="137" spans="2:8" ht="30" customHeight="1" x14ac:dyDescent="0.3">
      <c r="B137" s="565" t="s">
        <v>2231</v>
      </c>
      <c r="C137" s="563">
        <f>CHOOSE(C130,C131,C132,C135,C136)</f>
        <v>1.0788256856727412</v>
      </c>
      <c r="D137" s="28"/>
      <c r="E137" s="360" t="s">
        <v>2232</v>
      </c>
      <c r="F137" s="28"/>
      <c r="G137" s="28"/>
      <c r="H137" s="29"/>
    </row>
  </sheetData>
  <mergeCells count="1">
    <mergeCell ref="B60:H60"/>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971A-5A34-40AA-A9CF-5B2467DEDC95}">
  <sheetPr>
    <tabColor rgb="FF002F6C"/>
  </sheetPr>
  <dimension ref="A2:H37"/>
  <sheetViews>
    <sheetView showGridLines="0" topLeftCell="A20" workbookViewId="0">
      <selection activeCell="D7" sqref="D7"/>
    </sheetView>
  </sheetViews>
  <sheetFormatPr defaultRowHeight="14.4" x14ac:dyDescent="0.3"/>
  <cols>
    <col min="1" max="1" width="8.88671875" style="1"/>
    <col min="2" max="2" width="46.33203125" style="1" customWidth="1"/>
    <col min="3" max="7" width="15.21875" style="1" customWidth="1"/>
    <col min="8" max="8" width="8.88671875" style="1"/>
  </cols>
  <sheetData>
    <row r="2" spans="2:7" ht="28.05" customHeight="1" thickBot="1" x14ac:dyDescent="0.45">
      <c r="B2" s="396" t="s">
        <v>1818</v>
      </c>
      <c r="C2" s="396"/>
      <c r="D2" s="396"/>
      <c r="E2" s="396"/>
      <c r="F2" s="396"/>
      <c r="G2" s="396"/>
    </row>
    <row r="3" spans="2:7" ht="15" thickBot="1" x14ac:dyDescent="0.35">
      <c r="B3" s="39" t="s">
        <v>1149</v>
      </c>
      <c r="C3" s="4"/>
      <c r="D3" s="4"/>
      <c r="E3" s="4"/>
      <c r="F3" s="4"/>
      <c r="G3" s="4"/>
    </row>
    <row r="5" spans="2:7" ht="15" thickBot="1" x14ac:dyDescent="0.35"/>
    <row r="6" spans="2:7" ht="25.95" customHeight="1" thickTop="1" thickBot="1" x14ac:dyDescent="0.35">
      <c r="B6" s="41" t="s">
        <v>1005</v>
      </c>
      <c r="C6" s="40"/>
      <c r="D6" s="42">
        <v>1</v>
      </c>
      <c r="E6" s="40"/>
      <c r="F6" s="43" t="str">
        <f>CHOOSE($D$6,"BASE CASE","BEST CASE","WORST CASE")</f>
        <v>BASE CASE</v>
      </c>
      <c r="G6" s="40"/>
    </row>
    <row r="7" spans="2:7" ht="15" thickTop="1" x14ac:dyDescent="0.3"/>
    <row r="8" spans="2:7" ht="18" customHeight="1" x14ac:dyDescent="0.3">
      <c r="B8" s="16" t="s">
        <v>1006</v>
      </c>
      <c r="C8" s="16"/>
      <c r="D8" s="16"/>
      <c r="E8" s="16"/>
      <c r="F8" s="16"/>
      <c r="G8" s="16"/>
    </row>
    <row r="9" spans="2:7" ht="55.95" customHeight="1" x14ac:dyDescent="0.3">
      <c r="B9" s="14" t="s">
        <v>1007</v>
      </c>
      <c r="C9" s="13"/>
      <c r="D9" s="13"/>
      <c r="E9" s="13"/>
      <c r="F9" s="13"/>
      <c r="G9" s="13"/>
    </row>
    <row r="10" spans="2:7" ht="76.05" customHeight="1" x14ac:dyDescent="0.3">
      <c r="B10" s="14" t="str">
        <f>"1.  DEPRECIATION LIFE SPLIT.  Sheet '08 PPE and Depreciation' states it outright: the split of the "&amp;TEXT('08 PPE and Depreciation'!$C$24,"#,##0")&amp;" of assets-not-yet-in-service between short- and long-lived classes is the single most sensitive assumption in the model, it is NOT disclosed, and it should be scenarioed rather than point-estimated. "&amp;"On a 6-year life that tranche alone adds "&amp;"~"&amp;TEXT('08 PPE and Depreciation'!$C$26,"#,##0")&amp;"/yr against a ~"&amp;TEXT('08 PPE and Depreciation'!$C$27,"#,##0")&amp;" run rate - a ~"&amp;TEXT('08 PPE and Depreciation'!$C$28,"0")&amp;"%"&amp;" increase before any further capex."</f>
        <v>1.  DEPRECIATION LIFE SPLIT.  Sheet '08 PPE and Depreciation' states it outright: the split of the 122,814 of assets-not-yet-in-service between short- and long-lived classes is the single most sensitive assumption in the model, it is NOT disclosed, and it should be scenarioed rather than point-estimated. On a 6-year life that tranche alone adds ~20,469/yr against a ~27,172 run rate - a ~75% increase before any further capex.</v>
      </c>
      <c r="C10" s="13"/>
      <c r="D10" s="13"/>
      <c r="E10" s="13"/>
      <c r="F10" s="13"/>
      <c r="G10" s="13"/>
    </row>
    <row r="11" spans="2:7" ht="66" customHeight="1" x14ac:dyDescent="0.3">
      <c r="B11" s="14" t="str">
        <f>"2.  CAPEX PLATEAU TIMING.  The Contents sheet names this as the open question: whether "&amp;"~"&amp;TEXT('06 Core EPS Bridge'!$D$19,"0")&amp;"x core"&amp;" earnings is defensible depends on what free cash flow normalises to once capex plateaus. Q2'26 was the first negative FCF quarter on record. Whether that reverses in FY2027 or FY2029 is the differenc"&amp;"e between a cash machine and a capital sink."</f>
        <v>2.  CAPEX PLATEAU TIMING.  The Contents sheet names this as the open question: whether ~33x core earnings is defensible depends on what free cash flow normalises to once capex plateaus. Q2'26 was the first negative FCF quarter on record. Whether that reverses in FY2027 or FY2029 is the difference between a cash machine and a capital sink.</v>
      </c>
      <c r="C11" s="13"/>
      <c r="D11" s="13"/>
      <c r="E11" s="13"/>
      <c r="F11" s="13"/>
      <c r="G11" s="13"/>
    </row>
    <row r="12" spans="2:7" ht="70.05" customHeight="1" x14ac:dyDescent="0.3">
      <c r="B12" s="14" t="str">
        <f>"3.  REVENUE GROWTH AND OPERATING MARGIN.  The conventional axis, included because it is what the capex is being spent to buy. Note the deltas are asymmetric: "&amp;"best adds "&amp;TEXT('15 Assumptions'!$C$22*100,"0.0")&amp;"pp"&amp;" of growth, "&amp;"worst subtracts "&amp;TEXT(-'15 Assumptions'!$C$23*100,"0.0")&amp;"pp"&amp;". Search share loss to AI assistants is a larger risk than AI upside is an opportunity, because the base is "&amp;TEXT('03 Segments'!$E$7,"#,##0")&amp;" of high-margin revenue that has no replacement."</f>
        <v>3.  REVENUE GROWTH AND OPERATING MARGIN.  The conventional axis, included because it is what the capex is being spent to buy. Note the deltas are asymmetric: best adds 3.0pp of growth, worst subtracts 4.0pp. Search share loss to AI assistants is a larger risk than AI upside is an opportunity, because the base is 224,532 of high-margin revenue that has no replacement.</v>
      </c>
      <c r="C12" s="13"/>
      <c r="D12" s="13"/>
      <c r="E12" s="13"/>
      <c r="F12" s="13"/>
      <c r="G12" s="13"/>
    </row>
    <row r="15" spans="2:7" ht="18" customHeight="1" x14ac:dyDescent="0.3">
      <c r="B15" s="16" t="s">
        <v>1150</v>
      </c>
      <c r="C15" s="16"/>
      <c r="D15" s="16"/>
      <c r="E15" s="16"/>
      <c r="F15" s="16"/>
      <c r="G15" s="16"/>
    </row>
    <row r="16" spans="2:7" x14ac:dyDescent="0.3">
      <c r="C16" s="17" t="s">
        <v>973</v>
      </c>
      <c r="D16" s="17" t="s">
        <v>974</v>
      </c>
      <c r="E16" s="17" t="s">
        <v>975</v>
      </c>
      <c r="F16" s="17" t="s">
        <v>976</v>
      </c>
      <c r="G16" s="17" t="s">
        <v>977</v>
      </c>
    </row>
    <row r="17" spans="2:7" x14ac:dyDescent="0.3">
      <c r="B17" s="5" t="s">
        <v>1010</v>
      </c>
    </row>
    <row r="18" spans="2:7" x14ac:dyDescent="0.3">
      <c r="B18" s="18" t="s">
        <v>70</v>
      </c>
      <c r="C18" s="418">
        <f>CHOOSE($D$6,'15 Assumptions'!C14,'15 Assumptions'!C14+'15 Assumptions'!$C$22,'15 Assumptions'!C14+'15 Assumptions'!$C$23)</f>
        <v>0.15</v>
      </c>
      <c r="D18" s="418">
        <f>CHOOSE($D$6,'15 Assumptions'!D14,'15 Assumptions'!D14+'15 Assumptions'!$C$22,'15 Assumptions'!D14+'15 Assumptions'!$C$23)</f>
        <v>0.12</v>
      </c>
      <c r="E18" s="418">
        <f>CHOOSE($D$6,'15 Assumptions'!E14,'15 Assumptions'!E14+'15 Assumptions'!$C$22,'15 Assumptions'!E14+'15 Assumptions'!$C$23)</f>
        <v>0.1</v>
      </c>
      <c r="F18" s="418">
        <f>CHOOSE($D$6,'15 Assumptions'!F14,'15 Assumptions'!F14+'15 Assumptions'!$C$22,'15 Assumptions'!F14+'15 Assumptions'!$C$23)</f>
        <v>0.09</v>
      </c>
      <c r="G18" s="418">
        <f>CHOOSE($D$6,'15 Assumptions'!G14,'15 Assumptions'!G14+'15 Assumptions'!$C$22,'15 Assumptions'!G14+'15 Assumptions'!$C$23)</f>
        <v>0.08</v>
      </c>
    </row>
    <row r="19" spans="2:7" x14ac:dyDescent="0.3">
      <c r="B19" s="26" t="s">
        <v>71</v>
      </c>
      <c r="C19" s="419">
        <f>CHOOSE($D$6,'15 Assumptions'!C15,'15 Assumptions'!C15+'15 Assumptions'!$C$22,'15 Assumptions'!C15+'15 Assumptions'!$C$23)</f>
        <v>0.125</v>
      </c>
      <c r="D19" s="419">
        <f>CHOOSE($D$6,'15 Assumptions'!D15,'15 Assumptions'!D15+'15 Assumptions'!$C$22,'15 Assumptions'!D15+'15 Assumptions'!$C$23)</f>
        <v>0.115</v>
      </c>
      <c r="E19" s="419">
        <f>CHOOSE($D$6,'15 Assumptions'!E15,'15 Assumptions'!E15+'15 Assumptions'!$C$22,'15 Assumptions'!E15+'15 Assumptions'!$C$23)</f>
        <v>0.105</v>
      </c>
      <c r="F19" s="419">
        <f>CHOOSE($D$6,'15 Assumptions'!F15,'15 Assumptions'!F15+'15 Assumptions'!$C$22,'15 Assumptions'!F15+'15 Assumptions'!$C$23)</f>
        <v>0.1</v>
      </c>
      <c r="G19" s="419">
        <f>CHOOSE($D$6,'15 Assumptions'!G15,'15 Assumptions'!G15+'15 Assumptions'!$C$22,'15 Assumptions'!G15+'15 Assumptions'!$C$23)</f>
        <v>9.5000000000000001E-2</v>
      </c>
    </row>
    <row r="20" spans="2:7" x14ac:dyDescent="0.3">
      <c r="B20" s="26" t="s">
        <v>72</v>
      </c>
      <c r="C20" s="419">
        <f>CHOOSE($D$6,'15 Assumptions'!C16,'15 Assumptions'!C16+'15 Assumptions'!$C$22,'15 Assumptions'!C16+'15 Assumptions'!$C$23)</f>
        <v>-0.02</v>
      </c>
      <c r="D20" s="419">
        <f>CHOOSE($D$6,'15 Assumptions'!D16,'15 Assumptions'!D16+'15 Assumptions'!$C$22,'15 Assumptions'!D16+'15 Assumptions'!$C$23)</f>
        <v>-0.02</v>
      </c>
      <c r="E20" s="419">
        <f>CHOOSE($D$6,'15 Assumptions'!E16,'15 Assumptions'!E16+'15 Assumptions'!$C$22,'15 Assumptions'!E16+'15 Assumptions'!$C$23)</f>
        <v>-0.02</v>
      </c>
      <c r="F20" s="419">
        <f>CHOOSE($D$6,'15 Assumptions'!F16,'15 Assumptions'!F16+'15 Assumptions'!$C$22,'15 Assumptions'!F16+'15 Assumptions'!$C$23)</f>
        <v>-0.02</v>
      </c>
      <c r="G20" s="419">
        <f>CHOOSE($D$6,'15 Assumptions'!G16,'15 Assumptions'!G16+'15 Assumptions'!$C$22,'15 Assumptions'!G16+'15 Assumptions'!$C$23)</f>
        <v>-0.02</v>
      </c>
    </row>
    <row r="21" spans="2:7" x14ac:dyDescent="0.3">
      <c r="B21" s="26" t="s">
        <v>74</v>
      </c>
      <c r="C21" s="419">
        <f>CHOOSE($D$6,'15 Assumptions'!C17,'15 Assumptions'!C17+'15 Assumptions'!$C$22,'15 Assumptions'!C17+'15 Assumptions'!$C$23)</f>
        <v>0.16</v>
      </c>
      <c r="D21" s="419">
        <f>CHOOSE($D$6,'15 Assumptions'!D17,'15 Assumptions'!D17+'15 Assumptions'!$C$22,'15 Assumptions'!D17+'15 Assumptions'!$C$23)</f>
        <v>0.14499999999999999</v>
      </c>
      <c r="E21" s="419">
        <f>CHOOSE($D$6,'15 Assumptions'!E17,'15 Assumptions'!E17+'15 Assumptions'!$C$22,'15 Assumptions'!E17+'15 Assumptions'!$C$23)</f>
        <v>0.13</v>
      </c>
      <c r="F21" s="419">
        <f>CHOOSE($D$6,'15 Assumptions'!F17,'15 Assumptions'!F17+'15 Assumptions'!$C$22,'15 Assumptions'!F17+'15 Assumptions'!$C$23)</f>
        <v>0.12</v>
      </c>
      <c r="G21" s="419">
        <f>CHOOSE($D$6,'15 Assumptions'!G17,'15 Assumptions'!G17+'15 Assumptions'!$C$22,'15 Assumptions'!G17+'15 Assumptions'!$C$23)</f>
        <v>0.11</v>
      </c>
    </row>
    <row r="22" spans="2:7" x14ac:dyDescent="0.3">
      <c r="B22" s="26" t="s">
        <v>1955</v>
      </c>
      <c r="C22" s="419">
        <f>CHOOSE($D$6,'15 Assumptions'!C18,'15 Assumptions'!C18+'15 Assumptions'!$C$22,'15 Assumptions'!C18+'15 Assumptions'!$C$23)</f>
        <v>0.7</v>
      </c>
      <c r="D22" s="419">
        <f>'17 Model'!M14/'17 Model'!L14-1</f>
        <v>0.60385278491159666</v>
      </c>
      <c r="E22" s="419">
        <f>'17 Model'!N14/'17 Model'!M14-1</f>
        <v>0.48206250168932741</v>
      </c>
      <c r="F22" s="419">
        <f>'17 Model'!O14/'17 Model'!N14-1</f>
        <v>0.33371627753588884</v>
      </c>
      <c r="G22" s="419">
        <f>'17 Model'!P14/'17 Model'!O14-1</f>
        <v>0.24537439155269158</v>
      </c>
    </row>
    <row r="23" spans="2:7" x14ac:dyDescent="0.3">
      <c r="B23" s="22" t="s">
        <v>77</v>
      </c>
      <c r="C23" s="420">
        <f>CHOOSE($D$6,'15 Assumptions'!C19,'15 Assumptions'!C19+'15 Assumptions'!$C$22,'15 Assumptions'!C19+'15 Assumptions'!$C$23)</f>
        <v>0.05</v>
      </c>
      <c r="D23" s="420">
        <f>CHOOSE($D$6,'15 Assumptions'!D19,'15 Assumptions'!D19+'15 Assumptions'!$C$22,'15 Assumptions'!D19+'15 Assumptions'!$C$23)</f>
        <v>0.05</v>
      </c>
      <c r="E23" s="420">
        <f>CHOOSE($D$6,'15 Assumptions'!E19,'15 Assumptions'!E19+'15 Assumptions'!$C$22,'15 Assumptions'!E19+'15 Assumptions'!$C$23)</f>
        <v>0.05</v>
      </c>
      <c r="F23" s="420">
        <f>CHOOSE($D$6,'15 Assumptions'!F19,'15 Assumptions'!F19+'15 Assumptions'!$C$22,'15 Assumptions'!F19+'15 Assumptions'!$C$23)</f>
        <v>0.05</v>
      </c>
      <c r="G23" s="420">
        <f>CHOOSE($D$6,'15 Assumptions'!G19,'15 Assumptions'!G19+'15 Assumptions'!$C$22,'15 Assumptions'!G19+'15 Assumptions'!$C$23)</f>
        <v>0.05</v>
      </c>
    </row>
    <row r="24" spans="2:7" x14ac:dyDescent="0.3">
      <c r="B24" s="46" t="s">
        <v>1956</v>
      </c>
      <c r="C24" s="420"/>
      <c r="D24" s="493">
        <f>CHOOSE($D$6,'15 Assumptions'!D74,'15 Assumptions'!D75,'15 Assumptions'!D76)</f>
        <v>0.3</v>
      </c>
      <c r="E24" s="493">
        <f>CHOOSE($D$6,'15 Assumptions'!E74,'15 Assumptions'!E75,'15 Assumptions'!E76)</f>
        <v>0.3</v>
      </c>
      <c r="F24" s="493">
        <f>CHOOSE($D$6,'15 Assumptions'!F74,'15 Assumptions'!F75,'15 Assumptions'!F76)</f>
        <v>0.3</v>
      </c>
      <c r="G24" s="493">
        <f>CHOOSE($D$6,'15 Assumptions'!G74,'15 Assumptions'!G75,'15 Assumptions'!G76)</f>
        <v>0.3</v>
      </c>
    </row>
    <row r="25" spans="2:7" x14ac:dyDescent="0.3">
      <c r="B25" s="5" t="s">
        <v>1406</v>
      </c>
      <c r="C25" s="418">
        <f>IF('15 Assumptions'!$C$117=1,'17 Model'!L123,CHOOSE($D$6,'15 Assumptions'!C27,'15 Assumptions'!C28,'15 Assumptions'!C29))</f>
        <v>0.35299999999999998</v>
      </c>
      <c r="D25" s="418">
        <f>IF('15 Assumptions'!$C$117=1,'17 Model'!M123,CHOOSE($D$6,'15 Assumptions'!D27,'15 Assumptions'!D28,'15 Assumptions'!D29))</f>
        <v>0.35799999999999998</v>
      </c>
      <c r="E25" s="418">
        <f>IF('15 Assumptions'!$C$117=1,'17 Model'!N123,CHOOSE($D$6,'15 Assumptions'!E27,'15 Assumptions'!E28,'15 Assumptions'!E29))</f>
        <v>0.36299999999999999</v>
      </c>
      <c r="F25" s="418">
        <f>IF('15 Assumptions'!$C$117=1,'17 Model'!O123,CHOOSE($D$6,'15 Assumptions'!F27,'15 Assumptions'!F28,'15 Assumptions'!F29))</f>
        <v>0.36799999999999999</v>
      </c>
      <c r="G25" s="418">
        <f>IF('15 Assumptions'!$C$117=1,'17 Model'!P123,CHOOSE($D$6,'15 Assumptions'!G27,'15 Assumptions'!G28,'15 Assumptions'!G29))</f>
        <v>0.373</v>
      </c>
    </row>
    <row r="26" spans="2:7" x14ac:dyDescent="0.3">
      <c r="B26" s="46" t="s">
        <v>1902</v>
      </c>
      <c r="C26" s="420">
        <f>CHOOSE($D$6,'15 Assumptions'!C32,'15 Assumptions'!C33,'15 Assumptions'!C34)</f>
        <v>0.41</v>
      </c>
      <c r="D26" s="420">
        <f>CHOOSE($D$6,'15 Assumptions'!D32,'15 Assumptions'!D33,'15 Assumptions'!D34)</f>
        <v>0.433</v>
      </c>
      <c r="E26" s="420">
        <f>CHOOSE($D$6,'15 Assumptions'!E32,'15 Assumptions'!E33,'15 Assumptions'!E34)</f>
        <v>0.37</v>
      </c>
      <c r="F26" s="420">
        <f>CHOOSE($D$6,'15 Assumptions'!F32,'15 Assumptions'!F33,'15 Assumptions'!F34)</f>
        <v>0.31</v>
      </c>
      <c r="G26" s="420">
        <f>CHOOSE($D$6,'15 Assumptions'!G32,'15 Assumptions'!G33,'15 Assumptions'!G34)</f>
        <v>0.25</v>
      </c>
    </row>
    <row r="27" spans="2:7" x14ac:dyDescent="0.3">
      <c r="B27" s="18" t="s">
        <v>1957</v>
      </c>
      <c r="C27" s="418">
        <f>CHOOSE($D$6,'15 Assumptions'!$C$80,'15 Assumptions'!$C$81,'15 Assumptions'!$C$82)</f>
        <v>0.15</v>
      </c>
    </row>
    <row r="28" spans="2:7" x14ac:dyDescent="0.3">
      <c r="B28" s="18" t="s">
        <v>1011</v>
      </c>
      <c r="C28" s="421">
        <f>CHOOSE($D$6,'15 Assumptions'!$C$37,'15 Assumptions'!$C$38,'15 Assumptions'!$C$39)</f>
        <v>0.6</v>
      </c>
    </row>
    <row r="29" spans="2:7" ht="43.95" customHeight="1" x14ac:dyDescent="0.3">
      <c r="B29" s="22" t="s">
        <v>1012</v>
      </c>
      <c r="C29" s="422">
        <f>1/(C28/'15 Assumptions'!$C$40+(1-C28)/'15 Assumptions'!$C$41)</f>
        <v>8.3333333333333339</v>
      </c>
      <c r="D29" s="24"/>
      <c r="E29" s="671" t="s">
        <v>1013</v>
      </c>
      <c r="F29" s="671"/>
      <c r="G29" s="671"/>
    </row>
    <row r="30" spans="2:7" x14ac:dyDescent="0.3">
      <c r="B30" s="18"/>
      <c r="C30" s="44"/>
    </row>
    <row r="31" spans="2:7" ht="36" customHeight="1" x14ac:dyDescent="0.3">
      <c r="B31" s="45" t="s">
        <v>1014</v>
      </c>
      <c r="C31" s="423">
        <f>'15 Assumptions'!$C$36/C29</f>
        <v>14737.679999999998</v>
      </c>
      <c r="D31" s="21"/>
      <c r="E31" s="672" t="str">
        <f>"The "&amp;TEXT('15 Assumptions'!$C$36,"#,##0")&amp;" spread over its blended life. This is the number that does not exist in the reported figures today."</f>
        <v>The 122,814 spread over its blended life. This is the number that does not exist in the reported figures today.</v>
      </c>
      <c r="F31" s="672"/>
      <c r="G31" s="672"/>
    </row>
    <row r="33" spans="2:3" x14ac:dyDescent="0.3">
      <c r="B33" s="18" t="s">
        <v>2128</v>
      </c>
      <c r="C33" s="418">
        <f>CHOOSE($D$6,'15 Assumptions'!$C$106,'15 Assumptions'!$D$106,'15 Assumptions'!$E$106)</f>
        <v>0.2088104379133004</v>
      </c>
    </row>
    <row r="35" spans="2:3" x14ac:dyDescent="0.3">
      <c r="B35" s="18" t="s">
        <v>2201</v>
      </c>
      <c r="C35" s="557">
        <f>CHOOSE($D$6,'15 Assumptions'!$C$119,'15 Assumptions'!$D$119,'15 Assumptions'!$E$119)</f>
        <v>0</v>
      </c>
    </row>
    <row r="36" spans="2:3" x14ac:dyDescent="0.3">
      <c r="B36" s="18" t="s">
        <v>2202</v>
      </c>
      <c r="C36" s="557">
        <f>CHOOSE($D$6,'15 Assumptions'!$C$120,'15 Assumptions'!$D$120,'15 Assumptions'!$E$120)</f>
        <v>0</v>
      </c>
    </row>
    <row r="37" spans="2:3" x14ac:dyDescent="0.3">
      <c r="B37" s="18" t="s">
        <v>2203</v>
      </c>
      <c r="C37" s="557">
        <f>CHOOSE($D$6,'15 Assumptions'!$C$121,'15 Assumptions'!$D$121,'15 Assumptions'!$E$121)</f>
        <v>0</v>
      </c>
    </row>
  </sheetData>
  <mergeCells count="2">
    <mergeCell ref="E29:G29"/>
    <mergeCell ref="E31:G3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685F-5BA6-4215-8C59-27F99A4584C1}">
  <sheetPr>
    <tabColor rgb="FF002F6C"/>
  </sheetPr>
  <dimension ref="A2:H37"/>
  <sheetViews>
    <sheetView showGridLines="0" topLeftCell="A18" workbookViewId="0">
      <selection activeCell="B27" sqref="B27:C27"/>
    </sheetView>
  </sheetViews>
  <sheetFormatPr defaultRowHeight="14.4" x14ac:dyDescent="0.3"/>
  <cols>
    <col min="1" max="1" width="8.88671875" style="1"/>
    <col min="2" max="2" width="46.33203125" style="1" customWidth="1"/>
    <col min="3" max="7" width="15.21875" style="1" customWidth="1"/>
    <col min="8" max="8" width="8.88671875" style="1"/>
  </cols>
  <sheetData>
    <row r="2" spans="2:7" ht="23.4" thickBot="1" x14ac:dyDescent="0.45">
      <c r="B2" s="396" t="s">
        <v>1871</v>
      </c>
      <c r="C2" s="396"/>
      <c r="D2" s="396"/>
      <c r="E2" s="396"/>
      <c r="F2" s="396"/>
      <c r="G2" s="396"/>
    </row>
    <row r="3" spans="2:7" ht="15" thickBot="1" x14ac:dyDescent="0.35">
      <c r="B3" s="39" t="s">
        <v>1149</v>
      </c>
      <c r="C3" s="4"/>
      <c r="D3" s="4"/>
      <c r="E3" s="4"/>
      <c r="F3" s="4"/>
      <c r="G3" s="4"/>
    </row>
    <row r="5" spans="2:7" ht="15" thickBot="1" x14ac:dyDescent="0.35"/>
    <row r="6" spans="2:7" ht="25.95" customHeight="1" thickTop="1" thickBot="1" x14ac:dyDescent="0.35">
      <c r="B6" s="41" t="s">
        <v>1005</v>
      </c>
      <c r="C6" s="40"/>
      <c r="D6" s="42">
        <v>1</v>
      </c>
      <c r="E6" s="40"/>
      <c r="F6" s="43" t="str">
        <f>CHOOSE($D$6,"BASE CASE","BEST CASE","WORST CASE")</f>
        <v>BASE CASE</v>
      </c>
      <c r="G6" s="40"/>
    </row>
    <row r="7" spans="2:7" ht="15" thickTop="1" x14ac:dyDescent="0.3"/>
    <row r="8" spans="2:7" ht="18" customHeight="1" x14ac:dyDescent="0.3">
      <c r="B8" s="16" t="s">
        <v>1006</v>
      </c>
      <c r="C8" s="16"/>
      <c r="D8" s="16"/>
      <c r="E8" s="16"/>
      <c r="F8" s="16"/>
      <c r="G8" s="16"/>
    </row>
    <row r="9" spans="2:7" ht="55.95" customHeight="1" x14ac:dyDescent="0.3">
      <c r="B9" s="14" t="s">
        <v>1007</v>
      </c>
      <c r="C9" s="13"/>
      <c r="D9" s="13"/>
      <c r="E9" s="13"/>
      <c r="F9" s="13"/>
      <c r="G9" s="13"/>
    </row>
    <row r="10" spans="2:7" ht="76.05" customHeight="1" x14ac:dyDescent="0.3">
      <c r="B10" s="14" t="s">
        <v>1563</v>
      </c>
      <c r="C10" s="13"/>
      <c r="D10" s="13"/>
      <c r="E10" s="13"/>
      <c r="F10" s="13"/>
      <c r="G10" s="13"/>
    </row>
    <row r="11" spans="2:7" ht="66" customHeight="1" x14ac:dyDescent="0.3">
      <c r="B11" s="14" t="s">
        <v>1008</v>
      </c>
      <c r="C11" s="13"/>
      <c r="D11" s="13"/>
      <c r="E11" s="13"/>
      <c r="F11" s="13"/>
      <c r="G11" s="13"/>
    </row>
    <row r="12" spans="2:7" ht="70.05" customHeight="1" x14ac:dyDescent="0.3">
      <c r="B12" s="14" t="s">
        <v>1009</v>
      </c>
      <c r="C12" s="13"/>
      <c r="D12" s="13"/>
      <c r="E12" s="13"/>
      <c r="F12" s="13"/>
      <c r="G12" s="13"/>
    </row>
    <row r="15" spans="2:7" ht="18" customHeight="1" x14ac:dyDescent="0.3">
      <c r="B15" s="16" t="s">
        <v>1150</v>
      </c>
      <c r="C15" s="16"/>
      <c r="D15" s="16"/>
      <c r="E15" s="16"/>
      <c r="F15" s="16"/>
      <c r="G15" s="16"/>
    </row>
    <row r="16" spans="2:7" x14ac:dyDescent="0.3">
      <c r="C16" s="17" t="s">
        <v>973</v>
      </c>
      <c r="D16" s="17" t="s">
        <v>974</v>
      </c>
      <c r="E16" s="17" t="s">
        <v>975</v>
      </c>
      <c r="F16" s="17" t="s">
        <v>976</v>
      </c>
      <c r="G16" s="17" t="s">
        <v>977</v>
      </c>
    </row>
    <row r="17" spans="2:7" x14ac:dyDescent="0.3">
      <c r="B17" s="5" t="s">
        <v>1010</v>
      </c>
    </row>
    <row r="18" spans="2:7" x14ac:dyDescent="0.3">
      <c r="B18" s="18" t="s">
        <v>70</v>
      </c>
      <c r="C18" s="418">
        <f>CHOOSE($D$6,'15 Assumptions'!C14,'15 Assumptions'!C14+'15 Assumptions'!$C$22,'15 Assumptions'!C14+'15 Assumptions'!$C$23)</f>
        <v>0.15</v>
      </c>
      <c r="D18" s="418">
        <f>CHOOSE($D$6,'15 Assumptions'!D14,'15 Assumptions'!D14+'15 Assumptions'!$C$22,'15 Assumptions'!D14+'15 Assumptions'!$C$23)</f>
        <v>0.12</v>
      </c>
      <c r="E18" s="418">
        <f>CHOOSE($D$6,'15 Assumptions'!E14,'15 Assumptions'!E14+'15 Assumptions'!$C$22,'15 Assumptions'!E14+'15 Assumptions'!$C$23)</f>
        <v>0.1</v>
      </c>
      <c r="F18" s="418">
        <f>CHOOSE($D$6,'15 Assumptions'!F14,'15 Assumptions'!F14+'15 Assumptions'!$C$22,'15 Assumptions'!F14+'15 Assumptions'!$C$23)</f>
        <v>0.09</v>
      </c>
      <c r="G18" s="418">
        <f>CHOOSE($D$6,'15 Assumptions'!G14,'15 Assumptions'!G14+'15 Assumptions'!$C$22,'15 Assumptions'!G14+'15 Assumptions'!$C$23)</f>
        <v>0.08</v>
      </c>
    </row>
    <row r="19" spans="2:7" x14ac:dyDescent="0.3">
      <c r="B19" s="26" t="s">
        <v>71</v>
      </c>
      <c r="C19" s="419">
        <f>CHOOSE($D$6,'15 Assumptions'!C15,'15 Assumptions'!C15+'15 Assumptions'!$C$22,'15 Assumptions'!C15+'15 Assumptions'!$C$23)</f>
        <v>0.125</v>
      </c>
      <c r="D19" s="419">
        <f>CHOOSE($D$6,'15 Assumptions'!D15,'15 Assumptions'!D15+'15 Assumptions'!$C$22,'15 Assumptions'!D15+'15 Assumptions'!$C$23)</f>
        <v>0.115</v>
      </c>
      <c r="E19" s="419">
        <f>CHOOSE($D$6,'15 Assumptions'!E15,'15 Assumptions'!E15+'15 Assumptions'!$C$22,'15 Assumptions'!E15+'15 Assumptions'!$C$23)</f>
        <v>0.105</v>
      </c>
      <c r="F19" s="419">
        <f>CHOOSE($D$6,'15 Assumptions'!F15,'15 Assumptions'!F15+'15 Assumptions'!$C$22,'15 Assumptions'!F15+'15 Assumptions'!$C$23)</f>
        <v>0.1</v>
      </c>
      <c r="G19" s="419">
        <f>CHOOSE($D$6,'15 Assumptions'!G15,'15 Assumptions'!G15+'15 Assumptions'!$C$22,'15 Assumptions'!G15+'15 Assumptions'!$C$23)</f>
        <v>9.5000000000000001E-2</v>
      </c>
    </row>
    <row r="20" spans="2:7" x14ac:dyDescent="0.3">
      <c r="B20" s="26" t="s">
        <v>72</v>
      </c>
      <c r="C20" s="419">
        <f>CHOOSE($D$6,'15 Assumptions'!C16,'15 Assumptions'!C16+'15 Assumptions'!$C$22,'15 Assumptions'!C16+'15 Assumptions'!$C$23)</f>
        <v>-0.02</v>
      </c>
      <c r="D20" s="419">
        <f>CHOOSE($D$6,'15 Assumptions'!D16,'15 Assumptions'!D16+'15 Assumptions'!$C$22,'15 Assumptions'!D16+'15 Assumptions'!$C$23)</f>
        <v>-0.02</v>
      </c>
      <c r="E20" s="419">
        <f>CHOOSE($D$6,'15 Assumptions'!E16,'15 Assumptions'!E16+'15 Assumptions'!$C$22,'15 Assumptions'!E16+'15 Assumptions'!$C$23)</f>
        <v>-0.02</v>
      </c>
      <c r="F20" s="419">
        <f>CHOOSE($D$6,'15 Assumptions'!F16,'15 Assumptions'!F16+'15 Assumptions'!$C$22,'15 Assumptions'!F16+'15 Assumptions'!$C$23)</f>
        <v>-0.02</v>
      </c>
      <c r="G20" s="419">
        <f>CHOOSE($D$6,'15 Assumptions'!G16,'15 Assumptions'!G16+'15 Assumptions'!$C$22,'15 Assumptions'!G16+'15 Assumptions'!$C$23)</f>
        <v>-0.02</v>
      </c>
    </row>
    <row r="21" spans="2:7" x14ac:dyDescent="0.3">
      <c r="B21" s="26" t="s">
        <v>74</v>
      </c>
      <c r="C21" s="419">
        <f>CHOOSE($D$6,'15 Assumptions'!C17,'15 Assumptions'!C17+'15 Assumptions'!$C$22,'15 Assumptions'!C17+'15 Assumptions'!$C$23)</f>
        <v>0.16</v>
      </c>
      <c r="D21" s="419">
        <f>CHOOSE($D$6,'15 Assumptions'!D17,'15 Assumptions'!D17+'15 Assumptions'!$C$22,'15 Assumptions'!D17+'15 Assumptions'!$C$23)</f>
        <v>0.14499999999999999</v>
      </c>
      <c r="E21" s="419">
        <f>CHOOSE($D$6,'15 Assumptions'!E17,'15 Assumptions'!E17+'15 Assumptions'!$C$22,'15 Assumptions'!E17+'15 Assumptions'!$C$23)</f>
        <v>0.13</v>
      </c>
      <c r="F21" s="419">
        <f>CHOOSE($D$6,'15 Assumptions'!F17,'15 Assumptions'!F17+'15 Assumptions'!$C$22,'15 Assumptions'!F17+'15 Assumptions'!$C$23)</f>
        <v>0.12</v>
      </c>
      <c r="G21" s="419">
        <f>CHOOSE($D$6,'15 Assumptions'!G17,'15 Assumptions'!G17+'15 Assumptions'!$C$22,'15 Assumptions'!G17+'15 Assumptions'!$C$23)</f>
        <v>0.11</v>
      </c>
    </row>
    <row r="22" spans="2:7" x14ac:dyDescent="0.3">
      <c r="B22" s="26" t="s">
        <v>1955</v>
      </c>
      <c r="C22" s="419">
        <f>CHOOSE($D$6,'15 Assumptions'!C18,'15 Assumptions'!C18+'15 Assumptions'!$C$22,'15 Assumptions'!C18+'15 Assumptions'!$C$23)</f>
        <v>0.7</v>
      </c>
      <c r="D22" s="419">
        <f>'DCF Base Model'!M14/'DCF Base Model'!L14-1</f>
        <v>0.60385278491159666</v>
      </c>
      <c r="E22" s="419">
        <f>'DCF Base Model'!N14/'DCF Base Model'!M14-1</f>
        <v>0.48206250168932741</v>
      </c>
      <c r="F22" s="419">
        <f>'DCF Base Model'!O14/'DCF Base Model'!N14-1</f>
        <v>0.33371627753588884</v>
      </c>
      <c r="G22" s="419">
        <f>'DCF Base Model'!P14/'DCF Base Model'!O14-1</f>
        <v>0.24537439155269158</v>
      </c>
    </row>
    <row r="23" spans="2:7" x14ac:dyDescent="0.3">
      <c r="B23" s="22" t="s">
        <v>77</v>
      </c>
      <c r="C23" s="420">
        <f>CHOOSE($D$6,'15 Assumptions'!C19,'15 Assumptions'!C19+'15 Assumptions'!$C$22,'15 Assumptions'!C19+'15 Assumptions'!$C$23)</f>
        <v>0.05</v>
      </c>
      <c r="D23" s="420">
        <f>CHOOSE($D$6,'15 Assumptions'!D19,'15 Assumptions'!D19+'15 Assumptions'!$C$22,'15 Assumptions'!D19+'15 Assumptions'!$C$23)</f>
        <v>0.05</v>
      </c>
      <c r="E23" s="420">
        <f>CHOOSE($D$6,'15 Assumptions'!E19,'15 Assumptions'!E19+'15 Assumptions'!$C$22,'15 Assumptions'!E19+'15 Assumptions'!$C$23)</f>
        <v>0.05</v>
      </c>
      <c r="F23" s="420">
        <f>CHOOSE($D$6,'15 Assumptions'!F19,'15 Assumptions'!F19+'15 Assumptions'!$C$22,'15 Assumptions'!F19+'15 Assumptions'!$C$23)</f>
        <v>0.05</v>
      </c>
      <c r="G23" s="420">
        <f>CHOOSE($D$6,'15 Assumptions'!G19,'15 Assumptions'!G19+'15 Assumptions'!$C$22,'15 Assumptions'!G19+'15 Assumptions'!$C$23)</f>
        <v>0.05</v>
      </c>
    </row>
    <row r="24" spans="2:7" x14ac:dyDescent="0.3">
      <c r="B24" s="46" t="s">
        <v>1956</v>
      </c>
      <c r="C24" s="420"/>
      <c r="D24" s="493">
        <f>CHOOSE($D$6,'15 Assumptions'!D74,'15 Assumptions'!D75,'15 Assumptions'!D76)</f>
        <v>0.3</v>
      </c>
      <c r="E24" s="493">
        <f>CHOOSE($D$6,'15 Assumptions'!E74,'15 Assumptions'!E75,'15 Assumptions'!E76)</f>
        <v>0.3</v>
      </c>
      <c r="F24" s="493">
        <f>CHOOSE($D$6,'15 Assumptions'!F74,'15 Assumptions'!F75,'15 Assumptions'!F76)</f>
        <v>0.3</v>
      </c>
      <c r="G24" s="493">
        <f>CHOOSE($D$6,'15 Assumptions'!G74,'15 Assumptions'!G75,'15 Assumptions'!G76)</f>
        <v>0.3</v>
      </c>
    </row>
    <row r="25" spans="2:7" x14ac:dyDescent="0.3">
      <c r="B25" s="5" t="s">
        <v>1406</v>
      </c>
      <c r="C25" s="418">
        <f>IF('15 Assumptions'!$C$117=1,'DCF Base Model'!L123,CHOOSE($D$6,'15 Assumptions'!C27,'15 Assumptions'!C28,'15 Assumptions'!C29))</f>
        <v>0.35299999999999998</v>
      </c>
      <c r="D25" s="418">
        <f>IF('15 Assumptions'!$C$117=1,'DCF Base Model'!M123,CHOOSE($D$6,'15 Assumptions'!D27,'15 Assumptions'!D28,'15 Assumptions'!D29))</f>
        <v>0.35799999999999998</v>
      </c>
      <c r="E25" s="418">
        <f>IF('15 Assumptions'!$C$117=1,'DCF Base Model'!N123,CHOOSE($D$6,'15 Assumptions'!E27,'15 Assumptions'!E28,'15 Assumptions'!E29))</f>
        <v>0.36299999999999999</v>
      </c>
      <c r="F25" s="418">
        <f>IF('15 Assumptions'!$C$117=1,'DCF Base Model'!O123,CHOOSE($D$6,'15 Assumptions'!F27,'15 Assumptions'!F28,'15 Assumptions'!F29))</f>
        <v>0.36799999999999999</v>
      </c>
      <c r="G25" s="418">
        <f>IF('15 Assumptions'!$C$117=1,'DCF Base Model'!P123,CHOOSE($D$6,'15 Assumptions'!G27,'15 Assumptions'!G28,'15 Assumptions'!G29))</f>
        <v>0.373</v>
      </c>
    </row>
    <row r="26" spans="2:7" x14ac:dyDescent="0.3">
      <c r="B26" s="46" t="s">
        <v>1902</v>
      </c>
      <c r="C26" s="420">
        <f>CHOOSE($D$6,'15 Assumptions'!C32,'15 Assumptions'!C33,'15 Assumptions'!C34)</f>
        <v>0.41</v>
      </c>
      <c r="D26" s="420">
        <f>CHOOSE($D$6,'15 Assumptions'!D32,'15 Assumptions'!D33,'15 Assumptions'!D34)</f>
        <v>0.433</v>
      </c>
      <c r="E26" s="420">
        <f>CHOOSE($D$6,'15 Assumptions'!E32,'15 Assumptions'!E33,'15 Assumptions'!E34)</f>
        <v>0.37</v>
      </c>
      <c r="F26" s="420">
        <f>CHOOSE($D$6,'15 Assumptions'!F32,'15 Assumptions'!F33,'15 Assumptions'!F34)</f>
        <v>0.31</v>
      </c>
      <c r="G26" s="420">
        <f>CHOOSE($D$6,'15 Assumptions'!G32,'15 Assumptions'!G33,'15 Assumptions'!G34)</f>
        <v>0.25</v>
      </c>
    </row>
    <row r="27" spans="2:7" x14ac:dyDescent="0.3">
      <c r="B27" s="18" t="s">
        <v>1957</v>
      </c>
      <c r="C27" s="418">
        <f>CHOOSE($D$6,'15 Assumptions'!$C$80,'15 Assumptions'!$C$81,'15 Assumptions'!$C$82)</f>
        <v>0.15</v>
      </c>
    </row>
    <row r="28" spans="2:7" x14ac:dyDescent="0.3">
      <c r="B28" s="18" t="s">
        <v>1011</v>
      </c>
      <c r="C28" s="421">
        <f>CHOOSE($D$6,'15 Assumptions'!$C$37,'15 Assumptions'!$C$38,'15 Assumptions'!$C$39)</f>
        <v>0.6</v>
      </c>
    </row>
    <row r="29" spans="2:7" ht="43.95" customHeight="1" x14ac:dyDescent="0.3">
      <c r="B29" s="22" t="s">
        <v>1012</v>
      </c>
      <c r="C29" s="422">
        <f>1/(C28/'15 Assumptions'!$C$40+(1-C28)/'15 Assumptions'!$C$41)</f>
        <v>8.3333333333333339</v>
      </c>
      <c r="D29" s="24"/>
      <c r="E29" s="671" t="s">
        <v>1013</v>
      </c>
      <c r="F29" s="671"/>
      <c r="G29" s="671"/>
    </row>
    <row r="30" spans="2:7" x14ac:dyDescent="0.3">
      <c r="B30" s="18"/>
      <c r="C30" s="44"/>
    </row>
    <row r="31" spans="2:7" ht="36" customHeight="1" x14ac:dyDescent="0.3">
      <c r="B31" s="45" t="s">
        <v>1014</v>
      </c>
      <c r="C31" s="423">
        <f>'15 Assumptions'!$C$36/C29</f>
        <v>14737.679999999998</v>
      </c>
      <c r="D31" s="21"/>
      <c r="E31" s="672" t="s">
        <v>1015</v>
      </c>
      <c r="F31" s="672"/>
      <c r="G31" s="672"/>
    </row>
    <row r="33" spans="2:3" x14ac:dyDescent="0.3">
      <c r="B33" s="18" t="s">
        <v>2128</v>
      </c>
      <c r="C33" s="418">
        <f>CHOOSE($D$6,'15 Assumptions'!$C$106,'15 Assumptions'!$D$106,'15 Assumptions'!$E$106)</f>
        <v>0.2088104379133004</v>
      </c>
    </row>
    <row r="35" spans="2:3" x14ac:dyDescent="0.3">
      <c r="B35" s="18" t="s">
        <v>2201</v>
      </c>
      <c r="C35" s="557">
        <f>CHOOSE($D$6,'15 Assumptions'!$C$119,'15 Assumptions'!$D$119,'15 Assumptions'!$E$119)</f>
        <v>0</v>
      </c>
    </row>
    <row r="36" spans="2:3" x14ac:dyDescent="0.3">
      <c r="B36" s="18" t="s">
        <v>2202</v>
      </c>
      <c r="C36" s="557">
        <f>CHOOSE($D$6,'15 Assumptions'!$C$120,'15 Assumptions'!$D$120,'15 Assumptions'!$E$120)</f>
        <v>0</v>
      </c>
    </row>
    <row r="37" spans="2:3" x14ac:dyDescent="0.3">
      <c r="B37" s="18" t="s">
        <v>2203</v>
      </c>
      <c r="C37" s="557">
        <f>CHOOSE($D$6,'15 Assumptions'!$C$121,'15 Assumptions'!$D$121,'15 Assumptions'!$E$121)</f>
        <v>0</v>
      </c>
    </row>
  </sheetData>
  <mergeCells count="2">
    <mergeCell ref="E29:G29"/>
    <mergeCell ref="E31:G3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2936-B260-4D14-8C9E-B9B041916F63}">
  <sheetPr>
    <tabColor rgb="FF002F6C"/>
  </sheetPr>
  <dimension ref="A2:H37"/>
  <sheetViews>
    <sheetView showGridLines="0" topLeftCell="A18" workbookViewId="0">
      <selection activeCell="B27" sqref="B27:C27"/>
    </sheetView>
  </sheetViews>
  <sheetFormatPr defaultRowHeight="14.4" x14ac:dyDescent="0.3"/>
  <cols>
    <col min="1" max="1" width="8.88671875" style="1"/>
    <col min="2" max="2" width="46.33203125" style="1" customWidth="1"/>
    <col min="3" max="7" width="15.21875" style="1" customWidth="1"/>
    <col min="8" max="8" width="8.88671875" style="1"/>
  </cols>
  <sheetData>
    <row r="2" spans="2:7" ht="23.4" thickBot="1" x14ac:dyDescent="0.45">
      <c r="B2" s="396" t="s">
        <v>1872</v>
      </c>
      <c r="C2" s="396"/>
      <c r="D2" s="396"/>
      <c r="E2" s="396"/>
      <c r="F2" s="396"/>
      <c r="G2" s="396"/>
    </row>
    <row r="3" spans="2:7" ht="15" thickBot="1" x14ac:dyDescent="0.35">
      <c r="B3" s="39" t="s">
        <v>1149</v>
      </c>
      <c r="C3" s="4"/>
      <c r="D3" s="4"/>
      <c r="E3" s="4"/>
      <c r="F3" s="4"/>
      <c r="G3" s="4"/>
    </row>
    <row r="5" spans="2:7" ht="15" thickBot="1" x14ac:dyDescent="0.35"/>
    <row r="6" spans="2:7" ht="25.95" customHeight="1" thickTop="1" thickBot="1" x14ac:dyDescent="0.35">
      <c r="B6" s="41" t="s">
        <v>1005</v>
      </c>
      <c r="C6" s="40"/>
      <c r="D6" s="42">
        <v>2</v>
      </c>
      <c r="E6" s="40"/>
      <c r="F6" s="43" t="str">
        <f>CHOOSE($D$6,"BASE CASE","BEST CASE","WORST CASE")</f>
        <v>BEST CASE</v>
      </c>
      <c r="G6" s="40"/>
    </row>
    <row r="7" spans="2:7" ht="15" thickTop="1" x14ac:dyDescent="0.3"/>
    <row r="8" spans="2:7" ht="18" customHeight="1" x14ac:dyDescent="0.3">
      <c r="B8" s="16" t="s">
        <v>1006</v>
      </c>
      <c r="C8" s="16"/>
      <c r="D8" s="16"/>
      <c r="E8" s="16"/>
      <c r="F8" s="16"/>
      <c r="G8" s="16"/>
    </row>
    <row r="9" spans="2:7" ht="55.95" customHeight="1" x14ac:dyDescent="0.3">
      <c r="B9" s="14" t="s">
        <v>1007</v>
      </c>
      <c r="C9" s="13"/>
      <c r="D9" s="13"/>
      <c r="E9" s="13"/>
      <c r="F9" s="13"/>
      <c r="G9" s="13"/>
    </row>
    <row r="10" spans="2:7" ht="76.05" customHeight="1" x14ac:dyDescent="0.3">
      <c r="B10" s="14" t="s">
        <v>1563</v>
      </c>
      <c r="C10" s="13"/>
      <c r="D10" s="13"/>
      <c r="E10" s="13"/>
      <c r="F10" s="13"/>
      <c r="G10" s="13"/>
    </row>
    <row r="11" spans="2:7" ht="66" customHeight="1" x14ac:dyDescent="0.3">
      <c r="B11" s="14" t="s">
        <v>1008</v>
      </c>
      <c r="C11" s="13"/>
      <c r="D11" s="13"/>
      <c r="E11" s="13"/>
      <c r="F11" s="13"/>
      <c r="G11" s="13"/>
    </row>
    <row r="12" spans="2:7" ht="70.05" customHeight="1" x14ac:dyDescent="0.3">
      <c r="B12" s="14" t="s">
        <v>1009</v>
      </c>
      <c r="C12" s="13"/>
      <c r="D12" s="13"/>
      <c r="E12" s="13"/>
      <c r="F12" s="13"/>
      <c r="G12" s="13"/>
    </row>
    <row r="15" spans="2:7" ht="18" customHeight="1" x14ac:dyDescent="0.3">
      <c r="B15" s="16" t="s">
        <v>1150</v>
      </c>
      <c r="C15" s="16"/>
      <c r="D15" s="16"/>
      <c r="E15" s="16"/>
      <c r="F15" s="16"/>
      <c r="G15" s="16"/>
    </row>
    <row r="16" spans="2:7" x14ac:dyDescent="0.3">
      <c r="C16" s="17" t="s">
        <v>973</v>
      </c>
      <c r="D16" s="17" t="s">
        <v>974</v>
      </c>
      <c r="E16" s="17" t="s">
        <v>975</v>
      </c>
      <c r="F16" s="17" t="s">
        <v>976</v>
      </c>
      <c r="G16" s="17" t="s">
        <v>977</v>
      </c>
    </row>
    <row r="17" spans="2:7" x14ac:dyDescent="0.3">
      <c r="B17" s="5" t="s">
        <v>1010</v>
      </c>
    </row>
    <row r="18" spans="2:7" x14ac:dyDescent="0.3">
      <c r="B18" s="18" t="s">
        <v>70</v>
      </c>
      <c r="C18" s="418">
        <f>CHOOSE($D$6,'15 Assumptions'!C14,'15 Assumptions'!C14+'15 Assumptions'!$C$22,'15 Assumptions'!C14+'15 Assumptions'!$C$23)</f>
        <v>0.18</v>
      </c>
      <c r="D18" s="418">
        <f>CHOOSE($D$6,'15 Assumptions'!D14,'15 Assumptions'!D14+'15 Assumptions'!$C$22,'15 Assumptions'!D14+'15 Assumptions'!$C$23)</f>
        <v>0.15</v>
      </c>
      <c r="E18" s="418">
        <f>CHOOSE($D$6,'15 Assumptions'!E14,'15 Assumptions'!E14+'15 Assumptions'!$C$22,'15 Assumptions'!E14+'15 Assumptions'!$C$23)</f>
        <v>0.13</v>
      </c>
      <c r="F18" s="418">
        <f>CHOOSE($D$6,'15 Assumptions'!F14,'15 Assumptions'!F14+'15 Assumptions'!$C$22,'15 Assumptions'!F14+'15 Assumptions'!$C$23)</f>
        <v>0.12</v>
      </c>
      <c r="G18" s="418">
        <f>CHOOSE($D$6,'15 Assumptions'!G14,'15 Assumptions'!G14+'15 Assumptions'!$C$22,'15 Assumptions'!G14+'15 Assumptions'!$C$23)</f>
        <v>0.11</v>
      </c>
    </row>
    <row r="19" spans="2:7" x14ac:dyDescent="0.3">
      <c r="B19" s="26" t="s">
        <v>71</v>
      </c>
      <c r="C19" s="419">
        <f>CHOOSE($D$6,'15 Assumptions'!C15,'15 Assumptions'!C15+'15 Assumptions'!$C$22,'15 Assumptions'!C15+'15 Assumptions'!$C$23)</f>
        <v>0.155</v>
      </c>
      <c r="D19" s="419">
        <f>CHOOSE($D$6,'15 Assumptions'!D15,'15 Assumptions'!D15+'15 Assumptions'!$C$22,'15 Assumptions'!D15+'15 Assumptions'!$C$23)</f>
        <v>0.14500000000000002</v>
      </c>
      <c r="E19" s="419">
        <f>CHOOSE($D$6,'15 Assumptions'!E15,'15 Assumptions'!E15+'15 Assumptions'!$C$22,'15 Assumptions'!E15+'15 Assumptions'!$C$23)</f>
        <v>0.13500000000000001</v>
      </c>
      <c r="F19" s="419">
        <f>CHOOSE($D$6,'15 Assumptions'!F15,'15 Assumptions'!F15+'15 Assumptions'!$C$22,'15 Assumptions'!F15+'15 Assumptions'!$C$23)</f>
        <v>0.13</v>
      </c>
      <c r="G19" s="419">
        <f>CHOOSE($D$6,'15 Assumptions'!G15,'15 Assumptions'!G15+'15 Assumptions'!$C$22,'15 Assumptions'!G15+'15 Assumptions'!$C$23)</f>
        <v>0.125</v>
      </c>
    </row>
    <row r="20" spans="2:7" x14ac:dyDescent="0.3">
      <c r="B20" s="26" t="s">
        <v>72</v>
      </c>
      <c r="C20" s="419">
        <f>CHOOSE($D$6,'15 Assumptions'!C16,'15 Assumptions'!C16+'15 Assumptions'!$C$22,'15 Assumptions'!C16+'15 Assumptions'!$C$23)</f>
        <v>9.9999999999999985E-3</v>
      </c>
      <c r="D20" s="419">
        <f>CHOOSE($D$6,'15 Assumptions'!D16,'15 Assumptions'!D16+'15 Assumptions'!$C$22,'15 Assumptions'!D16+'15 Assumptions'!$C$23)</f>
        <v>9.9999999999999985E-3</v>
      </c>
      <c r="E20" s="419">
        <f>CHOOSE($D$6,'15 Assumptions'!E16,'15 Assumptions'!E16+'15 Assumptions'!$C$22,'15 Assumptions'!E16+'15 Assumptions'!$C$23)</f>
        <v>9.9999999999999985E-3</v>
      </c>
      <c r="F20" s="419">
        <f>CHOOSE($D$6,'15 Assumptions'!F16,'15 Assumptions'!F16+'15 Assumptions'!$C$22,'15 Assumptions'!F16+'15 Assumptions'!$C$23)</f>
        <v>9.9999999999999985E-3</v>
      </c>
      <c r="G20" s="419">
        <f>CHOOSE($D$6,'15 Assumptions'!G16,'15 Assumptions'!G16+'15 Assumptions'!$C$22,'15 Assumptions'!G16+'15 Assumptions'!$C$23)</f>
        <v>9.9999999999999985E-3</v>
      </c>
    </row>
    <row r="21" spans="2:7" x14ac:dyDescent="0.3">
      <c r="B21" s="26" t="s">
        <v>74</v>
      </c>
      <c r="C21" s="419">
        <f>CHOOSE($D$6,'15 Assumptions'!C17,'15 Assumptions'!C17+'15 Assumptions'!$C$22,'15 Assumptions'!C17+'15 Assumptions'!$C$23)</f>
        <v>0.19</v>
      </c>
      <c r="D21" s="419">
        <f>CHOOSE($D$6,'15 Assumptions'!D17,'15 Assumptions'!D17+'15 Assumptions'!$C$22,'15 Assumptions'!D17+'15 Assumptions'!$C$23)</f>
        <v>0.17499999999999999</v>
      </c>
      <c r="E21" s="419">
        <f>CHOOSE($D$6,'15 Assumptions'!E17,'15 Assumptions'!E17+'15 Assumptions'!$C$22,'15 Assumptions'!E17+'15 Assumptions'!$C$23)</f>
        <v>0.16</v>
      </c>
      <c r="F21" s="419">
        <f>CHOOSE($D$6,'15 Assumptions'!F17,'15 Assumptions'!F17+'15 Assumptions'!$C$22,'15 Assumptions'!F17+'15 Assumptions'!$C$23)</f>
        <v>0.15</v>
      </c>
      <c r="G21" s="419">
        <f>CHOOSE($D$6,'15 Assumptions'!G17,'15 Assumptions'!G17+'15 Assumptions'!$C$22,'15 Assumptions'!G17+'15 Assumptions'!$C$23)</f>
        <v>0.14000000000000001</v>
      </c>
    </row>
    <row r="22" spans="2:7" x14ac:dyDescent="0.3">
      <c r="B22" s="26" t="s">
        <v>1955</v>
      </c>
      <c r="C22" s="419">
        <f>CHOOSE($D$6,'15 Assumptions'!C18,'15 Assumptions'!C18+'15 Assumptions'!$C$22,'15 Assumptions'!C18+'15 Assumptions'!$C$23)</f>
        <v>0.73</v>
      </c>
      <c r="D22" s="419">
        <f>'DCF Best Model'!M14/'DCF Best Model'!L14-1</f>
        <v>0.65251177509965852</v>
      </c>
      <c r="E22" s="419">
        <f>'DCF Best Model'!N14/'DCF Best Model'!M14-1</f>
        <v>0.4940006453128265</v>
      </c>
      <c r="F22" s="419">
        <f>'DCF Best Model'!O14/'DCF Best Model'!N14-1</f>
        <v>0.3471217008306029</v>
      </c>
      <c r="G22" s="419">
        <f>'DCF Best Model'!P14/'DCF Best Model'!O14-1</f>
        <v>0.253156725434587</v>
      </c>
    </row>
    <row r="23" spans="2:7" x14ac:dyDescent="0.3">
      <c r="B23" s="22" t="s">
        <v>77</v>
      </c>
      <c r="C23" s="420">
        <f>CHOOSE($D$6,'15 Assumptions'!C19,'15 Assumptions'!C19+'15 Assumptions'!$C$22,'15 Assumptions'!C19+'15 Assumptions'!$C$23)</f>
        <v>0.08</v>
      </c>
      <c r="D23" s="420">
        <f>CHOOSE($D$6,'15 Assumptions'!D19,'15 Assumptions'!D19+'15 Assumptions'!$C$22,'15 Assumptions'!D19+'15 Assumptions'!$C$23)</f>
        <v>0.08</v>
      </c>
      <c r="E23" s="420">
        <f>CHOOSE($D$6,'15 Assumptions'!E19,'15 Assumptions'!E19+'15 Assumptions'!$C$22,'15 Assumptions'!E19+'15 Assumptions'!$C$23)</f>
        <v>0.08</v>
      </c>
      <c r="F23" s="420">
        <f>CHOOSE($D$6,'15 Assumptions'!F19,'15 Assumptions'!F19+'15 Assumptions'!$C$22,'15 Assumptions'!F19+'15 Assumptions'!$C$23)</f>
        <v>0.08</v>
      </c>
      <c r="G23" s="420">
        <f>CHOOSE($D$6,'15 Assumptions'!G19,'15 Assumptions'!G19+'15 Assumptions'!$C$22,'15 Assumptions'!G19+'15 Assumptions'!$C$23)</f>
        <v>0.08</v>
      </c>
    </row>
    <row r="24" spans="2:7" x14ac:dyDescent="0.3">
      <c r="B24" s="46" t="s">
        <v>1956</v>
      </c>
      <c r="C24" s="420"/>
      <c r="D24" s="493">
        <f>CHOOSE($D$6,'15 Assumptions'!D74,'15 Assumptions'!D75,'15 Assumptions'!D76)</f>
        <v>0.33</v>
      </c>
      <c r="E24" s="493">
        <f>CHOOSE($D$6,'15 Assumptions'!E74,'15 Assumptions'!E75,'15 Assumptions'!E76)</f>
        <v>0.34</v>
      </c>
      <c r="F24" s="493">
        <f>CHOOSE($D$6,'15 Assumptions'!F74,'15 Assumptions'!F75,'15 Assumptions'!F76)</f>
        <v>0.35499999999999998</v>
      </c>
      <c r="G24" s="493">
        <f>CHOOSE($D$6,'15 Assumptions'!G74,'15 Assumptions'!G75,'15 Assumptions'!G76)</f>
        <v>0.374</v>
      </c>
    </row>
    <row r="25" spans="2:7" x14ac:dyDescent="0.3">
      <c r="B25" s="5" t="s">
        <v>1406</v>
      </c>
      <c r="C25" s="418">
        <f>IF('15 Assumptions'!$C$117=1,'DCF Best Model'!L123,CHOOSE($D$6,'15 Assumptions'!C27,'15 Assumptions'!C28,'15 Assumptions'!C29))</f>
        <v>0.35799999999999998</v>
      </c>
      <c r="D25" s="418">
        <f>IF('15 Assumptions'!$C$117=1,'DCF Best Model'!M123,CHOOSE($D$6,'15 Assumptions'!D27,'15 Assumptions'!D28,'15 Assumptions'!D29))</f>
        <v>0.36799999999999999</v>
      </c>
      <c r="E25" s="418">
        <f>IF('15 Assumptions'!$C$117=1,'DCF Best Model'!N123,CHOOSE($D$6,'15 Assumptions'!E27,'15 Assumptions'!E28,'15 Assumptions'!E29))</f>
        <v>0.378</v>
      </c>
      <c r="F25" s="418">
        <f>IF('15 Assumptions'!$C$117=1,'DCF Best Model'!O123,CHOOSE($D$6,'15 Assumptions'!F27,'15 Assumptions'!F28,'15 Assumptions'!F29))</f>
        <v>0.38800000000000001</v>
      </c>
      <c r="G25" s="418">
        <f>IF('15 Assumptions'!$C$117=1,'DCF Best Model'!P123,CHOOSE($D$6,'15 Assumptions'!G27,'15 Assumptions'!G28,'15 Assumptions'!G29))</f>
        <v>0.39800000000000002</v>
      </c>
    </row>
    <row r="26" spans="2:7" x14ac:dyDescent="0.3">
      <c r="B26" s="46" t="s">
        <v>1902</v>
      </c>
      <c r="C26" s="420">
        <f>CHOOSE($D$6,'15 Assumptions'!C32,'15 Assumptions'!C33,'15 Assumptions'!C34)</f>
        <v>0.4</v>
      </c>
      <c r="D26" s="420">
        <f>CHOOSE($D$6,'15 Assumptions'!D32,'15 Assumptions'!D33,'15 Assumptions'!D34)</f>
        <v>0.39</v>
      </c>
      <c r="E26" s="420">
        <f>CHOOSE($D$6,'15 Assumptions'!E32,'15 Assumptions'!E33,'15 Assumptions'!E34)</f>
        <v>0.32</v>
      </c>
      <c r="F26" s="420">
        <f>CHOOSE($D$6,'15 Assumptions'!F32,'15 Assumptions'!F33,'15 Assumptions'!F34)</f>
        <v>0.25</v>
      </c>
      <c r="G26" s="420">
        <f>CHOOSE($D$6,'15 Assumptions'!G32,'15 Assumptions'!G33,'15 Assumptions'!G34)</f>
        <v>0.2</v>
      </c>
    </row>
    <row r="27" spans="2:7" x14ac:dyDescent="0.3">
      <c r="B27" s="18" t="s">
        <v>1957</v>
      </c>
      <c r="C27" s="418">
        <f>CHOOSE($D$6,'15 Assumptions'!$C$80,'15 Assumptions'!$C$81,'15 Assumptions'!$C$82)</f>
        <v>0.25</v>
      </c>
    </row>
    <row r="28" spans="2:7" x14ac:dyDescent="0.3">
      <c r="B28" s="18" t="s">
        <v>1011</v>
      </c>
      <c r="C28" s="421">
        <f>CHOOSE($D$6,'15 Assumptions'!$C$37,'15 Assumptions'!$C$38,'15 Assumptions'!$C$39)</f>
        <v>0.45</v>
      </c>
    </row>
    <row r="29" spans="2:7" ht="43.95" customHeight="1" x14ac:dyDescent="0.3">
      <c r="B29" s="22" t="s">
        <v>1012</v>
      </c>
      <c r="C29" s="422">
        <f>1/(C28/'15 Assumptions'!$C$40+(1-C28)/'15 Assumptions'!$C$41)</f>
        <v>9.7560975609756095</v>
      </c>
      <c r="D29" s="24"/>
      <c r="E29" s="671" t="s">
        <v>1013</v>
      </c>
      <c r="F29" s="671"/>
      <c r="G29" s="671"/>
    </row>
    <row r="30" spans="2:7" x14ac:dyDescent="0.3">
      <c r="B30" s="18"/>
      <c r="C30" s="44"/>
    </row>
    <row r="31" spans="2:7" ht="36" customHeight="1" x14ac:dyDescent="0.3">
      <c r="B31" s="45" t="s">
        <v>1014</v>
      </c>
      <c r="C31" s="423">
        <f>'15 Assumptions'!$C$36/C29</f>
        <v>12588.434999999999</v>
      </c>
      <c r="D31" s="21"/>
      <c r="E31" s="672" t="s">
        <v>1015</v>
      </c>
      <c r="F31" s="672"/>
      <c r="G31" s="672"/>
    </row>
    <row r="33" spans="2:3" x14ac:dyDescent="0.3">
      <c r="B33" s="18" t="s">
        <v>2128</v>
      </c>
      <c r="C33" s="418">
        <f>CHOOSE($D$6,'15 Assumptions'!$C$106,'15 Assumptions'!$D$106,'15 Assumptions'!$E$106)</f>
        <v>0.29281179573419436</v>
      </c>
    </row>
    <row r="35" spans="2:3" x14ac:dyDescent="0.3">
      <c r="B35" s="18" t="s">
        <v>2201</v>
      </c>
      <c r="C35" s="557">
        <f>CHOOSE($D$6,'15 Assumptions'!$C$119,'15 Assumptions'!$D$119,'15 Assumptions'!$E$119)</f>
        <v>0.02</v>
      </c>
    </row>
    <row r="36" spans="2:3" x14ac:dyDescent="0.3">
      <c r="B36" s="18" t="s">
        <v>2202</v>
      </c>
      <c r="C36" s="557">
        <f>CHOOSE($D$6,'15 Assumptions'!$C$120,'15 Assumptions'!$D$120,'15 Assumptions'!$E$120)</f>
        <v>0.05</v>
      </c>
    </row>
    <row r="37" spans="2:3" x14ac:dyDescent="0.3">
      <c r="B37" s="18" t="s">
        <v>2203</v>
      </c>
      <c r="C37" s="557">
        <f>CHOOSE($D$6,'15 Assumptions'!$C$121,'15 Assumptions'!$D$121,'15 Assumptions'!$E$121)</f>
        <v>0</v>
      </c>
    </row>
  </sheetData>
  <mergeCells count="2">
    <mergeCell ref="E29:G29"/>
    <mergeCell ref="E31:G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5BAB-0A84-414E-A63C-860F987C6819}">
  <sheetPr>
    <tabColor rgb="FF002F6C"/>
  </sheetPr>
  <dimension ref="A2:H37"/>
  <sheetViews>
    <sheetView showGridLines="0" topLeftCell="A18" workbookViewId="0">
      <selection activeCell="B27" sqref="B27:C27"/>
    </sheetView>
  </sheetViews>
  <sheetFormatPr defaultRowHeight="14.4" x14ac:dyDescent="0.3"/>
  <cols>
    <col min="1" max="1" width="8.88671875" style="1"/>
    <col min="2" max="2" width="46.33203125" style="1" customWidth="1"/>
    <col min="3" max="7" width="15.21875" style="1" customWidth="1"/>
    <col min="8" max="8" width="8.88671875" style="1"/>
  </cols>
  <sheetData>
    <row r="2" spans="2:7" ht="23.4" thickBot="1" x14ac:dyDescent="0.45">
      <c r="B2" s="396" t="s">
        <v>1873</v>
      </c>
      <c r="C2" s="396"/>
      <c r="D2" s="396"/>
      <c r="E2" s="396"/>
      <c r="F2" s="396"/>
      <c r="G2" s="396"/>
    </row>
    <row r="3" spans="2:7" ht="15" thickBot="1" x14ac:dyDescent="0.35">
      <c r="B3" s="39" t="s">
        <v>1149</v>
      </c>
      <c r="C3" s="4"/>
      <c r="D3" s="4"/>
      <c r="E3" s="4"/>
      <c r="F3" s="4"/>
      <c r="G3" s="4"/>
    </row>
    <row r="5" spans="2:7" ht="15" thickBot="1" x14ac:dyDescent="0.35"/>
    <row r="6" spans="2:7" ht="25.95" customHeight="1" thickTop="1" thickBot="1" x14ac:dyDescent="0.35">
      <c r="B6" s="41" t="s">
        <v>1005</v>
      </c>
      <c r="C6" s="40"/>
      <c r="D6" s="42">
        <v>3</v>
      </c>
      <c r="E6" s="40"/>
      <c r="F6" s="43" t="str">
        <f>CHOOSE($D$6,"BASE CASE","BEST CASE","WORST CASE")</f>
        <v>WORST CASE</v>
      </c>
      <c r="G6" s="40"/>
    </row>
    <row r="7" spans="2:7" ht="15" thickTop="1" x14ac:dyDescent="0.3"/>
    <row r="8" spans="2:7" ht="18" customHeight="1" x14ac:dyDescent="0.3">
      <c r="B8" s="16" t="s">
        <v>1006</v>
      </c>
      <c r="C8" s="16"/>
      <c r="D8" s="16"/>
      <c r="E8" s="16"/>
      <c r="F8" s="16"/>
      <c r="G8" s="16"/>
    </row>
    <row r="9" spans="2:7" ht="55.95" customHeight="1" x14ac:dyDescent="0.3">
      <c r="B9" s="14" t="s">
        <v>1007</v>
      </c>
      <c r="C9" s="13"/>
      <c r="D9" s="13"/>
      <c r="E9" s="13"/>
      <c r="F9" s="13"/>
      <c r="G9" s="13"/>
    </row>
    <row r="10" spans="2:7" ht="76.05" customHeight="1" x14ac:dyDescent="0.3">
      <c r="B10" s="14" t="s">
        <v>1563</v>
      </c>
      <c r="C10" s="13"/>
      <c r="D10" s="13"/>
      <c r="E10" s="13"/>
      <c r="F10" s="13"/>
      <c r="G10" s="13"/>
    </row>
    <row r="11" spans="2:7" ht="66" customHeight="1" x14ac:dyDescent="0.3">
      <c r="B11" s="14" t="s">
        <v>1008</v>
      </c>
      <c r="C11" s="13"/>
      <c r="D11" s="13"/>
      <c r="E11" s="13"/>
      <c r="F11" s="13"/>
      <c r="G11" s="13"/>
    </row>
    <row r="12" spans="2:7" ht="70.05" customHeight="1" x14ac:dyDescent="0.3">
      <c r="B12" s="14" t="s">
        <v>1009</v>
      </c>
      <c r="C12" s="13"/>
      <c r="D12" s="13"/>
      <c r="E12" s="13"/>
      <c r="F12" s="13"/>
      <c r="G12" s="13"/>
    </row>
    <row r="15" spans="2:7" ht="18" customHeight="1" x14ac:dyDescent="0.3">
      <c r="B15" s="16" t="s">
        <v>1150</v>
      </c>
      <c r="C15" s="16"/>
      <c r="D15" s="16"/>
      <c r="E15" s="16"/>
      <c r="F15" s="16"/>
      <c r="G15" s="16"/>
    </row>
    <row r="16" spans="2:7" x14ac:dyDescent="0.3">
      <c r="C16" s="17" t="s">
        <v>973</v>
      </c>
      <c r="D16" s="17" t="s">
        <v>974</v>
      </c>
      <c r="E16" s="17" t="s">
        <v>975</v>
      </c>
      <c r="F16" s="17" t="s">
        <v>976</v>
      </c>
      <c r="G16" s="17" t="s">
        <v>977</v>
      </c>
    </row>
    <row r="17" spans="2:7" x14ac:dyDescent="0.3">
      <c r="B17" s="5" t="s">
        <v>1010</v>
      </c>
    </row>
    <row r="18" spans="2:7" x14ac:dyDescent="0.3">
      <c r="B18" s="18" t="s">
        <v>70</v>
      </c>
      <c r="C18" s="418">
        <f>CHOOSE($D$6,'15 Assumptions'!C14,'15 Assumptions'!C14+'15 Assumptions'!$C$22,'15 Assumptions'!C14+'15 Assumptions'!$C$23)</f>
        <v>0.10999999999999999</v>
      </c>
      <c r="D18" s="418">
        <f>CHOOSE($D$6,'15 Assumptions'!D14,'15 Assumptions'!D14+'15 Assumptions'!$C$22,'15 Assumptions'!D14+'15 Assumptions'!$C$23)</f>
        <v>7.9999999999999988E-2</v>
      </c>
      <c r="E18" s="418">
        <f>CHOOSE($D$6,'15 Assumptions'!E14,'15 Assumptions'!E14+'15 Assumptions'!$C$22,'15 Assumptions'!E14+'15 Assumptions'!$C$23)</f>
        <v>6.0000000000000005E-2</v>
      </c>
      <c r="F18" s="418">
        <f>CHOOSE($D$6,'15 Assumptions'!F14,'15 Assumptions'!F14+'15 Assumptions'!$C$22,'15 Assumptions'!F14+'15 Assumptions'!$C$23)</f>
        <v>4.9999999999999996E-2</v>
      </c>
      <c r="G18" s="418">
        <f>CHOOSE($D$6,'15 Assumptions'!G14,'15 Assumptions'!G14+'15 Assumptions'!$C$22,'15 Assumptions'!G14+'15 Assumptions'!$C$23)</f>
        <v>0.04</v>
      </c>
    </row>
    <row r="19" spans="2:7" x14ac:dyDescent="0.3">
      <c r="B19" s="26" t="s">
        <v>71</v>
      </c>
      <c r="C19" s="419">
        <f>CHOOSE($D$6,'15 Assumptions'!C15,'15 Assumptions'!C15+'15 Assumptions'!$C$22,'15 Assumptions'!C15+'15 Assumptions'!$C$23)</f>
        <v>8.4999999999999992E-2</v>
      </c>
      <c r="D19" s="419">
        <f>CHOOSE($D$6,'15 Assumptions'!D15,'15 Assumptions'!D15+'15 Assumptions'!$C$22,'15 Assumptions'!D15+'15 Assumptions'!$C$23)</f>
        <v>7.5000000000000011E-2</v>
      </c>
      <c r="E19" s="419">
        <f>CHOOSE($D$6,'15 Assumptions'!E15,'15 Assumptions'!E15+'15 Assumptions'!$C$22,'15 Assumptions'!E15+'15 Assumptions'!$C$23)</f>
        <v>6.5000000000000002E-2</v>
      </c>
      <c r="F19" s="419">
        <f>CHOOSE($D$6,'15 Assumptions'!F15,'15 Assumptions'!F15+'15 Assumptions'!$C$22,'15 Assumptions'!F15+'15 Assumptions'!$C$23)</f>
        <v>6.0000000000000005E-2</v>
      </c>
      <c r="G19" s="419">
        <f>CHOOSE($D$6,'15 Assumptions'!G15,'15 Assumptions'!G15+'15 Assumptions'!$C$22,'15 Assumptions'!G15+'15 Assumptions'!$C$23)</f>
        <v>5.5E-2</v>
      </c>
    </row>
    <row r="20" spans="2:7" x14ac:dyDescent="0.3">
      <c r="B20" s="26" t="s">
        <v>72</v>
      </c>
      <c r="C20" s="419">
        <f>CHOOSE($D$6,'15 Assumptions'!C16,'15 Assumptions'!C16+'15 Assumptions'!$C$22,'15 Assumptions'!C16+'15 Assumptions'!$C$23)</f>
        <v>-0.06</v>
      </c>
      <c r="D20" s="419">
        <f>CHOOSE($D$6,'15 Assumptions'!D16,'15 Assumptions'!D16+'15 Assumptions'!$C$22,'15 Assumptions'!D16+'15 Assumptions'!$C$23)</f>
        <v>-0.06</v>
      </c>
      <c r="E20" s="419">
        <f>CHOOSE($D$6,'15 Assumptions'!E16,'15 Assumptions'!E16+'15 Assumptions'!$C$22,'15 Assumptions'!E16+'15 Assumptions'!$C$23)</f>
        <v>-0.06</v>
      </c>
      <c r="F20" s="419">
        <f>CHOOSE($D$6,'15 Assumptions'!F16,'15 Assumptions'!F16+'15 Assumptions'!$C$22,'15 Assumptions'!F16+'15 Assumptions'!$C$23)</f>
        <v>-0.06</v>
      </c>
      <c r="G20" s="419">
        <f>CHOOSE($D$6,'15 Assumptions'!G16,'15 Assumptions'!G16+'15 Assumptions'!$C$22,'15 Assumptions'!G16+'15 Assumptions'!$C$23)</f>
        <v>-0.06</v>
      </c>
    </row>
    <row r="21" spans="2:7" x14ac:dyDescent="0.3">
      <c r="B21" s="26" t="s">
        <v>74</v>
      </c>
      <c r="C21" s="419">
        <f>CHOOSE($D$6,'15 Assumptions'!C17,'15 Assumptions'!C17+'15 Assumptions'!$C$22,'15 Assumptions'!C17+'15 Assumptions'!$C$23)</f>
        <v>0.12</v>
      </c>
      <c r="D21" s="419">
        <f>CHOOSE($D$6,'15 Assumptions'!D17,'15 Assumptions'!D17+'15 Assumptions'!$C$22,'15 Assumptions'!D17+'15 Assumptions'!$C$23)</f>
        <v>0.10499999999999998</v>
      </c>
      <c r="E21" s="419">
        <f>CHOOSE($D$6,'15 Assumptions'!E17,'15 Assumptions'!E17+'15 Assumptions'!$C$22,'15 Assumptions'!E17+'15 Assumptions'!$C$23)</f>
        <v>0.09</v>
      </c>
      <c r="F21" s="419">
        <f>CHOOSE($D$6,'15 Assumptions'!F17,'15 Assumptions'!F17+'15 Assumptions'!$C$22,'15 Assumptions'!F17+'15 Assumptions'!$C$23)</f>
        <v>7.9999999999999988E-2</v>
      </c>
      <c r="G21" s="419">
        <f>CHOOSE($D$6,'15 Assumptions'!G17,'15 Assumptions'!G17+'15 Assumptions'!$C$22,'15 Assumptions'!G17+'15 Assumptions'!$C$23)</f>
        <v>7.0000000000000007E-2</v>
      </c>
    </row>
    <row r="22" spans="2:7" x14ac:dyDescent="0.3">
      <c r="B22" s="26" t="s">
        <v>1955</v>
      </c>
      <c r="C22" s="419">
        <f>CHOOSE($D$6,'15 Assumptions'!C18,'15 Assumptions'!C18+'15 Assumptions'!$C$22,'15 Assumptions'!C18+'15 Assumptions'!$C$23)</f>
        <v>0.65999999999999992</v>
      </c>
      <c r="D22" s="419">
        <f>'DCF Worst Model'!M14/'DCF Worst Model'!L14-1</f>
        <v>0.41047265565421553</v>
      </c>
      <c r="E22" s="419">
        <f>'DCF Worst Model'!N14/'DCF Worst Model'!M14-1</f>
        <v>0.33316149302532527</v>
      </c>
      <c r="F22" s="419">
        <f>'DCF Worst Model'!O14/'DCF Worst Model'!N14-1</f>
        <v>0.24626785036908982</v>
      </c>
      <c r="G22" s="419">
        <f>'DCF Worst Model'!P14/'DCF Worst Model'!O14-1</f>
        <v>0.19046568591935564</v>
      </c>
    </row>
    <row r="23" spans="2:7" x14ac:dyDescent="0.3">
      <c r="B23" s="22" t="s">
        <v>77</v>
      </c>
      <c r="C23" s="420">
        <f>CHOOSE($D$6,'15 Assumptions'!C19,'15 Assumptions'!C19+'15 Assumptions'!$C$22,'15 Assumptions'!C19+'15 Assumptions'!$C$23)</f>
        <v>1.0000000000000002E-2</v>
      </c>
      <c r="D23" s="420">
        <f>CHOOSE($D$6,'15 Assumptions'!D19,'15 Assumptions'!D19+'15 Assumptions'!$C$22,'15 Assumptions'!D19+'15 Assumptions'!$C$23)</f>
        <v>1.0000000000000002E-2</v>
      </c>
      <c r="E23" s="420">
        <f>CHOOSE($D$6,'15 Assumptions'!E19,'15 Assumptions'!E19+'15 Assumptions'!$C$22,'15 Assumptions'!E19+'15 Assumptions'!$C$23)</f>
        <v>1.0000000000000002E-2</v>
      </c>
      <c r="F23" s="420">
        <f>CHOOSE($D$6,'15 Assumptions'!F19,'15 Assumptions'!F19+'15 Assumptions'!$C$22,'15 Assumptions'!F19+'15 Assumptions'!$C$23)</f>
        <v>1.0000000000000002E-2</v>
      </c>
      <c r="G23" s="420">
        <f>CHOOSE($D$6,'15 Assumptions'!G19,'15 Assumptions'!G19+'15 Assumptions'!$C$22,'15 Assumptions'!G19+'15 Assumptions'!$C$23)</f>
        <v>1.0000000000000002E-2</v>
      </c>
    </row>
    <row r="24" spans="2:7" x14ac:dyDescent="0.3">
      <c r="B24" s="46" t="s">
        <v>1956</v>
      </c>
      <c r="C24" s="420"/>
      <c r="D24" s="493">
        <f>CHOOSE($D$6,'15 Assumptions'!D74,'15 Assumptions'!D75,'15 Assumptions'!D76)</f>
        <v>0.20100000000000001</v>
      </c>
      <c r="E24" s="493">
        <f>CHOOSE($D$6,'15 Assumptions'!E74,'15 Assumptions'!E75,'15 Assumptions'!E76)</f>
        <v>0.184</v>
      </c>
      <c r="F24" s="493">
        <f>CHOOSE($D$6,'15 Assumptions'!F74,'15 Assumptions'!F75,'15 Assumptions'!F76)</f>
        <v>0.185</v>
      </c>
      <c r="G24" s="493">
        <f>CHOOSE($D$6,'15 Assumptions'!G74,'15 Assumptions'!G75,'15 Assumptions'!G76)</f>
        <v>0.19500000000000001</v>
      </c>
    </row>
    <row r="25" spans="2:7" x14ac:dyDescent="0.3">
      <c r="B25" s="5" t="s">
        <v>1406</v>
      </c>
      <c r="C25" s="418">
        <f>IF('15 Assumptions'!$C$117=1,'DCF Worst Model'!L123,CHOOSE($D$6,'15 Assumptions'!C27,'15 Assumptions'!C28,'15 Assumptions'!C29))</f>
        <v>0.34499999999999997</v>
      </c>
      <c r="D25" s="418">
        <f>IF('15 Assumptions'!$C$117=1,'DCF Worst Model'!M123,CHOOSE($D$6,'15 Assumptions'!D27,'15 Assumptions'!D28,'15 Assumptions'!D29))</f>
        <v>0.34</v>
      </c>
      <c r="E25" s="418">
        <f>IF('15 Assumptions'!$C$117=1,'DCF Worst Model'!N123,CHOOSE($D$6,'15 Assumptions'!E27,'15 Assumptions'!E28,'15 Assumptions'!E29))</f>
        <v>0.33500000000000002</v>
      </c>
      <c r="F25" s="418">
        <f>IF('15 Assumptions'!$C$117=1,'DCF Worst Model'!O123,CHOOSE($D$6,'15 Assumptions'!F27,'15 Assumptions'!F28,'15 Assumptions'!F29))</f>
        <v>0.33</v>
      </c>
      <c r="G25" s="418">
        <f>IF('15 Assumptions'!$C$117=1,'DCF Worst Model'!P123,CHOOSE($D$6,'15 Assumptions'!G27,'15 Assumptions'!G28,'15 Assumptions'!G29))</f>
        <v>0.32500000000000001</v>
      </c>
    </row>
    <row r="26" spans="2:7" x14ac:dyDescent="0.3">
      <c r="B26" s="46" t="s">
        <v>1902</v>
      </c>
      <c r="C26" s="420">
        <f>CHOOSE($D$6,'15 Assumptions'!C32,'15 Assumptions'!C33,'15 Assumptions'!C34)</f>
        <v>0.42</v>
      </c>
      <c r="D26" s="420">
        <f>CHOOSE($D$6,'15 Assumptions'!D32,'15 Assumptions'!D33,'15 Assumptions'!D34)</f>
        <v>0.46</v>
      </c>
      <c r="E26" s="420">
        <f>CHOOSE($D$6,'15 Assumptions'!E32,'15 Assumptions'!E33,'15 Assumptions'!E34)</f>
        <v>0.4</v>
      </c>
      <c r="F26" s="420">
        <f>CHOOSE($D$6,'15 Assumptions'!F32,'15 Assumptions'!F33,'15 Assumptions'!F34)</f>
        <v>0.33</v>
      </c>
      <c r="G26" s="420">
        <f>CHOOSE($D$6,'15 Assumptions'!G32,'15 Assumptions'!G33,'15 Assumptions'!G34)</f>
        <v>0.27</v>
      </c>
    </row>
    <row r="27" spans="2:7" x14ac:dyDescent="0.3">
      <c r="B27" s="18" t="s">
        <v>1957</v>
      </c>
      <c r="C27" s="418">
        <f>CHOOSE($D$6,'15 Assumptions'!$C$80,'15 Assumptions'!$C$81,'15 Assumptions'!$C$82)</f>
        <v>0.1</v>
      </c>
    </row>
    <row r="28" spans="2:7" x14ac:dyDescent="0.3">
      <c r="B28" s="18" t="s">
        <v>1011</v>
      </c>
      <c r="C28" s="421">
        <f>CHOOSE($D$6,'15 Assumptions'!$C$37,'15 Assumptions'!$C$38,'15 Assumptions'!$C$39)</f>
        <v>0.8</v>
      </c>
    </row>
    <row r="29" spans="2:7" ht="43.95" customHeight="1" x14ac:dyDescent="0.3">
      <c r="B29" s="22" t="s">
        <v>1012</v>
      </c>
      <c r="C29" s="422">
        <f>1/(C28/'15 Assumptions'!$C$40+(1-C28)/'15 Assumptions'!$C$41)</f>
        <v>6.9767441860465116</v>
      </c>
      <c r="D29" s="24"/>
      <c r="E29" s="671" t="s">
        <v>1013</v>
      </c>
      <c r="F29" s="671"/>
      <c r="G29" s="671"/>
    </row>
    <row r="30" spans="2:7" x14ac:dyDescent="0.3">
      <c r="B30" s="18"/>
      <c r="C30" s="44"/>
    </row>
    <row r="31" spans="2:7" ht="36" customHeight="1" x14ac:dyDescent="0.3">
      <c r="B31" s="45" t="s">
        <v>1014</v>
      </c>
      <c r="C31" s="423">
        <f>'15 Assumptions'!$C$36/C29</f>
        <v>17603.34</v>
      </c>
      <c r="D31" s="21"/>
      <c r="E31" s="672" t="s">
        <v>1015</v>
      </c>
      <c r="F31" s="672"/>
      <c r="G31" s="672"/>
    </row>
    <row r="33" spans="2:3" x14ac:dyDescent="0.3">
      <c r="B33" s="18" t="s">
        <v>2128</v>
      </c>
      <c r="C33" s="418">
        <f>CHOOSE($D$6,'15 Assumptions'!$C$106,'15 Assumptions'!$D$106,'15 Assumptions'!$E$106)</f>
        <v>0.13421184089263302</v>
      </c>
    </row>
    <row r="35" spans="2:3" x14ac:dyDescent="0.3">
      <c r="B35" s="18" t="s">
        <v>2201</v>
      </c>
      <c r="C35" s="557">
        <f>CHOOSE($D$6,'15 Assumptions'!$C$119,'15 Assumptions'!$D$119,'15 Assumptions'!$E$119)</f>
        <v>-0.02</v>
      </c>
    </row>
    <row r="36" spans="2:3" x14ac:dyDescent="0.3">
      <c r="B36" s="18" t="s">
        <v>2202</v>
      </c>
      <c r="C36" s="557">
        <f>CHOOSE($D$6,'15 Assumptions'!$C$120,'15 Assumptions'!$D$120,'15 Assumptions'!$E$120)</f>
        <v>-0.05</v>
      </c>
    </row>
    <row r="37" spans="2:3" x14ac:dyDescent="0.3">
      <c r="B37" s="18" t="s">
        <v>2203</v>
      </c>
      <c r="C37" s="557">
        <f>CHOOSE($D$6,'15 Assumptions'!$C$121,'15 Assumptions'!$D$121,'15 Assumptions'!$E$121)</f>
        <v>0</v>
      </c>
    </row>
  </sheetData>
  <mergeCells count="2">
    <mergeCell ref="E29:G29"/>
    <mergeCell ref="E31:G3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7C1F-E2EC-4150-A623-22F233D56DC8}">
  <sheetPr>
    <tabColor rgb="FF002F6C"/>
  </sheetPr>
  <dimension ref="A1:U125"/>
  <sheetViews>
    <sheetView showGridLines="0" workbookViewId="0">
      <pane ySplit="7" topLeftCell="A37" activePane="bottomLeft" state="frozen"/>
      <selection pane="bottomLeft" activeCell="L37" sqref="L37"/>
    </sheetView>
  </sheetViews>
  <sheetFormatPr defaultRowHeight="14.4" x14ac:dyDescent="0.3"/>
  <cols>
    <col min="1" max="1" width="2.21875" style="1" customWidth="1"/>
    <col min="2" max="2" width="2.5546875" style="1" customWidth="1"/>
    <col min="3" max="3" width="53.6640625" style="1" customWidth="1"/>
    <col min="4" max="7" width="1.88671875" style="1" customWidth="1"/>
    <col min="8" max="16" width="15.5546875" style="1" customWidth="1"/>
    <col min="17" max="21" width="15.5546875" customWidth="1"/>
  </cols>
  <sheetData>
    <row r="1" spans="2:16" x14ac:dyDescent="0.3">
      <c r="O1" s="49" t="str">
        <f>"CURRENTLY RUNNING:  "&amp;'16 Scenarios'!F6</f>
        <v>CURRENTLY RUNNING:  BASE CASE</v>
      </c>
    </row>
    <row r="2" spans="2:16" ht="28.05" customHeight="1" thickBot="1" x14ac:dyDescent="0.45">
      <c r="B2" s="396" t="s">
        <v>1819</v>
      </c>
      <c r="C2" s="396"/>
      <c r="D2" s="396"/>
      <c r="E2" s="396"/>
      <c r="F2" s="396"/>
      <c r="G2" s="396"/>
      <c r="H2" s="396"/>
      <c r="I2" s="396"/>
      <c r="J2" s="396"/>
      <c r="K2" s="396"/>
      <c r="L2" s="396"/>
      <c r="M2" s="396"/>
      <c r="N2" s="396"/>
      <c r="O2" s="396"/>
      <c r="P2" s="396"/>
    </row>
    <row r="3" spans="2:16" ht="28.05" customHeight="1" x14ac:dyDescent="0.3">
      <c r="B3" s="313" t="s">
        <v>1567</v>
      </c>
    </row>
    <row r="4" spans="2:16" ht="15" thickBot="1" x14ac:dyDescent="0.35">
      <c r="B4" s="4"/>
      <c r="C4" s="4"/>
      <c r="D4" s="4"/>
      <c r="E4" s="4"/>
      <c r="F4" s="4"/>
      <c r="G4" s="4"/>
      <c r="H4" s="4"/>
      <c r="I4" s="4"/>
      <c r="J4" s="4"/>
      <c r="K4" s="4"/>
      <c r="L4" s="4"/>
      <c r="M4" s="4"/>
      <c r="N4" s="4"/>
      <c r="O4" s="4"/>
      <c r="P4" s="4"/>
    </row>
    <row r="6" spans="2:16" x14ac:dyDescent="0.3">
      <c r="L6" s="50" t="s">
        <v>1016</v>
      </c>
      <c r="M6" s="51"/>
      <c r="N6" s="51"/>
      <c r="O6" s="51"/>
      <c r="P6" s="51"/>
    </row>
    <row r="7" spans="2:16" ht="15" thickBot="1" x14ac:dyDescent="0.35">
      <c r="H7" s="53" t="s">
        <v>7</v>
      </c>
      <c r="I7" s="53" t="s">
        <v>8</v>
      </c>
      <c r="J7" s="53" t="s">
        <v>9</v>
      </c>
      <c r="K7" s="53" t="s">
        <v>11</v>
      </c>
      <c r="L7" s="52" t="s">
        <v>973</v>
      </c>
      <c r="M7" s="52" t="s">
        <v>974</v>
      </c>
      <c r="N7" s="52" t="s">
        <v>975</v>
      </c>
      <c r="O7" s="52" t="s">
        <v>976</v>
      </c>
      <c r="P7" s="52" t="s">
        <v>977</v>
      </c>
    </row>
    <row r="9" spans="2:16" ht="18" customHeight="1" x14ac:dyDescent="0.3">
      <c r="B9" s="16" t="s">
        <v>1017</v>
      </c>
      <c r="C9" s="16"/>
      <c r="D9" s="16"/>
      <c r="E9" s="16"/>
      <c r="F9" s="16"/>
      <c r="G9" s="16"/>
      <c r="H9" s="16"/>
      <c r="I9" s="16"/>
      <c r="J9" s="16"/>
      <c r="K9" s="16"/>
      <c r="L9" s="16"/>
      <c r="M9" s="16"/>
      <c r="N9" s="16"/>
      <c r="O9" s="16"/>
      <c r="P9" s="16"/>
    </row>
    <row r="10" spans="2:16" x14ac:dyDescent="0.3">
      <c r="C10" s="18" t="s">
        <v>70</v>
      </c>
      <c r="H10" s="47">
        <f>'03 Segments'!C7</f>
        <v>175033</v>
      </c>
      <c r="I10" s="47">
        <f>'03 Segments'!D7</f>
        <v>198084</v>
      </c>
      <c r="J10" s="47">
        <f>'03 Segments'!E7</f>
        <v>224532</v>
      </c>
      <c r="K10" s="47">
        <f>'03 Segments'!E7+'03 Segments'!G7+'03 Segments'!I7-'03 Segments'!F7-'03 Segments'!H7</f>
        <v>243310</v>
      </c>
      <c r="L10" s="429">
        <f>J10*(1+'16 Scenarios'!C18)</f>
        <v>258211.8</v>
      </c>
      <c r="M10" s="429">
        <f>L10*(1+'16 Scenarios'!D18)</f>
        <v>289197.21600000001</v>
      </c>
      <c r="N10" s="429">
        <f>M10*(1+'16 Scenarios'!E18)</f>
        <v>318116.93760000006</v>
      </c>
      <c r="O10" s="429">
        <f>N10*(1+'16 Scenarios'!F18)</f>
        <v>346747.46198400011</v>
      </c>
      <c r="P10" s="429">
        <f>O10*(1+'16 Scenarios'!G18)</f>
        <v>374487.25894272013</v>
      </c>
    </row>
    <row r="11" spans="2:16" x14ac:dyDescent="0.3">
      <c r="B11" s="61"/>
      <c r="C11" s="62" t="s">
        <v>71</v>
      </c>
      <c r="D11" s="61"/>
      <c r="E11" s="61"/>
      <c r="F11" s="61"/>
      <c r="G11" s="61"/>
      <c r="H11" s="430">
        <f>'03 Segments'!C8</f>
        <v>31510</v>
      </c>
      <c r="I11" s="430">
        <f>'03 Segments'!D8</f>
        <v>36147</v>
      </c>
      <c r="J11" s="430">
        <f>'03 Segments'!E8</f>
        <v>40367</v>
      </c>
      <c r="K11" s="430">
        <f>'03 Segments'!E8+'03 Segments'!G8+'03 Segments'!I8-'03 Segments'!F8-'03 Segments'!H8</f>
        <v>42582</v>
      </c>
      <c r="L11" s="431">
        <f>J11*(1+'16 Scenarios'!C19)</f>
        <v>45412.875</v>
      </c>
      <c r="M11" s="431">
        <f>L11*(1+'16 Scenarios'!D19)</f>
        <v>50635.355624999997</v>
      </c>
      <c r="N11" s="431">
        <f>M11*(1+'16 Scenarios'!E19)</f>
        <v>55952.067965624992</v>
      </c>
      <c r="O11" s="431">
        <f>N11*(1+'16 Scenarios'!F19)</f>
        <v>61547.274762187495</v>
      </c>
      <c r="P11" s="431">
        <f>O11*(1+'16 Scenarios'!G19)</f>
        <v>67394.265864595305</v>
      </c>
    </row>
    <row r="12" spans="2:16" x14ac:dyDescent="0.3">
      <c r="B12" s="61"/>
      <c r="C12" s="62" t="s">
        <v>72</v>
      </c>
      <c r="D12" s="61"/>
      <c r="E12" s="61"/>
      <c r="F12" s="61"/>
      <c r="G12" s="61"/>
      <c r="H12" s="430">
        <f>'03 Segments'!C9</f>
        <v>31312</v>
      </c>
      <c r="I12" s="430">
        <f>'03 Segments'!D9</f>
        <v>30359</v>
      </c>
      <c r="J12" s="430">
        <f>'03 Segments'!E9</f>
        <v>29792</v>
      </c>
      <c r="K12" s="430">
        <f>'03 Segments'!E9+'03 Segments'!G9+'03 Segments'!I9-'03 Segments'!F9-'03 Segments'!H9</f>
        <v>29456</v>
      </c>
      <c r="L12" s="431">
        <f>J12*(1+'16 Scenarios'!C20)</f>
        <v>29196.16</v>
      </c>
      <c r="M12" s="431">
        <f>L12*(1+'16 Scenarios'!D20)</f>
        <v>28612.236799999999</v>
      </c>
      <c r="N12" s="431">
        <f>M12*(1+'16 Scenarios'!E20)</f>
        <v>28039.992063999998</v>
      </c>
      <c r="O12" s="431">
        <f>N12*(1+'16 Scenarios'!F20)</f>
        <v>27479.192222719998</v>
      </c>
      <c r="P12" s="431">
        <f>O12*(1+'16 Scenarios'!G20)</f>
        <v>26929.608378265599</v>
      </c>
    </row>
    <row r="13" spans="2:16" x14ac:dyDescent="0.3">
      <c r="B13" s="61"/>
      <c r="C13" s="62" t="s">
        <v>74</v>
      </c>
      <c r="D13" s="61"/>
      <c r="E13" s="61"/>
      <c r="F13" s="61"/>
      <c r="G13" s="61"/>
      <c r="H13" s="430">
        <f>'03 Segments'!C11</f>
        <v>34688</v>
      </c>
      <c r="I13" s="430">
        <f>'03 Segments'!D11</f>
        <v>40340</v>
      </c>
      <c r="J13" s="430">
        <f>'03 Segments'!E11</f>
        <v>48030</v>
      </c>
      <c r="K13" s="430">
        <f>'03 Segments'!E11+'03 Segments'!G11+'03 Segments'!I11-'03 Segments'!F11-'03 Segments'!H11</f>
        <v>51743</v>
      </c>
      <c r="L13" s="431">
        <f>J13*(1+'16 Scenarios'!C21)</f>
        <v>55714.799999999996</v>
      </c>
      <c r="M13" s="431">
        <f>L13*(1+'16 Scenarios'!D21)</f>
        <v>63793.445999999996</v>
      </c>
      <c r="N13" s="431">
        <f>M13*(1+'16 Scenarios'!E21)</f>
        <v>72086.593979999991</v>
      </c>
      <c r="O13" s="431">
        <f>N13*(1+'16 Scenarios'!F21)</f>
        <v>80736.985257599998</v>
      </c>
      <c r="P13" s="431">
        <f>O13*(1+'16 Scenarios'!G21)</f>
        <v>89618.053635936012</v>
      </c>
    </row>
    <row r="14" spans="2:16" x14ac:dyDescent="0.3">
      <c r="B14" s="61"/>
      <c r="C14" s="62" t="s">
        <v>76</v>
      </c>
      <c r="D14" s="61"/>
      <c r="E14" s="61"/>
      <c r="F14" s="61"/>
      <c r="G14" s="61"/>
      <c r="H14" s="430">
        <f>'03 Segments'!C13</f>
        <v>33088</v>
      </c>
      <c r="I14" s="430">
        <f>'03 Segments'!D13</f>
        <v>43229</v>
      </c>
      <c r="J14" s="430">
        <f>'03 Segments'!E13</f>
        <v>58705</v>
      </c>
      <c r="K14" s="430">
        <f>'03 Segments'!E13+'03 Segments'!G13+'03 Segments'!I13-'03 Segments'!F13-'03 Segments'!H13</f>
        <v>77617</v>
      </c>
      <c r="L14" s="431">
        <f>J14*(1+'16 Scenarios'!C22)</f>
        <v>99798.5</v>
      </c>
      <c r="M14" s="431">
        <f>L14-L75*'16 Scenarios'!D24</f>
        <v>160062.10215499997</v>
      </c>
      <c r="N14" s="431">
        <f>M14-M75*'16 Scenarios'!E24</f>
        <v>237222.03954549195</v>
      </c>
      <c r="O14" s="431">
        <f>N14-N75*'16 Scenarios'!F24</f>
        <v>316386.89553208492</v>
      </c>
      <c r="P14" s="431">
        <f>O14-O75*'16 Scenarios'!G24</f>
        <v>394020.13751851529</v>
      </c>
    </row>
    <row r="15" spans="2:16" x14ac:dyDescent="0.3">
      <c r="B15" s="61"/>
      <c r="C15" s="62" t="s">
        <v>77</v>
      </c>
      <c r="D15" s="61"/>
      <c r="E15" s="61"/>
      <c r="F15" s="61"/>
      <c r="G15" s="61"/>
      <c r="H15" s="430">
        <f>'03 Segments'!C14</f>
        <v>1527</v>
      </c>
      <c r="I15" s="430">
        <f>'03 Segments'!D14</f>
        <v>1648</v>
      </c>
      <c r="J15" s="430">
        <f>'03 Segments'!E14</f>
        <v>1537</v>
      </c>
      <c r="K15" s="430">
        <f>'03 Segments'!E14+'03 Segments'!G14+'03 Segments'!I14-'03 Segments'!F14-'03 Segments'!H14</f>
        <v>1507</v>
      </c>
      <c r="L15" s="431">
        <f>J15*(1+'16 Scenarios'!C23)</f>
        <v>1613.8500000000001</v>
      </c>
      <c r="M15" s="431">
        <f>L15*(1+'16 Scenarios'!D23)</f>
        <v>1694.5425000000002</v>
      </c>
      <c r="N15" s="431">
        <f>M15*(1+'16 Scenarios'!E23)</f>
        <v>1779.2696250000004</v>
      </c>
      <c r="O15" s="431">
        <f>N15*(1+'16 Scenarios'!F23)</f>
        <v>1868.2331062500004</v>
      </c>
      <c r="P15" s="431">
        <f>O15*(1+'16 Scenarios'!G23)</f>
        <v>1961.6447615625007</v>
      </c>
    </row>
    <row r="16" spans="2:16" x14ac:dyDescent="0.3">
      <c r="B16" s="58"/>
      <c r="C16" s="59" t="s">
        <v>78</v>
      </c>
      <c r="D16" s="58"/>
      <c r="E16" s="58"/>
      <c r="F16" s="58"/>
      <c r="G16" s="58"/>
      <c r="H16" s="432">
        <f>'03 Segments'!C15</f>
        <v>236</v>
      </c>
      <c r="I16" s="432">
        <f>'03 Segments'!D15</f>
        <v>211</v>
      </c>
      <c r="J16" s="432">
        <f>'03 Segments'!E15</f>
        <v>-127</v>
      </c>
      <c r="K16" s="432">
        <f>'03 Segments'!E15+'03 Segments'!G15+'03 Segments'!I15-'03 Segments'!F15-'03 Segments'!H15</f>
        <v>-349</v>
      </c>
      <c r="L16" s="433">
        <f>'15 Assumptions'!$C$24</f>
        <v>0</v>
      </c>
      <c r="M16" s="433">
        <f>'15 Assumptions'!$C$24</f>
        <v>0</v>
      </c>
      <c r="N16" s="433">
        <f>'15 Assumptions'!$C$24</f>
        <v>0</v>
      </c>
      <c r="O16" s="433">
        <f>'15 Assumptions'!$C$24</f>
        <v>0</v>
      </c>
      <c r="P16" s="433">
        <f>'15 Assumptions'!$C$24</f>
        <v>0</v>
      </c>
    </row>
    <row r="17" spans="2:16" x14ac:dyDescent="0.3">
      <c r="C17" s="18"/>
      <c r="H17" s="38"/>
      <c r="I17" s="38"/>
      <c r="J17" s="38"/>
      <c r="K17" s="38"/>
      <c r="L17" s="67"/>
      <c r="M17" s="67"/>
      <c r="N17" s="67"/>
      <c r="O17" s="67"/>
      <c r="P17" s="67"/>
    </row>
    <row r="18" spans="2:16" x14ac:dyDescent="0.3">
      <c r="C18" s="54" t="s">
        <v>79</v>
      </c>
      <c r="D18" s="55"/>
      <c r="E18" s="55"/>
      <c r="F18" s="55"/>
      <c r="G18" s="55"/>
      <c r="H18" s="434">
        <f t="shared" ref="H18:P18" si="0">SUM(H10:H16)</f>
        <v>307394</v>
      </c>
      <c r="I18" s="434">
        <f t="shared" si="0"/>
        <v>350018</v>
      </c>
      <c r="J18" s="434">
        <f t="shared" si="0"/>
        <v>402836</v>
      </c>
      <c r="K18" s="434">
        <f t="shared" si="0"/>
        <v>445866</v>
      </c>
      <c r="L18" s="273">
        <f t="shared" si="0"/>
        <v>489947.98499999993</v>
      </c>
      <c r="M18" s="273">
        <f t="shared" si="0"/>
        <v>593994.89907999989</v>
      </c>
      <c r="N18" s="273">
        <f t="shared" si="0"/>
        <v>713196.90078011691</v>
      </c>
      <c r="O18" s="273">
        <f t="shared" si="0"/>
        <v>834766.04286484257</v>
      </c>
      <c r="P18" s="273">
        <f t="shared" si="0"/>
        <v>954410.96910159488</v>
      </c>
    </row>
    <row r="19" spans="2:16" x14ac:dyDescent="0.3">
      <c r="C19" s="18" t="s">
        <v>84</v>
      </c>
      <c r="H19" s="37"/>
      <c r="I19" s="376">
        <f>I18/H18-1</f>
        <v>0.13866243322901561</v>
      </c>
      <c r="J19" s="376">
        <f>J18/I18-1</f>
        <v>0.15090081081544371</v>
      </c>
      <c r="K19" s="37"/>
      <c r="L19" s="435">
        <f>L18/J18-1</f>
        <v>0.2162467728802786</v>
      </c>
      <c r="M19" s="435">
        <f>M18/L18-1</f>
        <v>0.21236318398166287</v>
      </c>
      <c r="N19" s="435">
        <f>N18/M18-1</f>
        <v>0.20067849384690217</v>
      </c>
      <c r="O19" s="435">
        <f>O18/N18-1</f>
        <v>0.17045663259578037</v>
      </c>
      <c r="P19" s="435">
        <f>P18/O18-1</f>
        <v>0.14332749548141854</v>
      </c>
    </row>
    <row r="22" spans="2:16" ht="18" customHeight="1" x14ac:dyDescent="0.3">
      <c r="B22" s="16" t="s">
        <v>1018</v>
      </c>
      <c r="C22" s="16"/>
      <c r="D22" s="16"/>
      <c r="E22" s="16"/>
      <c r="F22" s="16"/>
      <c r="G22" s="16"/>
      <c r="H22" s="16"/>
      <c r="I22" s="16"/>
      <c r="J22" s="16"/>
      <c r="K22" s="16"/>
      <c r="L22" s="16"/>
      <c r="M22" s="16"/>
      <c r="N22" s="16"/>
      <c r="O22" s="16"/>
      <c r="P22" s="16"/>
    </row>
    <row r="23" spans="2:16" x14ac:dyDescent="0.3">
      <c r="C23" s="18" t="s">
        <v>13</v>
      </c>
      <c r="H23" s="274">
        <f t="shared" ref="H23:P23" si="1">H18</f>
        <v>307394</v>
      </c>
      <c r="I23" s="274">
        <f t="shared" si="1"/>
        <v>350018</v>
      </c>
      <c r="J23" s="274">
        <f t="shared" si="1"/>
        <v>402836</v>
      </c>
      <c r="K23" s="274">
        <f t="shared" si="1"/>
        <v>445866</v>
      </c>
      <c r="L23" s="436">
        <f t="shared" si="1"/>
        <v>489947.98499999993</v>
      </c>
      <c r="M23" s="436">
        <f t="shared" si="1"/>
        <v>593994.89907999989</v>
      </c>
      <c r="N23" s="436">
        <f t="shared" si="1"/>
        <v>713196.90078011691</v>
      </c>
      <c r="O23" s="436">
        <f t="shared" si="1"/>
        <v>834766.04286484257</v>
      </c>
      <c r="P23" s="436">
        <f t="shared" si="1"/>
        <v>954410.96910159488</v>
      </c>
    </row>
    <row r="24" spans="2:16" x14ac:dyDescent="0.3">
      <c r="C24" s="54" t="s">
        <v>20</v>
      </c>
      <c r="D24" s="55"/>
      <c r="E24" s="55"/>
      <c r="F24" s="55"/>
      <c r="G24" s="55"/>
      <c r="H24" s="437">
        <f>'01 Income Statement'!C12</f>
        <v>84293</v>
      </c>
      <c r="I24" s="437">
        <f>'01 Income Statement'!D12</f>
        <v>112390</v>
      </c>
      <c r="J24" s="437">
        <f>'01 Income Statement'!E12</f>
        <v>129039</v>
      </c>
      <c r="K24" s="437">
        <f>'01 Income Statement'!G12</f>
        <v>147628</v>
      </c>
      <c r="L24" s="438">
        <f>L23*'16 Scenarios'!C25-L26</f>
        <v>171642.66036034166</v>
      </c>
      <c r="M24" s="438">
        <f>M23*'16 Scenarios'!D25-M26</f>
        <v>199232.4853813044</v>
      </c>
      <c r="N24" s="438">
        <f>N23*'16 Scenarios'!E25-N26</f>
        <v>224357.14998307958</v>
      </c>
      <c r="O24" s="438">
        <f>O23*'16 Scenarios'!F25-O26</f>
        <v>248267.23585381839</v>
      </c>
      <c r="P24" s="438">
        <f>P23*'16 Scenarios'!G25-P26</f>
        <v>272632.85160756833</v>
      </c>
    </row>
    <row r="25" spans="2:16" x14ac:dyDescent="0.3">
      <c r="B25" s="56"/>
      <c r="C25" s="57" t="s">
        <v>1405</v>
      </c>
      <c r="D25" s="56"/>
      <c r="E25" s="56"/>
      <c r="F25" s="56"/>
      <c r="G25" s="56"/>
      <c r="H25" s="439">
        <f t="shared" ref="H25:P25" si="2">H24/H23</f>
        <v>0.27421810445226646</v>
      </c>
      <c r="I25" s="439">
        <f t="shared" si="2"/>
        <v>0.32109777211457696</v>
      </c>
      <c r="J25" s="439">
        <f t="shared" si="2"/>
        <v>0.32032638592380025</v>
      </c>
      <c r="K25" s="439">
        <f t="shared" si="2"/>
        <v>0.33110396397123798</v>
      </c>
      <c r="L25" s="440">
        <f t="shared" si="2"/>
        <v>0.35032833201741137</v>
      </c>
      <c r="M25" s="440">
        <f t="shared" si="2"/>
        <v>0.33541110485945697</v>
      </c>
      <c r="N25" s="440">
        <f t="shared" si="2"/>
        <v>0.31457953580234399</v>
      </c>
      <c r="O25" s="440">
        <f t="shared" si="2"/>
        <v>0.29740936155211511</v>
      </c>
      <c r="P25" s="440">
        <f t="shared" si="2"/>
        <v>0.28565561423105057</v>
      </c>
    </row>
    <row r="26" spans="2:16" ht="14.4" customHeight="1" x14ac:dyDescent="0.3">
      <c r="C26" s="54" t="s">
        <v>1404</v>
      </c>
      <c r="L26" s="273">
        <f>L64-L23*($K$64/$K$23)</f>
        <v>1308.9783446582915</v>
      </c>
      <c r="M26" s="273">
        <f>M64-M23*($K$64/$K$23)</f>
        <v>13417.68848933556</v>
      </c>
      <c r="N26" s="273">
        <f>N64-N23*($K$64/$K$23)</f>
        <v>34533.325000102828</v>
      </c>
      <c r="O26" s="273">
        <f>O64-O23*($K$64/$K$23)</f>
        <v>58926.667920443673</v>
      </c>
      <c r="P26" s="273">
        <f>P64-P23*($K$64/$K$23)</f>
        <v>83362.439867326611</v>
      </c>
    </row>
    <row r="27" spans="2:16" x14ac:dyDescent="0.3">
      <c r="C27" s="18" t="s">
        <v>1019</v>
      </c>
      <c r="H27" s="274">
        <f>H29-H28</f>
        <v>1032</v>
      </c>
      <c r="I27" s="274">
        <f>I29-I28</f>
        <v>3711</v>
      </c>
      <c r="J27" s="274">
        <f>J29-J28</f>
        <v>5707</v>
      </c>
      <c r="K27" s="274">
        <f>K29-K28</f>
        <v>2659</v>
      </c>
      <c r="L27" s="429">
        <f>'15 Assumptions'!C46</f>
        <v>3000</v>
      </c>
      <c r="M27" s="429">
        <f>'15 Assumptions'!D46</f>
        <v>3200</v>
      </c>
      <c r="N27" s="429">
        <f>'15 Assumptions'!E46</f>
        <v>3400</v>
      </c>
      <c r="O27" s="429">
        <f>'15 Assumptions'!F46</f>
        <v>3600</v>
      </c>
      <c r="P27" s="429">
        <f>'15 Assumptions'!G46</f>
        <v>3800</v>
      </c>
    </row>
    <row r="28" spans="2:16" x14ac:dyDescent="0.3">
      <c r="B28" s="61"/>
      <c r="C28" s="62" t="s">
        <v>1020</v>
      </c>
      <c r="D28" s="61"/>
      <c r="E28" s="61"/>
      <c r="F28" s="61"/>
      <c r="G28" s="61"/>
      <c r="H28" s="430">
        <f>'06 Core EPS Bridge'!C7</f>
        <v>392</v>
      </c>
      <c r="I28" s="430">
        <f>'06 Core EPS Bridge'!D7</f>
        <v>3714</v>
      </c>
      <c r="J28" s="430">
        <f>'06 Core EPS Bridge'!E7</f>
        <v>24080</v>
      </c>
      <c r="K28" s="430">
        <f>'06 Core EPS Bridge'!E7+'06 Core EPS Bridge'!G7+'06 Core EPS Bridge'!I7-'06 Core EPS Bridge'!F7-'06 Core EPS Bridge'!H7</f>
        <v>148982</v>
      </c>
      <c r="L28" s="431">
        <f>'15 Assumptions'!C47</f>
        <v>135946</v>
      </c>
      <c r="M28" s="431">
        <f>'15 Assumptions'!D47</f>
        <v>0</v>
      </c>
      <c r="N28" s="431">
        <f>'15 Assumptions'!E47</f>
        <v>0</v>
      </c>
      <c r="O28" s="431">
        <f>'15 Assumptions'!F47</f>
        <v>0</v>
      </c>
      <c r="P28" s="431">
        <f>'15 Assumptions'!G47</f>
        <v>0</v>
      </c>
    </row>
    <row r="29" spans="2:16" x14ac:dyDescent="0.3">
      <c r="B29" s="58"/>
      <c r="C29" s="59" t="s">
        <v>1021</v>
      </c>
      <c r="D29" s="58"/>
      <c r="E29" s="58"/>
      <c r="F29" s="58"/>
      <c r="G29" s="58"/>
      <c r="H29" s="432">
        <f>'01 Income Statement'!C14</f>
        <v>1424</v>
      </c>
      <c r="I29" s="432">
        <f>'01 Income Statement'!D14</f>
        <v>7425</v>
      </c>
      <c r="J29" s="432">
        <f>'01 Income Statement'!E14</f>
        <v>29787</v>
      </c>
      <c r="K29" s="432">
        <f>'01 Income Statement'!G14</f>
        <v>151641</v>
      </c>
      <c r="L29" s="441">
        <f>L27+L28</f>
        <v>138946</v>
      </c>
      <c r="M29" s="441">
        <f>M27+M28</f>
        <v>3200</v>
      </c>
      <c r="N29" s="441">
        <f>N27+N28</f>
        <v>3400</v>
      </c>
      <c r="O29" s="441">
        <f>O27+O28</f>
        <v>3600</v>
      </c>
      <c r="P29" s="441">
        <f>P27+P28</f>
        <v>3800</v>
      </c>
    </row>
    <row r="31" spans="2:16" x14ac:dyDescent="0.3">
      <c r="C31" s="18" t="s">
        <v>1022</v>
      </c>
      <c r="H31" s="274">
        <f t="shared" ref="H31:P31" si="3">H24+H29</f>
        <v>85717</v>
      </c>
      <c r="I31" s="274">
        <f t="shared" si="3"/>
        <v>119815</v>
      </c>
      <c r="J31" s="274">
        <f t="shared" si="3"/>
        <v>158826</v>
      </c>
      <c r="K31" s="274">
        <f t="shared" si="3"/>
        <v>299269</v>
      </c>
      <c r="L31" s="436">
        <f t="shared" si="3"/>
        <v>310588.66036034166</v>
      </c>
      <c r="M31" s="436">
        <f t="shared" si="3"/>
        <v>202432.4853813044</v>
      </c>
      <c r="N31" s="436">
        <f t="shared" si="3"/>
        <v>227757.14998307958</v>
      </c>
      <c r="O31" s="436">
        <f t="shared" si="3"/>
        <v>251867.23585381839</v>
      </c>
      <c r="P31" s="436">
        <f t="shared" si="3"/>
        <v>276432.85160756833</v>
      </c>
    </row>
    <row r="32" spans="2:16" x14ac:dyDescent="0.3">
      <c r="B32" s="58"/>
      <c r="C32" s="59" t="s">
        <v>25</v>
      </c>
      <c r="D32" s="58"/>
      <c r="E32" s="58"/>
      <c r="F32" s="58"/>
      <c r="G32" s="58"/>
      <c r="H32" s="432">
        <f>'01 Income Statement'!C16</f>
        <v>11922</v>
      </c>
      <c r="I32" s="432">
        <f>'01 Income Statement'!D16</f>
        <v>19697</v>
      </c>
      <c r="J32" s="432">
        <f>'01 Income Statement'!E16</f>
        <v>26656</v>
      </c>
      <c r="K32" s="432">
        <f>'01 Income Statement'!G16</f>
        <v>55064</v>
      </c>
      <c r="L32" s="527">
        <f>L44*'15 Assumptions'!$C$10+L28*'15 Assumptions'!$C$85</f>
        <v>56687.103045056931</v>
      </c>
      <c r="M32" s="527">
        <f>M44*'15 Assumptions'!$C$10+M28*'15 Assumptions'!$C$85</f>
        <v>32615.94245425643</v>
      </c>
      <c r="N32" s="527">
        <f>N44*'15 Assumptions'!$C$10+N28*'15 Assumptions'!$C$85</f>
        <v>36696.254968174355</v>
      </c>
      <c r="O32" s="527">
        <f>O44*'15 Assumptions'!$C$10+O28*'15 Assumptions'!$C$85</f>
        <v>40580.874434491612</v>
      </c>
      <c r="P32" s="527">
        <f>P44*'15 Assumptions'!$C$10+P28*'15 Assumptions'!$C$85</f>
        <v>44538.888921486992</v>
      </c>
    </row>
    <row r="33" spans="2:16" x14ac:dyDescent="0.3">
      <c r="C33" s="5" t="s">
        <v>1023</v>
      </c>
      <c r="D33" s="2"/>
      <c r="E33" s="2"/>
      <c r="F33" s="2"/>
      <c r="G33" s="2"/>
      <c r="H33" s="442">
        <f t="shared" ref="H33:P33" si="4">H31-H32</f>
        <v>73795</v>
      </c>
      <c r="I33" s="442">
        <f t="shared" si="4"/>
        <v>100118</v>
      </c>
      <c r="J33" s="442">
        <f t="shared" si="4"/>
        <v>132170</v>
      </c>
      <c r="K33" s="442">
        <f t="shared" si="4"/>
        <v>244205</v>
      </c>
      <c r="L33" s="443">
        <f t="shared" si="4"/>
        <v>253901.55731528474</v>
      </c>
      <c r="M33" s="443">
        <f t="shared" si="4"/>
        <v>169816.54292704797</v>
      </c>
      <c r="N33" s="443">
        <f t="shared" si="4"/>
        <v>191060.89501490523</v>
      </c>
      <c r="O33" s="443">
        <f t="shared" si="4"/>
        <v>211286.36141932677</v>
      </c>
      <c r="P33" s="443">
        <f t="shared" si="4"/>
        <v>231893.96268608133</v>
      </c>
    </row>
    <row r="34" spans="2:16" x14ac:dyDescent="0.3">
      <c r="C34" s="18"/>
      <c r="L34" s="69"/>
      <c r="M34" s="69"/>
      <c r="N34" s="69"/>
      <c r="O34" s="69"/>
      <c r="P34" s="69"/>
    </row>
    <row r="35" spans="2:16" x14ac:dyDescent="0.3">
      <c r="C35" s="18" t="s">
        <v>1024</v>
      </c>
      <c r="H35" s="38"/>
      <c r="I35" s="38"/>
      <c r="J35" s="38"/>
      <c r="K35" s="38"/>
      <c r="L35" s="429">
        <f>'15 Assumptions'!$C$9</f>
        <v>1187.5</v>
      </c>
      <c r="M35" s="429">
        <f>'15 Assumptions'!$C$9</f>
        <v>1187.5</v>
      </c>
      <c r="N35" s="429">
        <f>'15 Assumptions'!$C$9</f>
        <v>1187.5</v>
      </c>
      <c r="O35" s="429">
        <f>'15 Assumptions'!$C$9</f>
        <v>1187.5</v>
      </c>
      <c r="P35" s="429">
        <f>'15 Assumptions'!$C$9</f>
        <v>1187.5</v>
      </c>
    </row>
    <row r="36" spans="2:16" x14ac:dyDescent="0.3">
      <c r="B36" s="61"/>
      <c r="C36" s="62" t="s">
        <v>1025</v>
      </c>
      <c r="D36" s="61"/>
      <c r="E36" s="61"/>
      <c r="F36" s="61"/>
      <c r="G36" s="61"/>
      <c r="H36" s="444">
        <f>H33</f>
        <v>73795</v>
      </c>
      <c r="I36" s="444">
        <f>I33</f>
        <v>100118</v>
      </c>
      <c r="J36" s="444">
        <f>J33</f>
        <v>132170</v>
      </c>
      <c r="K36" s="444">
        <f>K33</f>
        <v>244205</v>
      </c>
      <c r="L36" s="445">
        <f>L33-L35</f>
        <v>252714.05731528474</v>
      </c>
      <c r="M36" s="445">
        <f>M33-M35</f>
        <v>168629.04292704797</v>
      </c>
      <c r="N36" s="445">
        <f>N33-N35</f>
        <v>189873.39501490523</v>
      </c>
      <c r="O36" s="445">
        <f>O33-O35</f>
        <v>210098.86141932677</v>
      </c>
      <c r="P36" s="445">
        <f>P33-P35</f>
        <v>230706.46268608133</v>
      </c>
    </row>
    <row r="37" spans="2:16" x14ac:dyDescent="0.3">
      <c r="B37" s="58"/>
      <c r="C37" s="59" t="s">
        <v>44</v>
      </c>
      <c r="D37" s="58"/>
      <c r="E37" s="58"/>
      <c r="F37" s="58"/>
      <c r="G37" s="58"/>
      <c r="H37" s="432">
        <f>'01 Income Statement'!C20</f>
        <v>12722</v>
      </c>
      <c r="I37" s="432">
        <f>'01 Income Statement'!D20</f>
        <v>12447</v>
      </c>
      <c r="J37" s="432">
        <f>'01 Income Statement'!E20</f>
        <v>12230</v>
      </c>
      <c r="K37" s="432">
        <f>'01 Income Statement'!G20</f>
        <v>12259</v>
      </c>
      <c r="L37" s="433">
        <f>'15 Assumptions'!$C$8+0.25*L71/'15 Assumptions'!$C$7</f>
        <v>12295.577908262134</v>
      </c>
      <c r="M37" s="433">
        <f>L37+M71/'15 Assumptions'!$C$7</f>
        <v>12396.730919644266</v>
      </c>
      <c r="N37" s="433">
        <f>M37+N71/'15 Assumptions'!$C$7</f>
        <v>12513.995156538145</v>
      </c>
      <c r="O37" s="433">
        <f>N37+O71/'15 Assumptions'!$C$7</f>
        <v>12646.345978096915</v>
      </c>
      <c r="P37" s="433">
        <f>O37+P71/'15 Assumptions'!$C$7</f>
        <v>12792.061854644327</v>
      </c>
    </row>
    <row r="38" spans="2:16" ht="15" thickBot="1" x14ac:dyDescent="0.35">
      <c r="C38" s="65" t="s">
        <v>1026</v>
      </c>
      <c r="D38" s="66"/>
      <c r="E38" s="66"/>
      <c r="F38" s="66"/>
      <c r="G38" s="66"/>
      <c r="H38" s="446">
        <f t="shared" ref="H38:P38" si="5">H36/H37</f>
        <v>5.800581669548813</v>
      </c>
      <c r="I38" s="446">
        <f t="shared" si="5"/>
        <v>8.0435446292279256</v>
      </c>
      <c r="J38" s="446">
        <f t="shared" si="5"/>
        <v>10.807031888798038</v>
      </c>
      <c r="K38" s="446">
        <f t="shared" si="5"/>
        <v>19.920466595970307</v>
      </c>
      <c r="L38" s="447">
        <f>L36/L37</f>
        <v>20.553247614776289</v>
      </c>
      <c r="M38" s="447">
        <f t="shared" si="5"/>
        <v>13.602702520535706</v>
      </c>
      <c r="N38" s="447">
        <f t="shared" si="5"/>
        <v>15.172883850422677</v>
      </c>
      <c r="O38" s="447">
        <f t="shared" si="5"/>
        <v>16.613404518839797</v>
      </c>
      <c r="P38" s="447">
        <f t="shared" si="5"/>
        <v>18.03512719900743</v>
      </c>
    </row>
    <row r="39" spans="2:16" ht="15" thickTop="1" x14ac:dyDescent="0.3"/>
    <row r="41" spans="2:16" ht="18" customHeight="1" x14ac:dyDescent="0.3">
      <c r="B41" s="16" t="s">
        <v>1027</v>
      </c>
      <c r="C41" s="16"/>
      <c r="D41" s="16"/>
      <c r="E41" s="16"/>
      <c r="F41" s="16"/>
      <c r="G41" s="16"/>
      <c r="H41" s="16"/>
      <c r="I41" s="16"/>
      <c r="J41" s="16"/>
      <c r="K41" s="16"/>
      <c r="L41" s="16"/>
      <c r="M41" s="16"/>
      <c r="N41" s="16"/>
      <c r="O41" s="16"/>
      <c r="P41" s="16"/>
    </row>
    <row r="42" spans="2:16" x14ac:dyDescent="0.3">
      <c r="C42" s="18" t="s">
        <v>1022</v>
      </c>
      <c r="H42" s="274">
        <f t="shared" ref="H42:P42" si="6">H31</f>
        <v>85717</v>
      </c>
      <c r="I42" s="274">
        <f t="shared" si="6"/>
        <v>119815</v>
      </c>
      <c r="J42" s="274">
        <f t="shared" si="6"/>
        <v>158826</v>
      </c>
      <c r="K42" s="274">
        <f t="shared" si="6"/>
        <v>299269</v>
      </c>
      <c r="L42" s="436">
        <f t="shared" si="6"/>
        <v>310588.66036034166</v>
      </c>
      <c r="M42" s="436">
        <f t="shared" si="6"/>
        <v>202432.4853813044</v>
      </c>
      <c r="N42" s="436">
        <f t="shared" si="6"/>
        <v>227757.14998307958</v>
      </c>
      <c r="O42" s="436">
        <f t="shared" si="6"/>
        <v>251867.23585381839</v>
      </c>
      <c r="P42" s="436">
        <f t="shared" si="6"/>
        <v>276432.85160756833</v>
      </c>
    </row>
    <row r="43" spans="2:16" x14ac:dyDescent="0.3">
      <c r="B43" s="61"/>
      <c r="C43" s="62" t="s">
        <v>1028</v>
      </c>
      <c r="D43" s="61"/>
      <c r="E43" s="61"/>
      <c r="F43" s="61"/>
      <c r="G43" s="61"/>
      <c r="H43" s="444">
        <f>-H28</f>
        <v>-392</v>
      </c>
      <c r="I43" s="444">
        <f>-I28</f>
        <v>-3714</v>
      </c>
      <c r="J43" s="444">
        <f>-J28</f>
        <v>-24080</v>
      </c>
      <c r="K43" s="430">
        <f>-('06 Core EPS Bridge'!E7+'06 Core EPS Bridge'!G7+'06 Core EPS Bridge'!I7-'06 Core EPS Bridge'!F7-'06 Core EPS Bridge'!H7)</f>
        <v>-148982</v>
      </c>
      <c r="L43" s="445">
        <f>-L28</f>
        <v>-135946</v>
      </c>
      <c r="M43" s="445">
        <f>-M28</f>
        <v>0</v>
      </c>
      <c r="N43" s="445">
        <f>-N28</f>
        <v>0</v>
      </c>
      <c r="O43" s="445">
        <f>-O28</f>
        <v>0</v>
      </c>
      <c r="P43" s="445">
        <f>-P28</f>
        <v>0</v>
      </c>
    </row>
    <row r="44" spans="2:16" x14ac:dyDescent="0.3">
      <c r="B44" s="61"/>
      <c r="C44" s="62" t="s">
        <v>1029</v>
      </c>
      <c r="D44" s="61"/>
      <c r="E44" s="61"/>
      <c r="F44" s="61"/>
      <c r="G44" s="61"/>
      <c r="H44" s="444">
        <f t="shared" ref="H44:P44" si="7">H42+H43</f>
        <v>85325</v>
      </c>
      <c r="I44" s="444">
        <f t="shared" si="7"/>
        <v>116101</v>
      </c>
      <c r="J44" s="444">
        <f t="shared" si="7"/>
        <v>134746</v>
      </c>
      <c r="K44" s="444">
        <f t="shared" si="7"/>
        <v>150287</v>
      </c>
      <c r="L44" s="445">
        <f t="shared" si="7"/>
        <v>174642.66036034166</v>
      </c>
      <c r="M44" s="445">
        <f t="shared" si="7"/>
        <v>202432.4853813044</v>
      </c>
      <c r="N44" s="445">
        <f t="shared" si="7"/>
        <v>227757.14998307958</v>
      </c>
      <c r="O44" s="445">
        <f t="shared" si="7"/>
        <v>251867.23585381839</v>
      </c>
      <c r="P44" s="445">
        <f t="shared" si="7"/>
        <v>276432.85160756833</v>
      </c>
    </row>
    <row r="45" spans="2:16" x14ac:dyDescent="0.3">
      <c r="B45" s="58" t="s">
        <v>2086</v>
      </c>
      <c r="C45" s="59" t="s">
        <v>1030</v>
      </c>
      <c r="D45" s="58"/>
      <c r="E45" s="58"/>
      <c r="F45" s="58"/>
      <c r="G45" s="58"/>
      <c r="H45" s="526">
        <f>H32-H28*'15 Assumptions'!$C$85</f>
        <v>11839.68</v>
      </c>
      <c r="I45" s="526">
        <f>I32-I28*'15 Assumptions'!$C$85</f>
        <v>18917.060000000001</v>
      </c>
      <c r="J45" s="526">
        <f>J32-J28*'15 Assumptions'!$C$85</f>
        <v>21599.200000000001</v>
      </c>
      <c r="K45" s="526">
        <f>K32-K28*'15 Assumptions'!$C$85</f>
        <v>23777.780000000002</v>
      </c>
      <c r="L45" s="433">
        <f>L44*'15 Assumptions'!$C$10</f>
        <v>28138.443045056931</v>
      </c>
      <c r="M45" s="433">
        <f>M44*'15 Assumptions'!$C$10</f>
        <v>32615.94245425643</v>
      </c>
      <c r="N45" s="433">
        <f>N44*'15 Assumptions'!$C$10</f>
        <v>36696.254968174355</v>
      </c>
      <c r="O45" s="433">
        <f>O44*'15 Assumptions'!$C$10</f>
        <v>40580.874434491612</v>
      </c>
      <c r="P45" s="433">
        <f>P44*'15 Assumptions'!$C$10</f>
        <v>44538.888921486992</v>
      </c>
    </row>
    <row r="46" spans="2:16" x14ac:dyDescent="0.3">
      <c r="C46" s="5" t="s">
        <v>1031</v>
      </c>
      <c r="D46" s="2"/>
      <c r="E46" s="2"/>
      <c r="F46" s="2"/>
      <c r="G46" s="2"/>
      <c r="H46" s="442">
        <f t="shared" ref="H46:P46" si="8">H44-H45</f>
        <v>73485.320000000007</v>
      </c>
      <c r="I46" s="442">
        <f t="shared" si="8"/>
        <v>97183.94</v>
      </c>
      <c r="J46" s="442">
        <f t="shared" si="8"/>
        <v>113146.8</v>
      </c>
      <c r="K46" s="442">
        <f t="shared" si="8"/>
        <v>126509.22</v>
      </c>
      <c r="L46" s="443">
        <f t="shared" si="8"/>
        <v>146504.21731528474</v>
      </c>
      <c r="M46" s="443">
        <f t="shared" si="8"/>
        <v>169816.54292704797</v>
      </c>
      <c r="N46" s="443">
        <f t="shared" si="8"/>
        <v>191060.89501490523</v>
      </c>
      <c r="O46" s="443">
        <f t="shared" si="8"/>
        <v>211286.36141932677</v>
      </c>
      <c r="P46" s="443">
        <f t="shared" si="8"/>
        <v>231893.96268608133</v>
      </c>
    </row>
    <row r="47" spans="2:16" x14ac:dyDescent="0.3">
      <c r="B47" s="56"/>
      <c r="C47" s="57" t="s">
        <v>1032</v>
      </c>
      <c r="D47" s="56"/>
      <c r="E47" s="56"/>
      <c r="F47" s="56"/>
      <c r="G47" s="56"/>
      <c r="H47" s="448">
        <f>H46</f>
        <v>73485.320000000007</v>
      </c>
      <c r="I47" s="448">
        <f>I46</f>
        <v>97183.94</v>
      </c>
      <c r="J47" s="448">
        <f>J46</f>
        <v>113146.8</v>
      </c>
      <c r="K47" s="448">
        <f>K46</f>
        <v>126509.22</v>
      </c>
      <c r="L47" s="449">
        <f>L46-L35</f>
        <v>145316.71731528474</v>
      </c>
      <c r="M47" s="449">
        <f>M46-M35</f>
        <v>168629.04292704797</v>
      </c>
      <c r="N47" s="449">
        <f>N46-N35</f>
        <v>189873.39501490523</v>
      </c>
      <c r="O47" s="449">
        <f>O46-O35</f>
        <v>210098.86141932677</v>
      </c>
      <c r="P47" s="449">
        <f>P46-P35</f>
        <v>230706.46268608133</v>
      </c>
    </row>
    <row r="48" spans="2:16" ht="15" thickBot="1" x14ac:dyDescent="0.35">
      <c r="C48" s="65" t="s">
        <v>1033</v>
      </c>
      <c r="D48" s="66"/>
      <c r="E48" s="66"/>
      <c r="F48" s="66"/>
      <c r="G48" s="66"/>
      <c r="H48" s="446">
        <f t="shared" ref="H48:P48" si="9">H47/H37</f>
        <v>5.7762395849709174</v>
      </c>
      <c r="I48" s="446">
        <f t="shared" si="9"/>
        <v>7.8078203583192742</v>
      </c>
      <c r="J48" s="446">
        <f t="shared" si="9"/>
        <v>9.2515780866721187</v>
      </c>
      <c r="K48" s="446">
        <f t="shared" si="9"/>
        <v>10.319701443837181</v>
      </c>
      <c r="L48" s="447">
        <f t="shared" si="9"/>
        <v>11.818616286237164</v>
      </c>
      <c r="M48" s="447">
        <f t="shared" si="9"/>
        <v>13.602702520535706</v>
      </c>
      <c r="N48" s="447">
        <f t="shared" si="9"/>
        <v>15.172883850422677</v>
      </c>
      <c r="O48" s="447">
        <f t="shared" si="9"/>
        <v>16.613404518839797</v>
      </c>
      <c r="P48" s="447">
        <f t="shared" si="9"/>
        <v>18.03512719900743</v>
      </c>
    </row>
    <row r="49" spans="2:16" ht="15" thickTop="1" x14ac:dyDescent="0.3"/>
    <row r="51" spans="2:16" ht="18" customHeight="1" x14ac:dyDescent="0.3">
      <c r="B51" s="16" t="s">
        <v>1034</v>
      </c>
      <c r="C51" s="16"/>
      <c r="D51" s="16"/>
      <c r="E51" s="16"/>
      <c r="F51" s="16"/>
      <c r="G51" s="16"/>
      <c r="H51" s="16"/>
      <c r="I51" s="16"/>
      <c r="J51" s="16"/>
      <c r="K51" s="16"/>
      <c r="L51" s="16"/>
      <c r="M51" s="16"/>
      <c r="N51" s="16"/>
      <c r="O51" s="16"/>
      <c r="P51" s="16"/>
    </row>
    <row r="52" spans="2:16" x14ac:dyDescent="0.3">
      <c r="C52" s="18" t="s">
        <v>2043</v>
      </c>
      <c r="L52" s="450">
        <f>'16 Scenarios'!$C$29</f>
        <v>8.3333333333333339</v>
      </c>
      <c r="M52" s="69"/>
      <c r="N52" s="69"/>
      <c r="O52" s="69"/>
      <c r="P52" s="69"/>
    </row>
    <row r="53" spans="2:16" x14ac:dyDescent="0.3">
      <c r="B53" s="61"/>
      <c r="C53" s="62" t="s">
        <v>1035</v>
      </c>
      <c r="D53" s="61"/>
      <c r="E53" s="61"/>
      <c r="F53" s="61"/>
      <c r="G53" s="61"/>
      <c r="H53" s="61"/>
      <c r="I53" s="61"/>
      <c r="J53" s="61"/>
      <c r="K53" s="61"/>
      <c r="L53" s="451">
        <f>'16 Scenarios'!$C$28</f>
        <v>0.6</v>
      </c>
      <c r="M53" s="70"/>
      <c r="N53" s="70"/>
      <c r="O53" s="70"/>
      <c r="P53" s="70"/>
    </row>
    <row r="54" spans="2:16" x14ac:dyDescent="0.3">
      <c r="B54" s="61"/>
      <c r="C54" s="62"/>
      <c r="D54" s="61"/>
      <c r="E54" s="61"/>
      <c r="F54" s="61"/>
      <c r="G54" s="61"/>
      <c r="H54" s="61"/>
      <c r="I54" s="61"/>
      <c r="J54" s="61"/>
      <c r="K54" s="61"/>
      <c r="L54" s="70"/>
      <c r="M54" s="70"/>
      <c r="N54" s="70"/>
      <c r="O54" s="70"/>
      <c r="P54" s="70"/>
    </row>
    <row r="55" spans="2:16" x14ac:dyDescent="0.3">
      <c r="B55" s="61"/>
      <c r="C55" s="62" t="s">
        <v>1036</v>
      </c>
      <c r="D55" s="61"/>
      <c r="E55" s="61"/>
      <c r="F55" s="61"/>
      <c r="G55" s="61"/>
      <c r="H55" s="63"/>
      <c r="I55" s="63"/>
      <c r="J55" s="63"/>
      <c r="K55" s="63"/>
      <c r="L55" s="431">
        <f>'15 Assumptions'!$C$48</f>
        <v>27172</v>
      </c>
      <c r="M55" s="431">
        <f>'15 Assumptions'!$C$48</f>
        <v>27172</v>
      </c>
      <c r="N55" s="431">
        <f>'15 Assumptions'!$C$48</f>
        <v>27172</v>
      </c>
      <c r="O55" s="431">
        <f>'15 Assumptions'!$C$48</f>
        <v>27172</v>
      </c>
      <c r="P55" s="431">
        <f>'15 Assumptions'!$C$48</f>
        <v>27172</v>
      </c>
    </row>
    <row r="56" spans="2:16" x14ac:dyDescent="0.3">
      <c r="B56" s="61"/>
      <c r="C56" s="62" t="s">
        <v>2044</v>
      </c>
      <c r="D56" s="61"/>
      <c r="E56" s="61"/>
      <c r="F56" s="61"/>
      <c r="G56" s="61"/>
      <c r="H56" s="63"/>
      <c r="I56" s="63"/>
      <c r="J56" s="63"/>
      <c r="K56" s="63"/>
      <c r="L56" s="431">
        <f>'15 Assumptions'!$C$42*-L75</f>
        <v>180790.80646499997</v>
      </c>
      <c r="M56" s="431">
        <f>'15 Assumptions'!$C$42*-M75</f>
        <v>231479.81217147596</v>
      </c>
      <c r="N56" s="431">
        <f>'15 Assumptions'!$C$42*-N75</f>
        <v>237494.56795977891</v>
      </c>
      <c r="O56" s="431">
        <f>'15 Assumptions'!$C$42*-O75</f>
        <v>232899.7259592911</v>
      </c>
      <c r="P56" s="431">
        <f>'15 Assumptions'!$C$42*-P75</f>
        <v>214742.46804785886</v>
      </c>
    </row>
    <row r="57" spans="2:16" x14ac:dyDescent="0.3">
      <c r="B57" s="61"/>
      <c r="C57" s="62" t="s">
        <v>2045</v>
      </c>
      <c r="D57" s="61"/>
      <c r="E57" s="61"/>
      <c r="F57" s="61"/>
      <c r="G57" s="61"/>
      <c r="H57" s="63"/>
      <c r="I57" s="63"/>
      <c r="J57" s="63"/>
      <c r="K57" s="63"/>
      <c r="L57" s="431">
        <f>L56-'15 Assumptions'!$C$36</f>
        <v>57976.806464999972</v>
      </c>
      <c r="M57" s="445">
        <f>M56-L56</f>
        <v>50689.005706475989</v>
      </c>
      <c r="N57" s="445">
        <f>N56-M56</f>
        <v>6014.7557883029513</v>
      </c>
      <c r="O57" s="445">
        <f>O56-N56</f>
        <v>-4594.8420004878135</v>
      </c>
      <c r="P57" s="445">
        <f>P56-O56</f>
        <v>-18157.257911432243</v>
      </c>
    </row>
    <row r="58" spans="2:16" x14ac:dyDescent="0.3">
      <c r="B58" s="61"/>
      <c r="C58" s="62" t="s">
        <v>2046</v>
      </c>
      <c r="D58" s="61"/>
      <c r="E58" s="61"/>
      <c r="F58" s="61"/>
      <c r="G58" s="61"/>
      <c r="H58" s="63"/>
      <c r="I58" s="63"/>
      <c r="J58" s="63"/>
      <c r="K58" s="63"/>
      <c r="L58" s="445">
        <v>0</v>
      </c>
      <c r="M58" s="445">
        <v>0</v>
      </c>
      <c r="N58" s="445">
        <v>0</v>
      </c>
      <c r="O58" s="445">
        <v>0</v>
      </c>
      <c r="P58" s="445">
        <v>0</v>
      </c>
    </row>
    <row r="59" spans="2:16" x14ac:dyDescent="0.3">
      <c r="B59" s="61"/>
      <c r="C59" s="62"/>
      <c r="D59" s="61"/>
      <c r="E59" s="61"/>
      <c r="F59" s="61"/>
      <c r="G59" s="61"/>
      <c r="H59" s="63"/>
      <c r="I59" s="63"/>
      <c r="J59" s="63"/>
      <c r="K59" s="63"/>
      <c r="L59" s="68"/>
      <c r="M59" s="68"/>
      <c r="N59" s="68"/>
      <c r="O59" s="68"/>
      <c r="P59" s="68"/>
    </row>
    <row r="60" spans="2:16" x14ac:dyDescent="0.3">
      <c r="B60" s="61"/>
      <c r="C60" s="62" t="s">
        <v>2047</v>
      </c>
      <c r="D60" s="61"/>
      <c r="E60" s="61"/>
      <c r="F60" s="61"/>
      <c r="G60" s="61"/>
      <c r="H60" s="63"/>
      <c r="I60" s="63"/>
      <c r="J60" s="63"/>
      <c r="K60" s="63"/>
      <c r="L60" s="445">
        <f>-L75-'15 Assumptions'!$C$56-L57</f>
        <v>62303.86738499999</v>
      </c>
      <c r="M60" s="445">
        <f>-M75-M57</f>
        <v>206510.78559516396</v>
      </c>
      <c r="N60" s="445">
        <f>-N75-N57</f>
        <v>257868.09750034029</v>
      </c>
      <c r="O60" s="445">
        <f>-O75-O57</f>
        <v>263372.31528858899</v>
      </c>
      <c r="P60" s="445">
        <f>-P75-P57</f>
        <v>256760.00018683096</v>
      </c>
    </row>
    <row r="61" spans="2:16" x14ac:dyDescent="0.3">
      <c r="B61" s="61"/>
      <c r="C61" s="62" t="s">
        <v>2048</v>
      </c>
      <c r="D61" s="61"/>
      <c r="E61" s="61"/>
      <c r="F61" s="61"/>
      <c r="G61" s="61"/>
      <c r="H61" s="63"/>
      <c r="I61" s="63"/>
      <c r="J61" s="63"/>
      <c r="K61" s="63"/>
      <c r="L61" s="445">
        <f>L60</f>
        <v>62303.86738499999</v>
      </c>
      <c r="M61" s="445">
        <f>L61+M60</f>
        <v>268814.65298016393</v>
      </c>
      <c r="N61" s="445">
        <f>M61+N60</f>
        <v>526682.75048050424</v>
      </c>
      <c r="O61" s="445">
        <f>N61+O60</f>
        <v>790055.06576909323</v>
      </c>
      <c r="P61" s="445">
        <f>O61+P60</f>
        <v>1046815.0659559242</v>
      </c>
    </row>
    <row r="62" spans="2:16" x14ac:dyDescent="0.3">
      <c r="B62" s="58"/>
      <c r="C62" s="59" t="s">
        <v>2049</v>
      </c>
      <c r="D62" s="58"/>
      <c r="E62" s="58"/>
      <c r="F62" s="58"/>
      <c r="G62" s="58"/>
      <c r="H62" s="60"/>
      <c r="I62" s="60"/>
      <c r="J62" s="60"/>
      <c r="K62" s="60"/>
      <c r="L62" s="433">
        <f>L60*'15 Assumptions'!$C$58/'16 Scenarios'!$C$29</f>
        <v>1869.1160215499997</v>
      </c>
      <c r="M62" s="433">
        <f>(L61+M60/2)/'16 Scenarios'!$C$29</f>
        <v>19867.111221909832</v>
      </c>
      <c r="N62" s="433">
        <f>(M61+N60/2)/'16 Scenarios'!$C$29</f>
        <v>47729.84420764009</v>
      </c>
      <c r="O62" s="433">
        <f>(N61+O60/2)/'16 Scenarios'!$C$29</f>
        <v>79004.268974975828</v>
      </c>
      <c r="P62" s="433">
        <f>(O61+P60/2)/'16 Scenarios'!$C$29</f>
        <v>110212.20790350104</v>
      </c>
    </row>
    <row r="63" spans="2:16" x14ac:dyDescent="0.3">
      <c r="C63" s="18"/>
      <c r="H63" s="38"/>
      <c r="I63" s="38"/>
      <c r="J63" s="38"/>
      <c r="K63" s="38"/>
      <c r="L63" s="67"/>
      <c r="M63" s="67"/>
      <c r="N63" s="67"/>
      <c r="O63" s="67"/>
      <c r="P63" s="67"/>
    </row>
    <row r="64" spans="2:16" x14ac:dyDescent="0.3">
      <c r="C64" s="54" t="s">
        <v>1037</v>
      </c>
      <c r="D64" s="55"/>
      <c r="E64" s="55"/>
      <c r="F64" s="55"/>
      <c r="G64" s="55"/>
      <c r="H64" s="437">
        <f>'09 Cash Flow'!C7</f>
        <v>11946</v>
      </c>
      <c r="I64" s="437">
        <f>'09 Cash Flow'!D7</f>
        <v>15311</v>
      </c>
      <c r="J64" s="437">
        <f>'09 Cash Flow'!E7</f>
        <v>21136</v>
      </c>
      <c r="K64" s="437">
        <f>'09 Cash Flow'!G7</f>
        <v>25237</v>
      </c>
      <c r="L64" s="273">
        <f>L55+L58+L62</f>
        <v>29041.116021549999</v>
      </c>
      <c r="M64" s="273">
        <f>M55+M58+M62</f>
        <v>47039.111221909829</v>
      </c>
      <c r="N64" s="273">
        <f>N55+N58+N62</f>
        <v>74901.844207640097</v>
      </c>
      <c r="O64" s="273">
        <f>O55+O58+O62</f>
        <v>106176.26897497583</v>
      </c>
      <c r="P64" s="273">
        <f>P55+P58+P62</f>
        <v>137384.20790350105</v>
      </c>
    </row>
    <row r="65" spans="2:16" x14ac:dyDescent="0.3">
      <c r="B65" s="56"/>
      <c r="C65" s="57" t="s">
        <v>1038</v>
      </c>
      <c r="D65" s="56"/>
      <c r="E65" s="56"/>
      <c r="F65" s="56"/>
      <c r="G65" s="56"/>
      <c r="H65" s="64"/>
      <c r="I65" s="64"/>
      <c r="J65" s="64"/>
      <c r="K65" s="64"/>
      <c r="L65" s="452">
        <f>L64/'15 Assumptions'!$C$48-1</f>
        <v>6.8788312290225084E-2</v>
      </c>
      <c r="M65" s="452">
        <f>M64/'15 Assumptions'!$C$48-1</f>
        <v>0.73116116671241826</v>
      </c>
      <c r="N65" s="452">
        <f>N64/'15 Assumptions'!$C$48-1</f>
        <v>1.7565819302090424</v>
      </c>
      <c r="O65" s="452">
        <f>O64/'15 Assumptions'!$C$48-1</f>
        <v>2.9075617906291709</v>
      </c>
      <c r="P65" s="452">
        <f>P64/'15 Assumptions'!$C$48-1</f>
        <v>4.0560947999227537</v>
      </c>
    </row>
    <row r="68" spans="2:16" ht="18" customHeight="1" x14ac:dyDescent="0.3">
      <c r="B68" s="16" t="s">
        <v>114</v>
      </c>
      <c r="C68" s="16"/>
      <c r="D68" s="16"/>
      <c r="E68" s="16"/>
      <c r="F68" s="16"/>
      <c r="G68" s="16"/>
      <c r="H68" s="16"/>
      <c r="I68" s="16"/>
      <c r="J68" s="16"/>
      <c r="K68" s="16"/>
      <c r="L68" s="16"/>
      <c r="M68" s="16"/>
      <c r="N68" s="16"/>
      <c r="O68" s="16"/>
      <c r="P68" s="16"/>
    </row>
    <row r="69" spans="2:16" x14ac:dyDescent="0.3">
      <c r="C69" s="18" t="s">
        <v>1039</v>
      </c>
      <c r="H69" s="274">
        <f t="shared" ref="H69:P69" si="10">H33</f>
        <v>73795</v>
      </c>
      <c r="I69" s="274">
        <f t="shared" si="10"/>
        <v>100118</v>
      </c>
      <c r="J69" s="274">
        <f t="shared" si="10"/>
        <v>132170</v>
      </c>
      <c r="K69" s="274">
        <f t="shared" si="10"/>
        <v>244205</v>
      </c>
      <c r="L69" s="436">
        <f t="shared" si="10"/>
        <v>253901.55731528474</v>
      </c>
      <c r="M69" s="436">
        <f t="shared" si="10"/>
        <v>169816.54292704797</v>
      </c>
      <c r="N69" s="436">
        <f t="shared" si="10"/>
        <v>191060.89501490523</v>
      </c>
      <c r="O69" s="436">
        <f t="shared" si="10"/>
        <v>211286.36141932677</v>
      </c>
      <c r="P69" s="436">
        <f t="shared" si="10"/>
        <v>231893.96268608133</v>
      </c>
    </row>
    <row r="70" spans="2:16" x14ac:dyDescent="0.3">
      <c r="B70" s="61"/>
      <c r="C70" s="62" t="s">
        <v>1040</v>
      </c>
      <c r="D70" s="61"/>
      <c r="E70" s="61"/>
      <c r="F70" s="61"/>
      <c r="G70" s="61"/>
      <c r="H70" s="444">
        <f t="shared" ref="H70:P70" si="11">H64</f>
        <v>11946</v>
      </c>
      <c r="I70" s="444">
        <f t="shared" si="11"/>
        <v>15311</v>
      </c>
      <c r="J70" s="444">
        <f t="shared" si="11"/>
        <v>21136</v>
      </c>
      <c r="K70" s="444">
        <f t="shared" si="11"/>
        <v>25237</v>
      </c>
      <c r="L70" s="445">
        <f t="shared" si="11"/>
        <v>29041.116021549999</v>
      </c>
      <c r="M70" s="445">
        <f t="shared" si="11"/>
        <v>47039.111221909829</v>
      </c>
      <c r="N70" s="445">
        <f t="shared" si="11"/>
        <v>74901.844207640097</v>
      </c>
      <c r="O70" s="445">
        <f t="shared" si="11"/>
        <v>106176.26897497583</v>
      </c>
      <c r="P70" s="445">
        <f t="shared" si="11"/>
        <v>137384.20790350105</v>
      </c>
    </row>
    <row r="71" spans="2:16" x14ac:dyDescent="0.3">
      <c r="B71" s="61"/>
      <c r="C71" s="62" t="s">
        <v>1041</v>
      </c>
      <c r="D71" s="61"/>
      <c r="E71" s="61"/>
      <c r="F71" s="61"/>
      <c r="G71" s="61"/>
      <c r="H71" s="430">
        <f>'09 Cash Flow'!C8</f>
        <v>22460</v>
      </c>
      <c r="I71" s="430">
        <f>'09 Cash Flow'!D8</f>
        <v>22785</v>
      </c>
      <c r="J71" s="430">
        <f>'09 Cash Flow'!E8</f>
        <v>24953</v>
      </c>
      <c r="K71" s="430">
        <f>'09 Cash Flow'!G8</f>
        <v>28147</v>
      </c>
      <c r="L71" s="431">
        <f>L23*'15 Assumptions'!C45</f>
        <v>29396.879099999995</v>
      </c>
      <c r="M71" s="431">
        <f>M23*'15 Assumptions'!D45</f>
        <v>34451.704146639997</v>
      </c>
      <c r="N71" s="431">
        <f>N23*'15 Assumptions'!E45</f>
        <v>39939.026443686547</v>
      </c>
      <c r="O71" s="431">
        <f>O23*'15 Assumptions'!F45</f>
        <v>45077.366314701496</v>
      </c>
      <c r="P71" s="431">
        <f>P23*'15 Assumptions'!G45</f>
        <v>49629.37039328293</v>
      </c>
    </row>
    <row r="72" spans="2:16" x14ac:dyDescent="0.3">
      <c r="B72" s="58"/>
      <c r="C72" s="59" t="s">
        <v>1042</v>
      </c>
      <c r="D72" s="58"/>
      <c r="E72" s="58"/>
      <c r="F72" s="58"/>
      <c r="G72" s="58"/>
      <c r="H72" s="453">
        <f>-H28</f>
        <v>-392</v>
      </c>
      <c r="I72" s="453">
        <f>-I28</f>
        <v>-3714</v>
      </c>
      <c r="J72" s="453">
        <f>-J28</f>
        <v>-24080</v>
      </c>
      <c r="K72" s="432">
        <f>-('06 Core EPS Bridge'!E7+'06 Core EPS Bridge'!G7+'06 Core EPS Bridge'!I7-'06 Core EPS Bridge'!F7-'06 Core EPS Bridge'!H7)</f>
        <v>-148982</v>
      </c>
      <c r="L72" s="441">
        <f>-L28</f>
        <v>-135946</v>
      </c>
      <c r="M72" s="441">
        <f>-M28</f>
        <v>0</v>
      </c>
      <c r="N72" s="441">
        <f>-N28</f>
        <v>0</v>
      </c>
      <c r="O72" s="441">
        <f>-O28</f>
        <v>0</v>
      </c>
      <c r="P72" s="441">
        <f>-P28</f>
        <v>0</v>
      </c>
    </row>
    <row r="73" spans="2:16" x14ac:dyDescent="0.3">
      <c r="C73" s="18" t="s">
        <v>1407</v>
      </c>
      <c r="H73" s="274">
        <f>H74-H69-H70-H71-H72</f>
        <v>-6063</v>
      </c>
      <c r="I73" s="274">
        <f>I74-I69-I70-I71-I72</f>
        <v>-9201</v>
      </c>
      <c r="J73" s="274">
        <f>J74-J69-J70-J71-J72</f>
        <v>10534</v>
      </c>
      <c r="K73" s="274">
        <f>K74-K69-K70-K71-K72</f>
        <v>37068</v>
      </c>
      <c r="L73" s="497">
        <f>L23*'15 Assumptions'!$C$57+L28*'15 Assumptions'!$C$85+'15 Assumptions'!$C$59</f>
        <v>23348.66</v>
      </c>
      <c r="M73" s="497">
        <f>M23*'15 Assumptions'!$C$57+M28*'15 Assumptions'!$C$85</f>
        <v>0</v>
      </c>
      <c r="N73" s="497">
        <f>N23*'15 Assumptions'!$C$57+N28*'15 Assumptions'!$C$85</f>
        <v>0</v>
      </c>
      <c r="O73" s="497">
        <f>O23*'15 Assumptions'!$C$57+O28*'15 Assumptions'!$C$85</f>
        <v>0</v>
      </c>
      <c r="P73" s="497">
        <f>P23*'15 Assumptions'!$C$57+P28*'15 Assumptions'!$C$85</f>
        <v>0</v>
      </c>
    </row>
    <row r="74" spans="2:16" x14ac:dyDescent="0.3">
      <c r="C74" s="5" t="s">
        <v>1043</v>
      </c>
      <c r="D74" s="2"/>
      <c r="E74" s="2"/>
      <c r="F74" s="2"/>
      <c r="G74" s="2"/>
      <c r="H74" s="48">
        <f>'09 Cash Flow'!C9</f>
        <v>101746</v>
      </c>
      <c r="I74" s="48">
        <f>'09 Cash Flow'!D9</f>
        <v>125299</v>
      </c>
      <c r="J74" s="48">
        <f>'09 Cash Flow'!E9</f>
        <v>164713</v>
      </c>
      <c r="K74" s="48">
        <f>'09 Cash Flow'!G9</f>
        <v>185675</v>
      </c>
      <c r="L74" s="443">
        <f>SUM(L69:L73)</f>
        <v>199742.21243683479</v>
      </c>
      <c r="M74" s="443">
        <f>SUM(M69:M73)</f>
        <v>251307.35829559781</v>
      </c>
      <c r="N74" s="443">
        <f>SUM(N69:N73)</f>
        <v>305901.76566623186</v>
      </c>
      <c r="O74" s="443">
        <f>SUM(O69:O73)</f>
        <v>362539.9967090041</v>
      </c>
      <c r="P74" s="443">
        <f>SUM(P69:P73)</f>
        <v>418907.54098286532</v>
      </c>
    </row>
    <row r="75" spans="2:16" x14ac:dyDescent="0.3">
      <c r="B75" s="56"/>
      <c r="C75" s="57" t="s">
        <v>1903</v>
      </c>
      <c r="D75" s="56"/>
      <c r="E75" s="56"/>
      <c r="F75" s="56"/>
      <c r="G75" s="56"/>
      <c r="H75" s="454">
        <f>'09 Cash Flow'!C10</f>
        <v>-32251</v>
      </c>
      <c r="I75" s="454">
        <f>'09 Cash Flow'!D10</f>
        <v>-52535</v>
      </c>
      <c r="J75" s="454">
        <f>'09 Cash Flow'!E10</f>
        <v>-91447</v>
      </c>
      <c r="K75" s="454">
        <f>'09 Cash Flow'!G10</f>
        <v>-132402</v>
      </c>
      <c r="L75" s="482">
        <f>-L18*'16 Scenarios'!C26</f>
        <v>-200878.67384999996</v>
      </c>
      <c r="M75" s="482">
        <f>-M18*'16 Scenarios'!D26</f>
        <v>-257199.79130163995</v>
      </c>
      <c r="N75" s="482">
        <f>-N18*'16 Scenarios'!E26</f>
        <v>-263882.85328864324</v>
      </c>
      <c r="O75" s="482">
        <f>-O18*'16 Scenarios'!F26</f>
        <v>-258777.4732881012</v>
      </c>
      <c r="P75" s="482">
        <f>-P18*'16 Scenarios'!G26</f>
        <v>-238602.74227539872</v>
      </c>
    </row>
    <row r="76" spans="2:16" x14ac:dyDescent="0.3">
      <c r="C76" s="5" t="s">
        <v>114</v>
      </c>
      <c r="D76" s="2"/>
      <c r="E76" s="2"/>
      <c r="F76" s="2"/>
      <c r="G76" s="2"/>
      <c r="H76" s="442">
        <f t="shared" ref="H76:P76" si="12">H74+H75</f>
        <v>69495</v>
      </c>
      <c r="I76" s="442">
        <f t="shared" si="12"/>
        <v>72764</v>
      </c>
      <c r="J76" s="442">
        <f t="shared" si="12"/>
        <v>73266</v>
      </c>
      <c r="K76" s="442">
        <f t="shared" si="12"/>
        <v>53273</v>
      </c>
      <c r="L76" s="443">
        <f t="shared" si="12"/>
        <v>-1136.4614131651761</v>
      </c>
      <c r="M76" s="443">
        <f t="shared" si="12"/>
        <v>-5892.4330060421489</v>
      </c>
      <c r="N76" s="443">
        <f t="shared" si="12"/>
        <v>42018.912377588626</v>
      </c>
      <c r="O76" s="443">
        <f t="shared" si="12"/>
        <v>103762.5234209029</v>
      </c>
      <c r="P76" s="443">
        <f t="shared" si="12"/>
        <v>180304.7987074666</v>
      </c>
    </row>
    <row r="77" spans="2:16" x14ac:dyDescent="0.3">
      <c r="B77" s="56"/>
      <c r="C77" s="57" t="s">
        <v>115</v>
      </c>
      <c r="D77" s="56"/>
      <c r="E77" s="56"/>
      <c r="F77" s="56"/>
      <c r="G77" s="56"/>
      <c r="H77" s="439">
        <f t="shared" ref="H77:P77" si="13">H76/H23</f>
        <v>0.22607793255561268</v>
      </c>
      <c r="I77" s="439">
        <f t="shared" si="13"/>
        <v>0.20788645155392008</v>
      </c>
      <c r="J77" s="439">
        <f t="shared" si="13"/>
        <v>0.18187550268595656</v>
      </c>
      <c r="K77" s="439">
        <f t="shared" si="13"/>
        <v>0.11948208654618203</v>
      </c>
      <c r="L77" s="440">
        <f t="shared" si="13"/>
        <v>-2.3195552343483485E-3</v>
      </c>
      <c r="M77" s="440">
        <f t="shared" si="13"/>
        <v>-9.9200060727264762E-3</v>
      </c>
      <c r="N77" s="440">
        <f t="shared" si="13"/>
        <v>5.8916285715245029E-2</v>
      </c>
      <c r="O77" s="440">
        <f t="shared" si="13"/>
        <v>0.12430132287700536</v>
      </c>
      <c r="P77" s="440">
        <f t="shared" si="13"/>
        <v>0.18891735797755019</v>
      </c>
    </row>
    <row r="80" spans="2:16" ht="18" customHeight="1" x14ac:dyDescent="0.3">
      <c r="B80" s="16" t="s">
        <v>1044</v>
      </c>
      <c r="C80" s="16"/>
      <c r="D80" s="16"/>
      <c r="E80" s="16"/>
      <c r="F80" s="16"/>
      <c r="G80" s="16"/>
      <c r="H80" s="16"/>
      <c r="I80" s="16"/>
      <c r="J80" s="16"/>
      <c r="K80" s="16"/>
      <c r="L80" s="16"/>
      <c r="M80" s="16"/>
      <c r="N80" s="16"/>
      <c r="O80" s="16"/>
      <c r="P80" s="16"/>
    </row>
    <row r="81" spans="2:21" x14ac:dyDescent="0.3">
      <c r="C81" s="18" t="s">
        <v>194</v>
      </c>
      <c r="H81" s="291">
        <f>'11 Valuation'!C43</f>
        <v>138.46</v>
      </c>
      <c r="I81" s="291">
        <f>'11 Valuation'!D43</f>
        <v>188.2</v>
      </c>
      <c r="J81" s="291">
        <f>'11 Valuation'!E43</f>
        <v>312.39</v>
      </c>
      <c r="K81" s="455">
        <f>'15 Assumptions'!$C$7</f>
        <v>340.59</v>
      </c>
      <c r="L81" s="456">
        <f>'15 Assumptions'!$C$7</f>
        <v>340.59</v>
      </c>
      <c r="M81" s="456">
        <f>'15 Assumptions'!$C$7</f>
        <v>340.59</v>
      </c>
      <c r="N81" s="456">
        <f>'15 Assumptions'!$C$7</f>
        <v>340.59</v>
      </c>
      <c r="O81" s="456">
        <f>'15 Assumptions'!$C$7</f>
        <v>340.59</v>
      </c>
      <c r="P81" s="456">
        <f>'15 Assumptions'!$C$7</f>
        <v>340.59</v>
      </c>
    </row>
    <row r="82" spans="2:21" x14ac:dyDescent="0.3">
      <c r="B82" s="61"/>
      <c r="C82" s="62" t="s">
        <v>1045</v>
      </c>
      <c r="D82" s="61"/>
      <c r="E82" s="61"/>
      <c r="F82" s="61"/>
      <c r="G82" s="61"/>
      <c r="H82" s="292">
        <f>H81*H37</f>
        <v>1761488.12</v>
      </c>
      <c r="I82" s="292">
        <f t="shared" ref="I82:J82" si="14">I81*I37</f>
        <v>2342525.4</v>
      </c>
      <c r="J82" s="292">
        <f t="shared" si="14"/>
        <v>3820529.6999999997</v>
      </c>
      <c r="K82" s="444">
        <f t="shared" ref="K82:P82" si="15">K81*K37</f>
        <v>4175292.8099999996</v>
      </c>
      <c r="L82" s="445">
        <f t="shared" si="15"/>
        <v>4187750.8797749998</v>
      </c>
      <c r="M82" s="445">
        <f t="shared" si="15"/>
        <v>4222202.5839216402</v>
      </c>
      <c r="N82" s="445">
        <f t="shared" si="15"/>
        <v>4262141.6103653265</v>
      </c>
      <c r="O82" s="445">
        <f t="shared" si="15"/>
        <v>4307218.9766800283</v>
      </c>
      <c r="P82" s="445">
        <f t="shared" si="15"/>
        <v>4356848.347073311</v>
      </c>
    </row>
    <row r="83" spans="2:21" x14ac:dyDescent="0.3">
      <c r="B83" s="61"/>
      <c r="C83" s="62" t="s">
        <v>1046</v>
      </c>
      <c r="D83" s="61"/>
      <c r="E83" s="61"/>
      <c r="F83" s="61"/>
      <c r="G83" s="61"/>
      <c r="H83" s="293">
        <f>H81/H38</f>
        <v>23.870019920048787</v>
      </c>
      <c r="I83" s="293">
        <f t="shared" ref="I83:J83" si="16">I81/I38</f>
        <v>23.39764477916059</v>
      </c>
      <c r="J83" s="293">
        <f t="shared" si="16"/>
        <v>28.906179163198907</v>
      </c>
      <c r="K83" s="457">
        <f t="shared" ref="K83:P83" si="17">K81/K38</f>
        <v>17.097491083311152</v>
      </c>
      <c r="L83" s="458">
        <f t="shared" si="17"/>
        <v>16.571103816953023</v>
      </c>
      <c r="M83" s="458">
        <f t="shared" si="17"/>
        <v>25.038406852301492</v>
      </c>
      <c r="N83" s="458">
        <f t="shared" si="17"/>
        <v>22.447281832353315</v>
      </c>
      <c r="O83" s="458">
        <f t="shared" si="17"/>
        <v>20.500915367092091</v>
      </c>
      <c r="P83" s="458">
        <f t="shared" si="17"/>
        <v>18.884812745803337</v>
      </c>
    </row>
    <row r="84" spans="2:21" x14ac:dyDescent="0.3">
      <c r="B84" s="61"/>
      <c r="C84" s="71" t="s">
        <v>1047</v>
      </c>
      <c r="D84" s="72"/>
      <c r="E84" s="72"/>
      <c r="F84" s="72"/>
      <c r="G84" s="72"/>
      <c r="H84" s="294">
        <f>H81/H48</f>
        <v>23.970612361761503</v>
      </c>
      <c r="I84" s="294">
        <f t="shared" ref="I84:J84" si="18">I81/I48</f>
        <v>24.104038177501341</v>
      </c>
      <c r="J84" s="294">
        <f t="shared" si="18"/>
        <v>33.766131256031983</v>
      </c>
      <c r="K84" s="459">
        <f t="shared" ref="K84:P84" si="19">K81/K48</f>
        <v>33.003861773869126</v>
      </c>
      <c r="L84" s="459">
        <f t="shared" si="19"/>
        <v>28.818094415724342</v>
      </c>
      <c r="M84" s="459">
        <f t="shared" si="19"/>
        <v>25.038406852301492</v>
      </c>
      <c r="N84" s="459">
        <f t="shared" si="19"/>
        <v>22.447281832353315</v>
      </c>
      <c r="O84" s="459">
        <f t="shared" si="19"/>
        <v>20.500915367092091</v>
      </c>
      <c r="P84" s="459">
        <f t="shared" si="19"/>
        <v>18.884812745803337</v>
      </c>
    </row>
    <row r="85" spans="2:21" x14ac:dyDescent="0.3">
      <c r="B85" s="58"/>
      <c r="C85" s="57" t="s">
        <v>219</v>
      </c>
      <c r="D85" s="56"/>
      <c r="E85" s="56"/>
      <c r="F85" s="56"/>
      <c r="G85" s="56"/>
      <c r="H85" s="295">
        <f>IF(H76&lt;=0,NA(),H82/H76)</f>
        <v>25.346976329232319</v>
      </c>
      <c r="I85" s="295">
        <f t="shared" ref="I85:J85" si="20">IF(I76&lt;=0,NA(),I82/I76)</f>
        <v>32.193466549392554</v>
      </c>
      <c r="J85" s="295">
        <f t="shared" si="20"/>
        <v>52.146011792645972</v>
      </c>
      <c r="K85" s="460">
        <f t="shared" ref="K85:P85" si="21">IF(K76&lt;=0,NA(),K82/K76)</f>
        <v>78.375402361421351</v>
      </c>
      <c r="L85" s="461" t="e">
        <f t="shared" si="21"/>
        <v>#N/A</v>
      </c>
      <c r="M85" s="461" t="e">
        <f t="shared" si="21"/>
        <v>#N/A</v>
      </c>
      <c r="N85" s="461">
        <f t="shared" si="21"/>
        <v>101.43388700937912</v>
      </c>
      <c r="O85" s="461">
        <f t="shared" si="21"/>
        <v>41.510353012601669</v>
      </c>
      <c r="P85" s="461">
        <f t="shared" si="21"/>
        <v>24.163795851834362</v>
      </c>
    </row>
    <row r="87" spans="2:21" x14ac:dyDescent="0.3">
      <c r="B87" s="16" t="s">
        <v>2129</v>
      </c>
      <c r="C87" s="16"/>
      <c r="D87" s="16"/>
      <c r="E87" s="16"/>
      <c r="F87" s="16"/>
      <c r="G87" s="16"/>
      <c r="H87" s="16"/>
      <c r="I87" s="16"/>
      <c r="J87" s="16"/>
      <c r="K87" s="16"/>
      <c r="L87" s="16"/>
      <c r="M87" s="16"/>
      <c r="N87" s="16"/>
      <c r="O87" s="16"/>
      <c r="P87" s="16"/>
      <c r="Q87" s="16"/>
      <c r="R87" s="16"/>
      <c r="S87" s="16"/>
      <c r="T87" s="16"/>
      <c r="U87" s="16"/>
    </row>
    <row r="88" spans="2:21" ht="15" thickBot="1" x14ac:dyDescent="0.35">
      <c r="L88" s="52" t="s">
        <v>1958</v>
      </c>
      <c r="M88" s="52" t="s">
        <v>1959</v>
      </c>
      <c r="N88" s="52" t="s">
        <v>1960</v>
      </c>
      <c r="O88" s="52" t="s">
        <v>1961</v>
      </c>
      <c r="P88" s="52" t="s">
        <v>1962</v>
      </c>
      <c r="Q88" s="52" t="s">
        <v>1963</v>
      </c>
      <c r="R88" s="52" t="s">
        <v>1964</v>
      </c>
      <c r="S88" s="52" t="s">
        <v>1965</v>
      </c>
      <c r="T88" s="52" t="s">
        <v>1966</v>
      </c>
      <c r="U88" s="52" t="s">
        <v>1967</v>
      </c>
    </row>
    <row r="89" spans="2:21" x14ac:dyDescent="0.3">
      <c r="C89" s="18" t="s">
        <v>1968</v>
      </c>
      <c r="L89" s="494">
        <v>1</v>
      </c>
      <c r="M89" s="494">
        <v>2</v>
      </c>
      <c r="N89" s="494">
        <v>3</v>
      </c>
      <c r="O89" s="494">
        <v>4</v>
      </c>
      <c r="P89" s="494">
        <v>5</v>
      </c>
      <c r="Q89" s="494">
        <v>6</v>
      </c>
      <c r="R89" s="494">
        <v>7</v>
      </c>
      <c r="S89" s="494">
        <v>8</v>
      </c>
      <c r="T89" s="494">
        <v>9</v>
      </c>
      <c r="U89" s="494">
        <v>10</v>
      </c>
    </row>
    <row r="90" spans="2:21" x14ac:dyDescent="0.3">
      <c r="C90" s="18" t="s">
        <v>1969</v>
      </c>
      <c r="L90" s="495">
        <f>IF(L$89&lt;='15 Assumptions'!$C$79,$P$19+('20 DCF Valuation'!$H$19-$P$19)*L$89/'15 Assumptions'!$C$79,'20 DCF Valuation'!$H$19)</f>
        <v>0.1319947459332767</v>
      </c>
      <c r="M90" s="495">
        <f>IF(M$89&lt;='15 Assumptions'!$C$79,$P$19+('20 DCF Valuation'!$H$19-$P$19)*M$89/'15 Assumptions'!$C$79,'20 DCF Valuation'!$H$19)</f>
        <v>0.12066199638513483</v>
      </c>
      <c r="N90" s="495">
        <f>IF(N$89&lt;='15 Assumptions'!$C$79,$P$19+('20 DCF Valuation'!$H$19-$P$19)*N$89/'15 Assumptions'!$C$79,'20 DCF Valuation'!$H$19)</f>
        <v>0.10932924683699298</v>
      </c>
      <c r="O90" s="495">
        <f>IF(O$89&lt;='15 Assumptions'!$C$79,$P$19+('20 DCF Valuation'!$H$19-$P$19)*O$89/'15 Assumptions'!$C$79,'20 DCF Valuation'!$H$19)</f>
        <v>9.7996497288851125E-2</v>
      </c>
      <c r="P90" s="495">
        <f>IF(P$89&lt;='15 Assumptions'!$C$79,$P$19+('20 DCF Valuation'!$H$19-$P$19)*P$89/'15 Assumptions'!$C$79,'20 DCF Valuation'!$H$19)</f>
        <v>8.6663747740709271E-2</v>
      </c>
      <c r="Q90" s="495">
        <f>IF(Q$89&lt;='15 Assumptions'!$C$79,$P$19+('20 DCF Valuation'!$H$19-$P$19)*Q$89/'15 Assumptions'!$C$79,'20 DCF Valuation'!$H$19)</f>
        <v>7.5330998192567417E-2</v>
      </c>
      <c r="R90" s="495">
        <f>IF(R$89&lt;='15 Assumptions'!$C$79,$P$19+('20 DCF Valuation'!$H$19-$P$19)*R$89/'15 Assumptions'!$C$79,'20 DCF Valuation'!$H$19)</f>
        <v>6.3998248644425562E-2</v>
      </c>
      <c r="S90" s="495">
        <f>IF(S$89&lt;='15 Assumptions'!$C$79,$P$19+('20 DCF Valuation'!$H$19-$P$19)*S$89/'15 Assumptions'!$C$79,'20 DCF Valuation'!$H$19)</f>
        <v>5.2665499096283708E-2</v>
      </c>
      <c r="T90" s="495">
        <f>IF(T$89&lt;='15 Assumptions'!$C$79,$P$19+('20 DCF Valuation'!$H$19-$P$19)*T$89/'15 Assumptions'!$C$79,'20 DCF Valuation'!$H$19)</f>
        <v>4.1332749548141853E-2</v>
      </c>
      <c r="U90" s="495">
        <f>IF(U$89&lt;='15 Assumptions'!$C$79,$P$19+('20 DCF Valuation'!$H$19-$P$19)*U$89/'15 Assumptions'!$C$79,'20 DCF Valuation'!$H$19)</f>
        <v>0.03</v>
      </c>
    </row>
    <row r="91" spans="2:21" x14ac:dyDescent="0.3">
      <c r="C91" s="18" t="s">
        <v>37</v>
      </c>
      <c r="L91" s="496">
        <f>P23*(1+L90)</f>
        <v>1080388.2024840922</v>
      </c>
      <c r="M91" s="496">
        <f t="shared" ref="M91:U91" si="22">L91*(1+M90)</f>
        <v>1210749.9998667699</v>
      </c>
      <c r="N91" s="496">
        <f t="shared" si="22"/>
        <v>1343120.3854600934</v>
      </c>
      <c r="O91" s="496">
        <f t="shared" si="22"/>
        <v>1474741.4786724341</v>
      </c>
      <c r="P91" s="496">
        <f t="shared" si="22"/>
        <v>1602548.1021628624</v>
      </c>
      <c r="Q91" s="496">
        <f t="shared" si="22"/>
        <v>1723269.6503503954</v>
      </c>
      <c r="R91" s="496">
        <f t="shared" si="22"/>
        <v>1833555.8899149122</v>
      </c>
      <c r="S91" s="496">
        <f t="shared" si="22"/>
        <v>1930121.0259782115</v>
      </c>
      <c r="T91" s="496">
        <f t="shared" si="22"/>
        <v>2009898.2349425717</v>
      </c>
      <c r="U91" s="496">
        <f t="shared" si="22"/>
        <v>2070195.1819908489</v>
      </c>
    </row>
    <row r="92" spans="2:21" x14ac:dyDescent="0.3">
      <c r="C92" s="18" t="s">
        <v>2130</v>
      </c>
      <c r="L92" s="497">
        <f>IF('15 Assumptions'!$C$91=1,L91*($P$25+('16 Scenarios'!$C$33-$P$25)*MIN(L$89,'15 Assumptions'!$C$79)/'15 Assumptions'!$C$79)*(1-'15 Assumptions'!$C$10),P24*(1-'15 Assumptions'!$C$10)*(1+L90))</f>
        <v>251929.63747874135</v>
      </c>
      <c r="M92" s="497">
        <f>IF('15 Assumptions'!$C$91=1,M91*($P$25+('16 Scenarios'!$C$33-$P$25)*MIN(M$89,'15 Assumptions'!$C$79)/'15 Assumptions'!$C$79)*(1-'15 Assumptions'!$C$10),L92*(1+M90))</f>
        <v>274523.00697066326</v>
      </c>
      <c r="N92" s="497">
        <f>IF('15 Assumptions'!$C$91=1,N91*($P$25+('16 Scenarios'!$C$33-$P$25)*MIN(N$89,'15 Assumptions'!$C$79)/'15 Assumptions'!$C$79)*(1-'15 Assumptions'!$C$10),M92*(1+N90))</f>
        <v>295878.12626467785</v>
      </c>
      <c r="O92" s="497">
        <f>IF('15 Assumptions'!$C$91=1,O91*($P$25+('16 Scenarios'!$C$33-$P$25)*MIN(O$89,'15 Assumptions'!$C$79)/'15 Assumptions'!$C$79)*(1-'15 Assumptions'!$C$10),N92*(1+O90))</f>
        <v>315366.39141176757</v>
      </c>
      <c r="P92" s="497">
        <f>IF('15 Assumptions'!$C$91=1,P91*($P$25+('16 Scenarios'!$C$33-$P$25)*MIN(P$89,'15 Assumptions'!$C$79)/'15 Assumptions'!$C$79)*(1-'15 Assumptions'!$C$10),O92*(1+P90))</f>
        <v>332366.57894747728</v>
      </c>
      <c r="Q92" s="497">
        <f>IF('15 Assumptions'!$C$91=1,Q91*($P$25+('16 Scenarios'!$C$33-$P$25)*MIN(Q$89,'15 Assumptions'!$C$79)/'15 Assumptions'!$C$79)*(1-'15 Assumptions'!$C$10),P92*(1+Q90))</f>
        <v>346295.22138567339</v>
      </c>
      <c r="R92" s="497">
        <f>IF('15 Assumptions'!$C$91=1,R91*($P$25+('16 Scenarios'!$C$33-$P$25)*MIN(R$89,'15 Assumptions'!$C$79)/'15 Assumptions'!$C$79)*(1-'15 Assumptions'!$C$10),Q92*(1+R90))</f>
        <v>356637.69752602949</v>
      </c>
      <c r="S92" s="497">
        <f>IF('15 Assumptions'!$C$91=1,S91*($P$25+('16 Scenarios'!$C$33-$P$25)*MIN(S$89,'15 Assumptions'!$C$79)/'15 Assumptions'!$C$79)*(1-'15 Assumptions'!$C$10),R92*(1+S90))</f>
        <v>362977.89204642939</v>
      </c>
      <c r="T92" s="497">
        <f>IF('15 Assumptions'!$C$91=1,T91*($P$25+('16 Scenarios'!$C$33-$P$25)*MIN(T$89,'15 Assumptions'!$C$79)/'15 Assumptions'!$C$79)*(1-'15 Assumptions'!$C$10),S92*(1+T90))</f>
        <v>365024.18374076462</v>
      </c>
      <c r="U92" s="497">
        <f>IF('15 Assumptions'!$C$91=1,U91*($P$25+('16 Scenarios'!$C$33-$P$25)*MIN(U$89,'15 Assumptions'!$C$79)/'15 Assumptions'!$C$79)*(1-'15 Assumptions'!$C$10),T92*(1+U90))</f>
        <v>362629.62916558131</v>
      </c>
    </row>
    <row r="93" spans="2:21" x14ac:dyDescent="0.3">
      <c r="C93" s="18" t="s">
        <v>2007</v>
      </c>
      <c r="L93" s="496">
        <f t="shared" ref="L93:U93" si="23">L91*$P$71/$P$23</f>
        <v>56180.186529172795</v>
      </c>
      <c r="M93" s="496">
        <f t="shared" si="23"/>
        <v>62958.99999307203</v>
      </c>
      <c r="N93" s="496">
        <f t="shared" si="23"/>
        <v>69842.260043924849</v>
      </c>
      <c r="O93" s="496">
        <f t="shared" si="23"/>
        <v>76686.556890966574</v>
      </c>
      <c r="P93" s="496">
        <f t="shared" si="23"/>
        <v>83332.501312468841</v>
      </c>
      <c r="Q93" s="496">
        <f t="shared" si="23"/>
        <v>89610.021818220543</v>
      </c>
      <c r="R93" s="496">
        <f t="shared" si="23"/>
        <v>95344.906275575428</v>
      </c>
      <c r="S93" s="496">
        <f t="shared" si="23"/>
        <v>100366.293350867</v>
      </c>
      <c r="T93" s="496">
        <f t="shared" si="23"/>
        <v>104514.70821701373</v>
      </c>
      <c r="U93" s="496">
        <f t="shared" si="23"/>
        <v>107650.14946352414</v>
      </c>
    </row>
    <row r="94" spans="2:21" x14ac:dyDescent="0.3">
      <c r="C94" s="18" t="s">
        <v>2131</v>
      </c>
      <c r="L94" s="496">
        <f t="shared" ref="L94:U94" si="24">L96*L92</f>
        <v>111496.52499272724</v>
      </c>
      <c r="M94" s="496">
        <f t="shared" si="24"/>
        <v>114096.66664444222</v>
      </c>
      <c r="N94" s="496">
        <f t="shared" si="24"/>
        <v>114997.65946275322</v>
      </c>
      <c r="O94" s="496">
        <f t="shared" si="24"/>
        <v>114072.24980078131</v>
      </c>
      <c r="P94" s="496">
        <f t="shared" si="24"/>
        <v>111263.4238326613</v>
      </c>
      <c r="Q94" s="496">
        <f t="shared" si="24"/>
        <v>106592.76279917038</v>
      </c>
      <c r="R94" s="496">
        <f t="shared" si="24"/>
        <v>100164.08688919734</v>
      </c>
      <c r="S94" s="496">
        <f t="shared" si="24"/>
        <v>92161.708136919318</v>
      </c>
      <c r="T94" s="496">
        <f t="shared" si="24"/>
        <v>82843.053743310506</v>
      </c>
      <c r="U94" s="496">
        <f t="shared" si="24"/>
        <v>72525.925833116271</v>
      </c>
    </row>
    <row r="95" spans="2:21" x14ac:dyDescent="0.3">
      <c r="C95" s="5" t="s">
        <v>2008</v>
      </c>
      <c r="L95" s="498">
        <f t="shared" ref="L95:U95" si="25">L92-L94</f>
        <v>140433.11248601411</v>
      </c>
      <c r="M95" s="498">
        <f t="shared" si="25"/>
        <v>160426.34032622105</v>
      </c>
      <c r="N95" s="498">
        <f t="shared" si="25"/>
        <v>180880.46680192463</v>
      </c>
      <c r="O95" s="498">
        <f t="shared" si="25"/>
        <v>201294.14161098626</v>
      </c>
      <c r="P95" s="498">
        <f t="shared" si="25"/>
        <v>221103.15511481598</v>
      </c>
      <c r="Q95" s="498">
        <f t="shared" si="25"/>
        <v>239702.45858650299</v>
      </c>
      <c r="R95" s="498">
        <f t="shared" si="25"/>
        <v>256473.61063683213</v>
      </c>
      <c r="S95" s="498">
        <f t="shared" si="25"/>
        <v>270816.18390951009</v>
      </c>
      <c r="T95" s="498">
        <f t="shared" si="25"/>
        <v>282181.12999745412</v>
      </c>
      <c r="U95" s="498">
        <f t="shared" si="25"/>
        <v>290103.70333246503</v>
      </c>
    </row>
    <row r="96" spans="2:21" x14ac:dyDescent="0.3">
      <c r="C96" s="18" t="s">
        <v>2132</v>
      </c>
      <c r="L96" s="495">
        <f>IF('15 Assumptions'!$C$90=1,IF(L$89&gt;='15 Assumptions'!$C$79,'20 DCF Valuation'!$H$19/'16 Scenarios'!$C$27,$L$97+('20 DCF Valuation'!$H$19/'16 Scenarios'!$C$27-$L$97)*(L$89-1)/MAX(1,'15 Assumptions'!$C$79-1)),L90/'16 Scenarios'!$C$27)</f>
        <v>0.44257010055887402</v>
      </c>
      <c r="M96" s="495">
        <f>IF('15 Assumptions'!$C$90=1,IF(M$89&gt;='15 Assumptions'!$C$79,'20 DCF Valuation'!$H$19/'16 Scenarios'!$C$27,$L$97+('20 DCF Valuation'!$H$19/'16 Scenarios'!$C$27-$L$97)*(M$89-1)/MAX(1,'15 Assumptions'!$C$79-1)),M90/'16 Scenarios'!$C$27)</f>
        <v>0.41561786716344357</v>
      </c>
      <c r="N96" s="495">
        <f>IF('15 Assumptions'!$C$90=1,IF(N$89&gt;='15 Assumptions'!$C$79,'20 DCF Valuation'!$H$19/'16 Scenarios'!$C$27,$L$97+('20 DCF Valuation'!$H$19/'16 Scenarios'!$C$27-$L$97)*(N$89-1)/MAX(1,'15 Assumptions'!$C$79-1)),N90/'16 Scenarios'!$C$27)</f>
        <v>0.38866563376801311</v>
      </c>
      <c r="O96" s="495">
        <f>IF('15 Assumptions'!$C$90=1,IF(O$89&gt;='15 Assumptions'!$C$79,'20 DCF Valuation'!$H$19/'16 Scenarios'!$C$27,$L$97+('20 DCF Valuation'!$H$19/'16 Scenarios'!$C$27-$L$97)*(O$89-1)/MAX(1,'15 Assumptions'!$C$79-1)),O90/'16 Scenarios'!$C$27)</f>
        <v>0.36171340037258271</v>
      </c>
      <c r="P96" s="495">
        <f>IF('15 Assumptions'!$C$90=1,IF(P$89&gt;='15 Assumptions'!$C$79,'20 DCF Valuation'!$H$19/'16 Scenarios'!$C$27,$L$97+('20 DCF Valuation'!$H$19/'16 Scenarios'!$C$27-$L$97)*(P$89-1)/MAX(1,'15 Assumptions'!$C$79-1)),P90/'16 Scenarios'!$C$27)</f>
        <v>0.33476116697715225</v>
      </c>
      <c r="Q96" s="495">
        <f>IF('15 Assumptions'!$C$90=1,IF(Q$89&gt;='15 Assumptions'!$C$79,'20 DCF Valuation'!$H$19/'16 Scenarios'!$C$27,$L$97+('20 DCF Valuation'!$H$19/'16 Scenarios'!$C$27-$L$97)*(Q$89-1)/MAX(1,'15 Assumptions'!$C$79-1)),Q90/'16 Scenarios'!$C$27)</f>
        <v>0.30780893358172179</v>
      </c>
      <c r="R96" s="495">
        <f>IF('15 Assumptions'!$C$90=1,IF(R$89&gt;='15 Assumptions'!$C$79,'20 DCF Valuation'!$H$19/'16 Scenarios'!$C$27,$L$97+('20 DCF Valuation'!$H$19/'16 Scenarios'!$C$27-$L$97)*(R$89-1)/MAX(1,'15 Assumptions'!$C$79-1)),R90/'16 Scenarios'!$C$27)</f>
        <v>0.28085670018629139</v>
      </c>
      <c r="S96" s="495">
        <f>IF('15 Assumptions'!$C$90=1,IF(S$89&gt;='15 Assumptions'!$C$79,'20 DCF Valuation'!$H$19/'16 Scenarios'!$C$27,$L$97+('20 DCF Valuation'!$H$19/'16 Scenarios'!$C$27-$L$97)*(S$89-1)/MAX(1,'15 Assumptions'!$C$79-1)),S90/'16 Scenarios'!$C$27)</f>
        <v>0.25390446679086087</v>
      </c>
      <c r="T96" s="495">
        <f>IF('15 Assumptions'!$C$90=1,IF(T$89&gt;='15 Assumptions'!$C$79,'20 DCF Valuation'!$H$19/'16 Scenarios'!$C$27,$L$97+('20 DCF Valuation'!$H$19/'16 Scenarios'!$C$27-$L$97)*(T$89-1)/MAX(1,'15 Assumptions'!$C$79-1)),T90/'16 Scenarios'!$C$27)</f>
        <v>0.22695223339543047</v>
      </c>
      <c r="U96" s="495">
        <f>IF('15 Assumptions'!$C$90=1,IF(U$89&gt;='15 Assumptions'!$C$79,'20 DCF Valuation'!$H$19/'16 Scenarios'!$C$27,$L$97+('20 DCF Valuation'!$H$19/'16 Scenarios'!$C$27-$L$97)*(U$89-1)/MAX(1,'15 Assumptions'!$C$79-1)),U90/'16 Scenarios'!$C$27)</f>
        <v>0.2</v>
      </c>
    </row>
    <row r="97" spans="2:21" x14ac:dyDescent="0.3">
      <c r="C97" s="18" t="s">
        <v>2133</v>
      </c>
      <c r="L97" s="495">
        <f>(-P75-P64-P23*'15 Assumptions'!$C$57)/(P24*(1-'15 Assumptions'!$C$10))</f>
        <v>0.44257010055887402</v>
      </c>
      <c r="M97" s="497"/>
      <c r="N97" s="497"/>
      <c r="O97" s="497"/>
      <c r="P97" s="497"/>
      <c r="Q97" s="497"/>
      <c r="R97" s="497"/>
      <c r="S97" s="497"/>
      <c r="T97" s="497"/>
      <c r="U97" s="497"/>
    </row>
    <row r="99" spans="2:21" ht="18" customHeight="1" x14ac:dyDescent="0.3">
      <c r="B99" s="73"/>
      <c r="C99" s="16" t="s">
        <v>1111</v>
      </c>
      <c r="D99" s="73"/>
      <c r="E99" s="73"/>
      <c r="F99" s="73"/>
      <c r="G99" s="73"/>
      <c r="H99" s="73"/>
      <c r="I99" s="73"/>
      <c r="J99" s="73"/>
      <c r="K99" s="73"/>
      <c r="L99" s="73"/>
      <c r="M99" s="73"/>
      <c r="N99" s="73"/>
      <c r="O99" s="73"/>
      <c r="P99" s="73"/>
    </row>
    <row r="100" spans="2:21" x14ac:dyDescent="0.3">
      <c r="C100" s="75" t="s">
        <v>1151</v>
      </c>
    </row>
    <row r="101" spans="2:21" x14ac:dyDescent="0.3">
      <c r="C101" s="76" t="s">
        <v>1112</v>
      </c>
    </row>
    <row r="102" spans="2:21" x14ac:dyDescent="0.3">
      <c r="C102" s="77" t="s">
        <v>1152</v>
      </c>
    </row>
    <row r="103" spans="2:21" ht="28.05" customHeight="1" x14ac:dyDescent="0.3">
      <c r="C103" s="320" t="s">
        <v>1113</v>
      </c>
    </row>
    <row r="106" spans="2:21" x14ac:dyDescent="0.3">
      <c r="B106" s="16" t="s">
        <v>2171</v>
      </c>
      <c r="C106" s="16"/>
      <c r="D106" s="16"/>
      <c r="E106" s="16"/>
      <c r="F106" s="16"/>
      <c r="G106" s="16"/>
      <c r="H106" s="16"/>
      <c r="I106" s="16"/>
      <c r="J106" s="16"/>
      <c r="K106" s="16"/>
      <c r="L106" s="16"/>
      <c r="M106" s="16"/>
      <c r="N106" s="16"/>
      <c r="O106" s="16"/>
      <c r="P106" s="16"/>
      <c r="Q106" s="16"/>
      <c r="R106" s="16"/>
      <c r="S106" s="16"/>
      <c r="T106" s="16"/>
      <c r="U106" s="16"/>
    </row>
    <row r="107" spans="2:21" ht="15" thickBot="1" x14ac:dyDescent="0.35">
      <c r="L107" s="52" t="s">
        <v>2172</v>
      </c>
      <c r="M107" s="52" t="s">
        <v>974</v>
      </c>
      <c r="N107" s="52" t="s">
        <v>2173</v>
      </c>
      <c r="O107" s="52" t="s">
        <v>2174</v>
      </c>
      <c r="P107" s="52"/>
      <c r="Q107" s="52"/>
      <c r="R107" s="52"/>
      <c r="S107" s="52"/>
      <c r="T107" s="52"/>
      <c r="U107" s="52"/>
    </row>
    <row r="108" spans="2:21" x14ac:dyDescent="0.3">
      <c r="C108" s="18" t="s">
        <v>2175</v>
      </c>
      <c r="L108" s="497">
        <f>L14-('03 Segments'!$G$13+'03 Segments'!$I$13)</f>
        <v>55002.5</v>
      </c>
      <c r="M108" s="496">
        <f>M14</f>
        <v>160062.10215499997</v>
      </c>
      <c r="N108" s="496">
        <f>0.5*N14</f>
        <v>118611.01977274597</v>
      </c>
      <c r="O108" s="496">
        <f>SUM(L108:N108)</f>
        <v>333675.62192774593</v>
      </c>
      <c r="P108" s="497"/>
      <c r="Q108" s="497"/>
      <c r="R108" s="497"/>
      <c r="S108" s="497"/>
      <c r="T108" s="497"/>
      <c r="U108" s="497"/>
    </row>
    <row r="109" spans="2:21" x14ac:dyDescent="0.3">
      <c r="C109" s="18" t="s">
        <v>2176</v>
      </c>
      <c r="L109" s="497"/>
      <c r="M109" s="497"/>
      <c r="N109" s="497"/>
      <c r="O109" s="497">
        <f>'15 Assumptions'!$C$112*'15 Assumptions'!$C$113</f>
        <v>256950</v>
      </c>
      <c r="P109" s="497"/>
      <c r="Q109" s="497"/>
      <c r="R109" s="497"/>
      <c r="S109" s="497"/>
      <c r="T109" s="497"/>
      <c r="U109" s="497"/>
    </row>
    <row r="110" spans="2:21" x14ac:dyDescent="0.3">
      <c r="C110" s="18" t="s">
        <v>2177</v>
      </c>
      <c r="L110" s="497"/>
      <c r="M110" s="497"/>
      <c r="N110" s="497"/>
      <c r="O110" s="496">
        <f>O108-O109</f>
        <v>76725.621927745931</v>
      </c>
      <c r="P110" s="497"/>
      <c r="Q110" s="497"/>
      <c r="R110" s="497"/>
      <c r="S110" s="497"/>
      <c r="T110" s="497"/>
      <c r="U110" s="497"/>
    </row>
    <row r="111" spans="2:21" x14ac:dyDescent="0.3">
      <c r="C111" s="18" t="s">
        <v>2178</v>
      </c>
      <c r="L111" s="497"/>
      <c r="M111" s="497"/>
      <c r="N111" s="497"/>
      <c r="O111" s="549">
        <f>O110/O109</f>
        <v>0.29860136963512718</v>
      </c>
      <c r="P111" s="497"/>
      <c r="Q111" s="497"/>
      <c r="R111" s="497"/>
      <c r="S111" s="497"/>
      <c r="T111" s="497"/>
      <c r="U111" s="497"/>
    </row>
    <row r="112" spans="2:21" x14ac:dyDescent="0.3">
      <c r="C112" s="18" t="s">
        <v>2179</v>
      </c>
      <c r="L112" s="497"/>
      <c r="M112" s="497"/>
      <c r="N112" s="497"/>
      <c r="O112" s="497" t="str">
        <f>IF(O111&lt;'15 Assumptions'!$C$114,"WARNING: under "&amp;TEXT('15 Assumptions'!$C$114,"0%")&amp;" beyond backlog","OK")</f>
        <v>OK</v>
      </c>
      <c r="P112" s="497"/>
      <c r="Q112" s="497"/>
      <c r="R112" s="497"/>
      <c r="S112" s="497"/>
      <c r="T112" s="497"/>
      <c r="U112" s="497"/>
    </row>
    <row r="113" spans="3:16" ht="15" thickBot="1" x14ac:dyDescent="0.35">
      <c r="H113" s="53" t="str">
        <f t="shared" ref="H113:P113" si="26">H$7</f>
        <v>FY2023</v>
      </c>
      <c r="I113" s="53" t="str">
        <f t="shared" si="26"/>
        <v>FY2024</v>
      </c>
      <c r="J113" s="53" t="str">
        <f t="shared" si="26"/>
        <v>FY2025</v>
      </c>
      <c r="K113" s="53" t="str">
        <f t="shared" si="26"/>
        <v>TTM Jun'26</v>
      </c>
      <c r="L113" s="52" t="str">
        <f t="shared" si="26"/>
        <v>FY2026E</v>
      </c>
      <c r="M113" s="52" t="str">
        <f t="shared" si="26"/>
        <v>FY2027E</v>
      </c>
      <c r="N113" s="52" t="str">
        <f t="shared" si="26"/>
        <v>FY2028E</v>
      </c>
      <c r="O113" s="52" t="str">
        <f t="shared" si="26"/>
        <v>FY2029E</v>
      </c>
      <c r="P113" s="52" t="str">
        <f t="shared" si="26"/>
        <v>FY2030E</v>
      </c>
    </row>
    <row r="114" spans="3:16" x14ac:dyDescent="0.3">
      <c r="C114" s="18" t="s">
        <v>2180</v>
      </c>
      <c r="I114" s="550">
        <f>(I14-H14)/-H75*100</f>
        <v>31.443986232985022</v>
      </c>
      <c r="J114" s="550">
        <f>(J14-I14)/-I75*100</f>
        <v>29.458456267250405</v>
      </c>
      <c r="L114" s="551">
        <f>(L14-J14)/-J75*100</f>
        <v>44.936958019399214</v>
      </c>
      <c r="M114" s="551">
        <f>(M14-L14)/-L75*100</f>
        <v>29.999999999999993</v>
      </c>
      <c r="N114" s="551">
        <f>(N14-M14)/-M75*100</f>
        <v>30</v>
      </c>
      <c r="O114" s="551">
        <f>(O14-N14)/-N75*100</f>
        <v>30</v>
      </c>
      <c r="P114" s="551">
        <f>(P14-O14)/-O75*100</f>
        <v>30.000000000000004</v>
      </c>
    </row>
    <row r="115" spans="3:16" x14ac:dyDescent="0.3">
      <c r="C115" s="18" t="s">
        <v>2181</v>
      </c>
      <c r="L115" s="552">
        <f>L114-AVERAGE($I$114:$J$114)</f>
        <v>14.485736769281502</v>
      </c>
      <c r="M115" s="552">
        <f>M114-AVERAGE($I$114:$J$114)</f>
        <v>-0.45122125011771885</v>
      </c>
      <c r="N115" s="552">
        <f>N114-AVERAGE($I$114:$J$114)</f>
        <v>-0.45122125011771175</v>
      </c>
      <c r="O115" s="552">
        <f>O114-AVERAGE($I$114:$J$114)</f>
        <v>-0.45122125011771175</v>
      </c>
      <c r="P115" s="552">
        <f>P114-AVERAGE($I$114:$J$114)</f>
        <v>-0.45122125011770819</v>
      </c>
    </row>
    <row r="117" spans="3:16" ht="15" thickBot="1" x14ac:dyDescent="0.35">
      <c r="H117" s="53" t="str">
        <f>H$7</f>
        <v>FY2023</v>
      </c>
      <c r="I117" s="53" t="str">
        <f>I$7</f>
        <v>FY2024</v>
      </c>
      <c r="J117" s="53" t="str">
        <f>J$7</f>
        <v>FY2025</v>
      </c>
      <c r="K117" s="53" t="s">
        <v>51</v>
      </c>
      <c r="L117" s="52" t="str">
        <f>L$7</f>
        <v>FY2026E</v>
      </c>
      <c r="M117" s="52" t="str">
        <f>M$7</f>
        <v>FY2027E</v>
      </c>
      <c r="N117" s="52" t="str">
        <f>N$7</f>
        <v>FY2028E</v>
      </c>
      <c r="O117" s="52" t="str">
        <f>O$7</f>
        <v>FY2029E</v>
      </c>
      <c r="P117" s="52" t="str">
        <f>P$7</f>
        <v>FY2030E</v>
      </c>
    </row>
    <row r="118" spans="3:16" x14ac:dyDescent="0.3">
      <c r="C118" s="18" t="s">
        <v>2204</v>
      </c>
      <c r="K118" s="86">
        <f>('03 Segments'!G12+'03 Segments'!I12)/('03 Segments'!G16+'03 Segments'!I16)</f>
        <v>0.80184333803528207</v>
      </c>
      <c r="L118" s="549">
        <f>SUM(L10:L13)/L18</f>
        <v>0.79301404821575094</v>
      </c>
      <c r="M118" s="549">
        <f>SUM(M10:M13)/M18</f>
        <v>0.72768007788360767</v>
      </c>
      <c r="N118" s="549">
        <f>SUM(N10:N13)/N18</f>
        <v>0.66488734189805809</v>
      </c>
      <c r="O118" s="549">
        <f>SUM(O10:O13)/O18</f>
        <v>0.6187493114284911</v>
      </c>
      <c r="P118" s="549">
        <f>SUM(P10:P13)/P18</f>
        <v>0.58510348780586319</v>
      </c>
    </row>
    <row r="119" spans="3:16" x14ac:dyDescent="0.3">
      <c r="C119" s="18" t="s">
        <v>2205</v>
      </c>
      <c r="K119" s="86">
        <f>('03 Segments'!G13+'03 Segments'!I13)/('03 Segments'!G16+'03 Segments'!I16)</f>
        <v>0.19502638315657489</v>
      </c>
      <c r="L119" s="549">
        <f>L14/L18</f>
        <v>0.20369203069587075</v>
      </c>
      <c r="M119" s="549">
        <f>M14/M18</f>
        <v>0.26946713246681037</v>
      </c>
      <c r="N119" s="549">
        <f>N14/N18</f>
        <v>0.33261787773616391</v>
      </c>
      <c r="O119" s="549">
        <f>O14/O18</f>
        <v>0.37901265658372174</v>
      </c>
      <c r="P119" s="549">
        <f>P14/P18</f>
        <v>0.41284116620056655</v>
      </c>
    </row>
    <row r="120" spans="3:16" x14ac:dyDescent="0.3">
      <c r="C120" s="18" t="s">
        <v>2206</v>
      </c>
      <c r="K120" s="86">
        <f>'15 Assumptions'!$C$123</f>
        <v>0.43508690010153278</v>
      </c>
      <c r="L120" s="495">
        <f>'15 Assumptions'!$C$123+'16 Scenarios'!$C$35*0/4</f>
        <v>0.43508690010153278</v>
      </c>
      <c r="M120" s="495">
        <f>'15 Assumptions'!$C$123+'16 Scenarios'!$C$35*1/4</f>
        <v>0.43508690010153278</v>
      </c>
      <c r="N120" s="495">
        <f>'15 Assumptions'!$C$123+'16 Scenarios'!$C$35*2/4</f>
        <v>0.43508690010153278</v>
      </c>
      <c r="O120" s="495">
        <f>'15 Assumptions'!$C$123+'16 Scenarios'!$C$35*3/4</f>
        <v>0.43508690010153278</v>
      </c>
      <c r="P120" s="495">
        <f>'15 Assumptions'!$C$123+'16 Scenarios'!$C$35*4/4</f>
        <v>0.43508690010153278</v>
      </c>
    </row>
    <row r="121" spans="3:16" x14ac:dyDescent="0.3">
      <c r="C121" s="18" t="s">
        <v>2207</v>
      </c>
      <c r="K121" s="86">
        <f>'15 Assumptions'!$C$124</f>
        <v>0.34404857576569337</v>
      </c>
      <c r="L121" s="495">
        <f>'15 Assumptions'!$C$124+'16 Scenarios'!$C$36*0/4</f>
        <v>0.34404857576569337</v>
      </c>
      <c r="M121" s="495">
        <f>'15 Assumptions'!$C$124+'16 Scenarios'!$C$36*1/4</f>
        <v>0.34404857576569337</v>
      </c>
      <c r="N121" s="495">
        <f>'15 Assumptions'!$C$124+'16 Scenarios'!$C$36*2/4</f>
        <v>0.34404857576569337</v>
      </c>
      <c r="O121" s="495">
        <f>'15 Assumptions'!$C$124+'16 Scenarios'!$C$36*3/4</f>
        <v>0.34404857576569337</v>
      </c>
      <c r="P121" s="495">
        <f>'15 Assumptions'!$C$124+'16 Scenarios'!$C$36*4/4</f>
        <v>0.34404857576569337</v>
      </c>
    </row>
    <row r="122" spans="3:16" x14ac:dyDescent="0.3">
      <c r="C122" s="18" t="s">
        <v>2208</v>
      </c>
      <c r="K122" s="86">
        <f>'15 Assumptions'!$C$125</f>
        <v>-6.5648781846995102E-2</v>
      </c>
      <c r="L122" s="495">
        <f>'15 Assumptions'!$C$125+'16 Scenarios'!$C$37*0/4</f>
        <v>-6.5648781846995102E-2</v>
      </c>
      <c r="M122" s="495">
        <f>'15 Assumptions'!$C$125+'16 Scenarios'!$C$37*1/4</f>
        <v>-6.5648781846995102E-2</v>
      </c>
      <c r="N122" s="495">
        <f>'15 Assumptions'!$C$125+'16 Scenarios'!$C$37*2/4</f>
        <v>-6.5648781846995102E-2</v>
      </c>
      <c r="O122" s="495">
        <f>'15 Assumptions'!$C$125+'16 Scenarios'!$C$37*3/4</f>
        <v>-6.5648781846995102E-2</v>
      </c>
      <c r="P122" s="495">
        <f>'15 Assumptions'!$C$125+'16 Scenarios'!$C$37*4/4</f>
        <v>-6.5648781846995102E-2</v>
      </c>
    </row>
    <row r="123" spans="3:16" x14ac:dyDescent="0.3">
      <c r="C123" s="18" t="s">
        <v>2209</v>
      </c>
      <c r="K123" s="86">
        <f>K118*K120+K119*K121+K122+'15 Assumptions'!$C$126</f>
        <v>0.35286786512904855</v>
      </c>
      <c r="L123" s="495">
        <f>L118*L120+L119*L121+L122+'15 Assumptions'!$C$126</f>
        <v>0.35200776048535287</v>
      </c>
      <c r="M123" s="495">
        <f>M118*M120+M119*M121+M122+'15 Assumptions'!$C$126</f>
        <v>0.34621163594735049</v>
      </c>
      <c r="N123" s="495">
        <f>N118*N120+N119*N121+N122+'15 Assumptions'!$C$126</f>
        <v>0.34061826306696696</v>
      </c>
      <c r="O123" s="495">
        <f>O118*O120+O119*O121+O122+'15 Assumptions'!$C$126</f>
        <v>0.33650626799863959</v>
      </c>
      <c r="P123" s="495">
        <f>P118*P120+P119*P121+P122+'15 Assumptions'!$C$126</f>
        <v>0.33350606145125905</v>
      </c>
    </row>
    <row r="124" spans="3:16" x14ac:dyDescent="0.3">
      <c r="C124" s="18" t="s">
        <v>2210</v>
      </c>
      <c r="L124" s="495">
        <f>CHOOSE('16 Scenarios'!$D$6,'15 Assumptions'!C27,'15 Assumptions'!C28,'15 Assumptions'!C29)</f>
        <v>0.35299999999999998</v>
      </c>
      <c r="M124" s="495">
        <f>CHOOSE('16 Scenarios'!$D$6,'15 Assumptions'!D27,'15 Assumptions'!D28,'15 Assumptions'!D29)</f>
        <v>0.35799999999999998</v>
      </c>
      <c r="N124" s="495">
        <f>CHOOSE('16 Scenarios'!$D$6,'15 Assumptions'!E27,'15 Assumptions'!E28,'15 Assumptions'!E29)</f>
        <v>0.36299999999999999</v>
      </c>
      <c r="O124" s="495">
        <f>CHOOSE('16 Scenarios'!$D$6,'15 Assumptions'!F27,'15 Assumptions'!F28,'15 Assumptions'!F29)</f>
        <v>0.36799999999999999</v>
      </c>
      <c r="P124" s="495">
        <f>CHOOSE('16 Scenarios'!$D$6,'15 Assumptions'!G27,'15 Assumptions'!G28,'15 Assumptions'!G29)</f>
        <v>0.373</v>
      </c>
    </row>
    <row r="125" spans="3:16" x14ac:dyDescent="0.3">
      <c r="C125" s="18" t="s">
        <v>2211</v>
      </c>
      <c r="L125" s="558">
        <f>L123-L124</f>
        <v>-9.9223951464710858E-4</v>
      </c>
      <c r="M125" s="558">
        <f>M123-M124</f>
        <v>-1.1788364052649491E-2</v>
      </c>
      <c r="N125" s="558">
        <f>N123-N124</f>
        <v>-2.2381736933033025E-2</v>
      </c>
      <c r="O125" s="558">
        <f>O123-O124</f>
        <v>-3.1493732001360408E-2</v>
      </c>
      <c r="P125" s="558">
        <f>P123-P124</f>
        <v>-3.9493938548740948E-2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7CDA6-0E36-4522-8393-AE20DEFA68E7}">
  <sheetPr>
    <tabColor rgb="FF002F6C"/>
  </sheetPr>
  <dimension ref="A1:U125"/>
  <sheetViews>
    <sheetView showGridLines="0" workbookViewId="0">
      <pane ySplit="7" topLeftCell="A75" activePane="bottomLeft" state="frozen"/>
      <selection pane="bottomLeft" activeCell="L95" sqref="L95:U95"/>
    </sheetView>
  </sheetViews>
  <sheetFormatPr defaultRowHeight="14.4" x14ac:dyDescent="0.3"/>
  <cols>
    <col min="1" max="1" width="2.21875" style="1" customWidth="1"/>
    <col min="2" max="2" width="2.5546875" style="1" customWidth="1"/>
    <col min="3" max="3" width="53.6640625" style="1" customWidth="1"/>
    <col min="4" max="7" width="1.88671875" style="1" customWidth="1"/>
    <col min="8" max="16" width="15.5546875" style="1" customWidth="1"/>
    <col min="17" max="21" width="15.5546875" customWidth="1"/>
  </cols>
  <sheetData>
    <row r="1" spans="2:16" x14ac:dyDescent="0.3">
      <c r="O1" s="49" t="str">
        <f>"CURRENTLY RUNNING:  "&amp;'DCF Base Drivers'!F6</f>
        <v>CURRENTLY RUNNING:  BASE CASE</v>
      </c>
    </row>
    <row r="2" spans="2:16" ht="23.4" thickBot="1" x14ac:dyDescent="0.45">
      <c r="B2" s="396" t="s">
        <v>1874</v>
      </c>
      <c r="C2" s="396"/>
      <c r="D2" s="396"/>
      <c r="E2" s="396"/>
      <c r="F2" s="396"/>
      <c r="G2" s="396"/>
      <c r="H2" s="396"/>
      <c r="I2" s="396"/>
      <c r="J2" s="396"/>
      <c r="K2" s="396"/>
      <c r="L2" s="396"/>
      <c r="M2" s="396"/>
      <c r="N2" s="396"/>
      <c r="O2" s="396"/>
      <c r="P2" s="396"/>
    </row>
    <row r="3" spans="2:16" ht="28.05" customHeight="1" x14ac:dyDescent="0.3">
      <c r="B3" s="313" t="s">
        <v>1567</v>
      </c>
    </row>
    <row r="4" spans="2:16" ht="15" thickBot="1" x14ac:dyDescent="0.35">
      <c r="B4" s="4"/>
      <c r="C4" s="4"/>
      <c r="D4" s="4"/>
      <c r="E4" s="4"/>
      <c r="F4" s="4"/>
      <c r="G4" s="4"/>
      <c r="H4" s="4"/>
      <c r="I4" s="4"/>
      <c r="J4" s="4"/>
      <c r="K4" s="4"/>
      <c r="L4" s="4"/>
      <c r="M4" s="4"/>
      <c r="N4" s="4"/>
      <c r="O4" s="4"/>
      <c r="P4" s="4"/>
    </row>
    <row r="6" spans="2:16" x14ac:dyDescent="0.3">
      <c r="L6" s="50" t="s">
        <v>1016</v>
      </c>
      <c r="M6" s="51"/>
      <c r="N6" s="51"/>
      <c r="O6" s="51"/>
      <c r="P6" s="51"/>
    </row>
    <row r="7" spans="2:16" ht="15" thickBot="1" x14ac:dyDescent="0.35">
      <c r="H7" s="53" t="s">
        <v>7</v>
      </c>
      <c r="I7" s="53" t="s">
        <v>8</v>
      </c>
      <c r="J7" s="53" t="s">
        <v>9</v>
      </c>
      <c r="K7" s="53" t="s">
        <v>11</v>
      </c>
      <c r="L7" s="52" t="s">
        <v>973</v>
      </c>
      <c r="M7" s="52" t="s">
        <v>974</v>
      </c>
      <c r="N7" s="52" t="s">
        <v>975</v>
      </c>
      <c r="O7" s="52" t="s">
        <v>976</v>
      </c>
      <c r="P7" s="52" t="s">
        <v>977</v>
      </c>
    </row>
    <row r="9" spans="2:16" ht="18" customHeight="1" x14ac:dyDescent="0.3">
      <c r="B9" s="16" t="s">
        <v>1017</v>
      </c>
      <c r="C9" s="16"/>
      <c r="D9" s="16"/>
      <c r="E9" s="16"/>
      <c r="F9" s="16"/>
      <c r="G9" s="16"/>
      <c r="H9" s="16"/>
      <c r="I9" s="16"/>
      <c r="J9" s="16"/>
      <c r="K9" s="16"/>
      <c r="L9" s="16"/>
      <c r="M9" s="16"/>
      <c r="N9" s="16"/>
      <c r="O9" s="16"/>
      <c r="P9" s="16"/>
    </row>
    <row r="10" spans="2:16" x14ac:dyDescent="0.3">
      <c r="C10" s="18" t="s">
        <v>70</v>
      </c>
      <c r="H10" s="47">
        <f>'03 Segments'!C7</f>
        <v>175033</v>
      </c>
      <c r="I10" s="47">
        <f>'03 Segments'!D7</f>
        <v>198084</v>
      </c>
      <c r="J10" s="47">
        <f>'03 Segments'!E7</f>
        <v>224532</v>
      </c>
      <c r="K10" s="47">
        <f>'03 Segments'!E7+'03 Segments'!G7+'03 Segments'!I7-'03 Segments'!F7-'03 Segments'!H7</f>
        <v>243310</v>
      </c>
      <c r="L10" s="429">
        <f>J10*(1+'DCF Base Drivers'!C18)</f>
        <v>258211.8</v>
      </c>
      <c r="M10" s="429">
        <f>L10*(1+'DCF Base Drivers'!D18)</f>
        <v>289197.21600000001</v>
      </c>
      <c r="N10" s="429">
        <f>M10*(1+'DCF Base Drivers'!E18)</f>
        <v>318116.93760000006</v>
      </c>
      <c r="O10" s="429">
        <f>N10*(1+'DCF Base Drivers'!F18)</f>
        <v>346747.46198400011</v>
      </c>
      <c r="P10" s="429">
        <f>O10*(1+'DCF Base Drivers'!G18)</f>
        <v>374487.25894272013</v>
      </c>
    </row>
    <row r="11" spans="2:16" x14ac:dyDescent="0.3">
      <c r="B11" s="61"/>
      <c r="C11" s="62" t="s">
        <v>71</v>
      </c>
      <c r="D11" s="61"/>
      <c r="E11" s="61"/>
      <c r="F11" s="61"/>
      <c r="G11" s="61"/>
      <c r="H11" s="430">
        <f>'03 Segments'!C8</f>
        <v>31510</v>
      </c>
      <c r="I11" s="430">
        <f>'03 Segments'!D8</f>
        <v>36147</v>
      </c>
      <c r="J11" s="430">
        <f>'03 Segments'!E8</f>
        <v>40367</v>
      </c>
      <c r="K11" s="430">
        <f>'03 Segments'!E8+'03 Segments'!G8+'03 Segments'!I8-'03 Segments'!F8-'03 Segments'!H8</f>
        <v>42582</v>
      </c>
      <c r="L11" s="431">
        <f>J11*(1+'DCF Base Drivers'!C19)</f>
        <v>45412.875</v>
      </c>
      <c r="M11" s="431">
        <f>L11*(1+'DCF Base Drivers'!D19)</f>
        <v>50635.355624999997</v>
      </c>
      <c r="N11" s="431">
        <f>M11*(1+'DCF Base Drivers'!E19)</f>
        <v>55952.067965624992</v>
      </c>
      <c r="O11" s="431">
        <f>N11*(1+'DCF Base Drivers'!F19)</f>
        <v>61547.274762187495</v>
      </c>
      <c r="P11" s="431">
        <f>O11*(1+'DCF Base Drivers'!G19)</f>
        <v>67394.265864595305</v>
      </c>
    </row>
    <row r="12" spans="2:16" x14ac:dyDescent="0.3">
      <c r="B12" s="61"/>
      <c r="C12" s="62" t="s">
        <v>72</v>
      </c>
      <c r="D12" s="61"/>
      <c r="E12" s="61"/>
      <c r="F12" s="61"/>
      <c r="G12" s="61"/>
      <c r="H12" s="430">
        <f>'03 Segments'!C9</f>
        <v>31312</v>
      </c>
      <c r="I12" s="430">
        <f>'03 Segments'!D9</f>
        <v>30359</v>
      </c>
      <c r="J12" s="430">
        <f>'03 Segments'!E9</f>
        <v>29792</v>
      </c>
      <c r="K12" s="430">
        <f>'03 Segments'!E9+'03 Segments'!G9+'03 Segments'!I9-'03 Segments'!F9-'03 Segments'!H9</f>
        <v>29456</v>
      </c>
      <c r="L12" s="431">
        <f>J12*(1+'DCF Base Drivers'!C20)</f>
        <v>29196.16</v>
      </c>
      <c r="M12" s="431">
        <f>L12*(1+'DCF Base Drivers'!D20)</f>
        <v>28612.236799999999</v>
      </c>
      <c r="N12" s="431">
        <f>M12*(1+'DCF Base Drivers'!E20)</f>
        <v>28039.992063999998</v>
      </c>
      <c r="O12" s="431">
        <f>N12*(1+'DCF Base Drivers'!F20)</f>
        <v>27479.192222719998</v>
      </c>
      <c r="P12" s="431">
        <f>O12*(1+'DCF Base Drivers'!G20)</f>
        <v>26929.608378265599</v>
      </c>
    </row>
    <row r="13" spans="2:16" x14ac:dyDescent="0.3">
      <c r="B13" s="61"/>
      <c r="C13" s="62" t="s">
        <v>74</v>
      </c>
      <c r="D13" s="61"/>
      <c r="E13" s="61"/>
      <c r="F13" s="61"/>
      <c r="G13" s="61"/>
      <c r="H13" s="430">
        <f>'03 Segments'!C11</f>
        <v>34688</v>
      </c>
      <c r="I13" s="430">
        <f>'03 Segments'!D11</f>
        <v>40340</v>
      </c>
      <c r="J13" s="430">
        <f>'03 Segments'!E11</f>
        <v>48030</v>
      </c>
      <c r="K13" s="430">
        <f>'03 Segments'!E11+'03 Segments'!G11+'03 Segments'!I11-'03 Segments'!F11-'03 Segments'!H11</f>
        <v>51743</v>
      </c>
      <c r="L13" s="431">
        <f>J13*(1+'DCF Base Drivers'!C21)</f>
        <v>55714.799999999996</v>
      </c>
      <c r="M13" s="431">
        <f>L13*(1+'DCF Base Drivers'!D21)</f>
        <v>63793.445999999996</v>
      </c>
      <c r="N13" s="431">
        <f>M13*(1+'DCF Base Drivers'!E21)</f>
        <v>72086.593979999991</v>
      </c>
      <c r="O13" s="431">
        <f>N13*(1+'DCF Base Drivers'!F21)</f>
        <v>80736.985257599998</v>
      </c>
      <c r="P13" s="431">
        <f>O13*(1+'DCF Base Drivers'!G21)</f>
        <v>89618.053635936012</v>
      </c>
    </row>
    <row r="14" spans="2:16" x14ac:dyDescent="0.3">
      <c r="B14" s="61"/>
      <c r="C14" s="62" t="s">
        <v>76</v>
      </c>
      <c r="D14" s="61"/>
      <c r="E14" s="61"/>
      <c r="F14" s="61"/>
      <c r="G14" s="61"/>
      <c r="H14" s="430">
        <f>'03 Segments'!C13</f>
        <v>33088</v>
      </c>
      <c r="I14" s="430">
        <f>'03 Segments'!D13</f>
        <v>43229</v>
      </c>
      <c r="J14" s="430">
        <f>'03 Segments'!E13</f>
        <v>58705</v>
      </c>
      <c r="K14" s="430">
        <f>'03 Segments'!E13+'03 Segments'!G13+'03 Segments'!I13-'03 Segments'!F13-'03 Segments'!H13</f>
        <v>77617</v>
      </c>
      <c r="L14" s="431">
        <f>J14*(1+'DCF Base Drivers'!C22)</f>
        <v>99798.5</v>
      </c>
      <c r="M14" s="431">
        <f>L14-L75*'DCF Base Drivers'!D24</f>
        <v>160062.10215499997</v>
      </c>
      <c r="N14" s="431">
        <f>M14-M75*'DCF Base Drivers'!E24</f>
        <v>237222.03954549195</v>
      </c>
      <c r="O14" s="431">
        <f>N14-N75*'DCF Base Drivers'!F24</f>
        <v>316386.89553208492</v>
      </c>
      <c r="P14" s="431">
        <f>O14-O75*'DCF Base Drivers'!G24</f>
        <v>394020.13751851529</v>
      </c>
    </row>
    <row r="15" spans="2:16" x14ac:dyDescent="0.3">
      <c r="B15" s="61"/>
      <c r="C15" s="62" t="s">
        <v>77</v>
      </c>
      <c r="D15" s="61"/>
      <c r="E15" s="61"/>
      <c r="F15" s="61"/>
      <c r="G15" s="61"/>
      <c r="H15" s="430">
        <f>'03 Segments'!C14</f>
        <v>1527</v>
      </c>
      <c r="I15" s="430">
        <f>'03 Segments'!D14</f>
        <v>1648</v>
      </c>
      <c r="J15" s="430">
        <f>'03 Segments'!E14</f>
        <v>1537</v>
      </c>
      <c r="K15" s="430">
        <f>'03 Segments'!E14+'03 Segments'!G14+'03 Segments'!I14-'03 Segments'!F14-'03 Segments'!H14</f>
        <v>1507</v>
      </c>
      <c r="L15" s="431">
        <f>J15*(1+'DCF Base Drivers'!C23)</f>
        <v>1613.8500000000001</v>
      </c>
      <c r="M15" s="431">
        <f>L15*(1+'DCF Base Drivers'!D23)</f>
        <v>1694.5425000000002</v>
      </c>
      <c r="N15" s="431">
        <f>M15*(1+'DCF Base Drivers'!E23)</f>
        <v>1779.2696250000004</v>
      </c>
      <c r="O15" s="431">
        <f>N15*(1+'DCF Base Drivers'!F23)</f>
        <v>1868.2331062500004</v>
      </c>
      <c r="P15" s="431">
        <f>O15*(1+'DCF Base Drivers'!G23)</f>
        <v>1961.6447615625007</v>
      </c>
    </row>
    <row r="16" spans="2:16" x14ac:dyDescent="0.3">
      <c r="B16" s="58"/>
      <c r="C16" s="59" t="s">
        <v>78</v>
      </c>
      <c r="D16" s="58"/>
      <c r="E16" s="58"/>
      <c r="F16" s="58"/>
      <c r="G16" s="58"/>
      <c r="H16" s="432">
        <f>'03 Segments'!C15</f>
        <v>236</v>
      </c>
      <c r="I16" s="432">
        <f>'03 Segments'!D15</f>
        <v>211</v>
      </c>
      <c r="J16" s="432">
        <f>'03 Segments'!E15</f>
        <v>-127</v>
      </c>
      <c r="K16" s="432">
        <f>'03 Segments'!E15+'03 Segments'!G15+'03 Segments'!I15-'03 Segments'!F15-'03 Segments'!H15</f>
        <v>-349</v>
      </c>
      <c r="L16" s="433">
        <f>'15 Assumptions'!$C$24</f>
        <v>0</v>
      </c>
      <c r="M16" s="433">
        <f>'15 Assumptions'!$C$24</f>
        <v>0</v>
      </c>
      <c r="N16" s="433">
        <f>'15 Assumptions'!$C$24</f>
        <v>0</v>
      </c>
      <c r="O16" s="433">
        <f>'15 Assumptions'!$C$24</f>
        <v>0</v>
      </c>
      <c r="P16" s="433">
        <f>'15 Assumptions'!$C$24</f>
        <v>0</v>
      </c>
    </row>
    <row r="17" spans="2:16" x14ac:dyDescent="0.3">
      <c r="C17" s="18"/>
      <c r="H17" s="38"/>
      <c r="I17" s="38"/>
      <c r="J17" s="38"/>
      <c r="K17" s="38"/>
      <c r="L17" s="67"/>
      <c r="M17" s="67"/>
      <c r="N17" s="67"/>
      <c r="O17" s="67"/>
      <c r="P17" s="67"/>
    </row>
    <row r="18" spans="2:16" x14ac:dyDescent="0.3">
      <c r="C18" s="54" t="s">
        <v>79</v>
      </c>
      <c r="D18" s="55"/>
      <c r="E18" s="55"/>
      <c r="F18" s="55"/>
      <c r="G18" s="55"/>
      <c r="H18" s="434">
        <f t="shared" ref="H18:P18" si="0">SUM(H10:H16)</f>
        <v>307394</v>
      </c>
      <c r="I18" s="434">
        <f t="shared" si="0"/>
        <v>350018</v>
      </c>
      <c r="J18" s="434">
        <f t="shared" si="0"/>
        <v>402836</v>
      </c>
      <c r="K18" s="434">
        <f t="shared" si="0"/>
        <v>445866</v>
      </c>
      <c r="L18" s="273">
        <f t="shared" si="0"/>
        <v>489947.98499999993</v>
      </c>
      <c r="M18" s="273">
        <f t="shared" si="0"/>
        <v>593994.89907999989</v>
      </c>
      <c r="N18" s="273">
        <f t="shared" si="0"/>
        <v>713196.90078011691</v>
      </c>
      <c r="O18" s="273">
        <f t="shared" si="0"/>
        <v>834766.04286484257</v>
      </c>
      <c r="P18" s="273">
        <f t="shared" si="0"/>
        <v>954410.96910159488</v>
      </c>
    </row>
    <row r="19" spans="2:16" x14ac:dyDescent="0.3">
      <c r="C19" s="18" t="s">
        <v>84</v>
      </c>
      <c r="H19" s="37"/>
      <c r="I19" s="376">
        <f>I18/H18-1</f>
        <v>0.13866243322901561</v>
      </c>
      <c r="J19" s="376">
        <f>J18/I18-1</f>
        <v>0.15090081081544371</v>
      </c>
      <c r="K19" s="37"/>
      <c r="L19" s="435">
        <f>L18/J18-1</f>
        <v>0.2162467728802786</v>
      </c>
      <c r="M19" s="435">
        <f>M18/L18-1</f>
        <v>0.21236318398166287</v>
      </c>
      <c r="N19" s="435">
        <f>N18/M18-1</f>
        <v>0.20067849384690217</v>
      </c>
      <c r="O19" s="435">
        <f>O18/N18-1</f>
        <v>0.17045663259578037</v>
      </c>
      <c r="P19" s="435">
        <f>P18/O18-1</f>
        <v>0.14332749548141854</v>
      </c>
    </row>
    <row r="22" spans="2:16" ht="18" customHeight="1" x14ac:dyDescent="0.3">
      <c r="B22" s="16" t="s">
        <v>1018</v>
      </c>
      <c r="C22" s="16"/>
      <c r="D22" s="16"/>
      <c r="E22" s="16"/>
      <c r="F22" s="16"/>
      <c r="G22" s="16"/>
      <c r="H22" s="16"/>
      <c r="I22" s="16"/>
      <c r="J22" s="16"/>
      <c r="K22" s="16"/>
      <c r="L22" s="16"/>
      <c r="M22" s="16"/>
      <c r="N22" s="16"/>
      <c r="O22" s="16"/>
      <c r="P22" s="16"/>
    </row>
    <row r="23" spans="2:16" x14ac:dyDescent="0.3">
      <c r="C23" s="18" t="s">
        <v>13</v>
      </c>
      <c r="H23" s="274">
        <f t="shared" ref="H23:P23" si="1">H18</f>
        <v>307394</v>
      </c>
      <c r="I23" s="274">
        <f t="shared" si="1"/>
        <v>350018</v>
      </c>
      <c r="J23" s="274">
        <f t="shared" si="1"/>
        <v>402836</v>
      </c>
      <c r="K23" s="274">
        <f t="shared" si="1"/>
        <v>445866</v>
      </c>
      <c r="L23" s="436">
        <f t="shared" si="1"/>
        <v>489947.98499999993</v>
      </c>
      <c r="M23" s="436">
        <f t="shared" si="1"/>
        <v>593994.89907999989</v>
      </c>
      <c r="N23" s="436">
        <f t="shared" si="1"/>
        <v>713196.90078011691</v>
      </c>
      <c r="O23" s="436">
        <f t="shared" si="1"/>
        <v>834766.04286484257</v>
      </c>
      <c r="P23" s="436">
        <f t="shared" si="1"/>
        <v>954410.96910159488</v>
      </c>
    </row>
    <row r="24" spans="2:16" x14ac:dyDescent="0.3">
      <c r="C24" s="54" t="s">
        <v>20</v>
      </c>
      <c r="D24" s="55"/>
      <c r="E24" s="55"/>
      <c r="F24" s="55"/>
      <c r="G24" s="55"/>
      <c r="H24" s="437">
        <f>'01 Income Statement'!C12</f>
        <v>84293</v>
      </c>
      <c r="I24" s="437">
        <f>'01 Income Statement'!D12</f>
        <v>112390</v>
      </c>
      <c r="J24" s="437">
        <f>'01 Income Statement'!E12</f>
        <v>129039</v>
      </c>
      <c r="K24" s="437">
        <f>'01 Income Statement'!G12</f>
        <v>147628</v>
      </c>
      <c r="L24" s="438">
        <f>L23*'DCF Base Drivers'!C25-L26</f>
        <v>171642.66036034166</v>
      </c>
      <c r="M24" s="438">
        <f>M23*'DCF Base Drivers'!D25-M26</f>
        <v>199232.4853813044</v>
      </c>
      <c r="N24" s="438">
        <f>N23*'DCF Base Drivers'!E25-N26</f>
        <v>224357.14998307958</v>
      </c>
      <c r="O24" s="438">
        <f>O23*'DCF Base Drivers'!F25-O26</f>
        <v>248267.23585381839</v>
      </c>
      <c r="P24" s="438">
        <f>P23*'DCF Base Drivers'!G25-P26</f>
        <v>272632.85160756833</v>
      </c>
    </row>
    <row r="25" spans="2:16" x14ac:dyDescent="0.3">
      <c r="B25" s="56"/>
      <c r="C25" s="57" t="s">
        <v>1405</v>
      </c>
      <c r="D25" s="56"/>
      <c r="E25" s="56"/>
      <c r="F25" s="56"/>
      <c r="G25" s="56"/>
      <c r="H25" s="439">
        <f t="shared" ref="H25:P25" si="2">H24/H23</f>
        <v>0.27421810445226646</v>
      </c>
      <c r="I25" s="439">
        <f t="shared" si="2"/>
        <v>0.32109777211457696</v>
      </c>
      <c r="J25" s="439">
        <f t="shared" si="2"/>
        <v>0.32032638592380025</v>
      </c>
      <c r="K25" s="439">
        <f t="shared" si="2"/>
        <v>0.33110396397123798</v>
      </c>
      <c r="L25" s="440">
        <f t="shared" si="2"/>
        <v>0.35032833201741137</v>
      </c>
      <c r="M25" s="440">
        <f t="shared" si="2"/>
        <v>0.33541110485945697</v>
      </c>
      <c r="N25" s="440">
        <f t="shared" si="2"/>
        <v>0.31457953580234399</v>
      </c>
      <c r="O25" s="440">
        <f t="shared" si="2"/>
        <v>0.29740936155211511</v>
      </c>
      <c r="P25" s="440">
        <f t="shared" si="2"/>
        <v>0.28565561423105057</v>
      </c>
    </row>
    <row r="26" spans="2:16" ht="14.4" customHeight="1" x14ac:dyDescent="0.3">
      <c r="C26" s="54" t="s">
        <v>1404</v>
      </c>
      <c r="L26" s="273">
        <f>L64-L23*($K$64/$K$23)</f>
        <v>1308.9783446582915</v>
      </c>
      <c r="M26" s="273">
        <f>M64-M23*($K$64/$K$23)</f>
        <v>13417.68848933556</v>
      </c>
      <c r="N26" s="273">
        <f>N64-N23*($K$64/$K$23)</f>
        <v>34533.325000102828</v>
      </c>
      <c r="O26" s="273">
        <f>O64-O23*($K$64/$K$23)</f>
        <v>58926.667920443673</v>
      </c>
      <c r="P26" s="273">
        <f>P64-P23*($K$64/$K$23)</f>
        <v>83362.439867326611</v>
      </c>
    </row>
    <row r="27" spans="2:16" x14ac:dyDescent="0.3">
      <c r="C27" s="18" t="s">
        <v>1019</v>
      </c>
      <c r="H27" s="274">
        <f>H29-H28</f>
        <v>1032</v>
      </c>
      <c r="I27" s="274">
        <f>I29-I28</f>
        <v>3711</v>
      </c>
      <c r="J27" s="274">
        <f>J29-J28</f>
        <v>5707</v>
      </c>
      <c r="K27" s="274">
        <f>K29-K28</f>
        <v>2659</v>
      </c>
      <c r="L27" s="429">
        <f>'15 Assumptions'!C46</f>
        <v>3000</v>
      </c>
      <c r="M27" s="429">
        <f>'15 Assumptions'!D46</f>
        <v>3200</v>
      </c>
      <c r="N27" s="429">
        <f>'15 Assumptions'!E46</f>
        <v>3400</v>
      </c>
      <c r="O27" s="429">
        <f>'15 Assumptions'!F46</f>
        <v>3600</v>
      </c>
      <c r="P27" s="429">
        <f>'15 Assumptions'!G46</f>
        <v>3800</v>
      </c>
    </row>
    <row r="28" spans="2:16" x14ac:dyDescent="0.3">
      <c r="B28" s="61"/>
      <c r="C28" s="62" t="s">
        <v>1020</v>
      </c>
      <c r="D28" s="61"/>
      <c r="E28" s="61"/>
      <c r="F28" s="61"/>
      <c r="G28" s="61"/>
      <c r="H28" s="430">
        <f>'06 Core EPS Bridge'!C7</f>
        <v>392</v>
      </c>
      <c r="I28" s="430">
        <f>'06 Core EPS Bridge'!D7</f>
        <v>3714</v>
      </c>
      <c r="J28" s="430">
        <f>'06 Core EPS Bridge'!E7</f>
        <v>24080</v>
      </c>
      <c r="K28" s="430">
        <f>'06 Core EPS Bridge'!E7+'06 Core EPS Bridge'!G7+'06 Core EPS Bridge'!I7-'06 Core EPS Bridge'!F7-'06 Core EPS Bridge'!H7</f>
        <v>148982</v>
      </c>
      <c r="L28" s="431">
        <f>'15 Assumptions'!C47</f>
        <v>135946</v>
      </c>
      <c r="M28" s="431">
        <f>'15 Assumptions'!D47</f>
        <v>0</v>
      </c>
      <c r="N28" s="431">
        <f>'15 Assumptions'!E47</f>
        <v>0</v>
      </c>
      <c r="O28" s="431">
        <f>'15 Assumptions'!F47</f>
        <v>0</v>
      </c>
      <c r="P28" s="431">
        <f>'15 Assumptions'!G47</f>
        <v>0</v>
      </c>
    </row>
    <row r="29" spans="2:16" x14ac:dyDescent="0.3">
      <c r="B29" s="58"/>
      <c r="C29" s="59" t="s">
        <v>1021</v>
      </c>
      <c r="D29" s="58"/>
      <c r="E29" s="58"/>
      <c r="F29" s="58"/>
      <c r="G29" s="58"/>
      <c r="H29" s="432">
        <f>'01 Income Statement'!C14</f>
        <v>1424</v>
      </c>
      <c r="I29" s="432">
        <f>'01 Income Statement'!D14</f>
        <v>7425</v>
      </c>
      <c r="J29" s="432">
        <f>'01 Income Statement'!E14</f>
        <v>29787</v>
      </c>
      <c r="K29" s="432">
        <f>'01 Income Statement'!G14</f>
        <v>151641</v>
      </c>
      <c r="L29" s="441">
        <f>L27+L28</f>
        <v>138946</v>
      </c>
      <c r="M29" s="441">
        <f>M27+M28</f>
        <v>3200</v>
      </c>
      <c r="N29" s="441">
        <f>N27+N28</f>
        <v>3400</v>
      </c>
      <c r="O29" s="441">
        <f>O27+O28</f>
        <v>3600</v>
      </c>
      <c r="P29" s="441">
        <f>P27+P28</f>
        <v>3800</v>
      </c>
    </row>
    <row r="31" spans="2:16" x14ac:dyDescent="0.3">
      <c r="C31" s="18" t="s">
        <v>1022</v>
      </c>
      <c r="H31" s="274">
        <f t="shared" ref="H31:P31" si="3">H24+H29</f>
        <v>85717</v>
      </c>
      <c r="I31" s="274">
        <f t="shared" si="3"/>
        <v>119815</v>
      </c>
      <c r="J31" s="274">
        <f t="shared" si="3"/>
        <v>158826</v>
      </c>
      <c r="K31" s="274">
        <f t="shared" si="3"/>
        <v>299269</v>
      </c>
      <c r="L31" s="436">
        <f t="shared" si="3"/>
        <v>310588.66036034166</v>
      </c>
      <c r="M31" s="436">
        <f t="shared" si="3"/>
        <v>202432.4853813044</v>
      </c>
      <c r="N31" s="436">
        <f t="shared" si="3"/>
        <v>227757.14998307958</v>
      </c>
      <c r="O31" s="436">
        <f t="shared" si="3"/>
        <v>251867.23585381839</v>
      </c>
      <c r="P31" s="436">
        <f t="shared" si="3"/>
        <v>276432.85160756833</v>
      </c>
    </row>
    <row r="32" spans="2:16" x14ac:dyDescent="0.3">
      <c r="B32" s="58"/>
      <c r="C32" s="59" t="s">
        <v>25</v>
      </c>
      <c r="D32" s="58"/>
      <c r="E32" s="58"/>
      <c r="F32" s="58"/>
      <c r="G32" s="58"/>
      <c r="H32" s="432">
        <f>'01 Income Statement'!C16</f>
        <v>11922</v>
      </c>
      <c r="I32" s="432">
        <f>'01 Income Statement'!D16</f>
        <v>19697</v>
      </c>
      <c r="J32" s="432">
        <f>'01 Income Statement'!E16</f>
        <v>26656</v>
      </c>
      <c r="K32" s="432">
        <f>'01 Income Statement'!G16</f>
        <v>55064</v>
      </c>
      <c r="L32" s="527">
        <f>L44*'15 Assumptions'!$C$10+L28*'15 Assumptions'!$C$85</f>
        <v>56687.103045056931</v>
      </c>
      <c r="M32" s="527">
        <f>M44*'15 Assumptions'!$C$10+M28*'15 Assumptions'!$C$85</f>
        <v>32615.94245425643</v>
      </c>
      <c r="N32" s="527">
        <f>N44*'15 Assumptions'!$C$10+N28*'15 Assumptions'!$C$85</f>
        <v>36696.254968174355</v>
      </c>
      <c r="O32" s="527">
        <f>O44*'15 Assumptions'!$C$10+O28*'15 Assumptions'!$C$85</f>
        <v>40580.874434491612</v>
      </c>
      <c r="P32" s="527">
        <f>P44*'15 Assumptions'!$C$10+P28*'15 Assumptions'!$C$85</f>
        <v>44538.888921486992</v>
      </c>
    </row>
    <row r="33" spans="2:16" x14ac:dyDescent="0.3">
      <c r="C33" s="5" t="s">
        <v>1023</v>
      </c>
      <c r="D33" s="2"/>
      <c r="E33" s="2"/>
      <c r="F33" s="2"/>
      <c r="G33" s="2"/>
      <c r="H33" s="442">
        <f t="shared" ref="H33:P33" si="4">H31-H32</f>
        <v>73795</v>
      </c>
      <c r="I33" s="442">
        <f t="shared" si="4"/>
        <v>100118</v>
      </c>
      <c r="J33" s="442">
        <f t="shared" si="4"/>
        <v>132170</v>
      </c>
      <c r="K33" s="442">
        <f t="shared" si="4"/>
        <v>244205</v>
      </c>
      <c r="L33" s="443">
        <f t="shared" si="4"/>
        <v>253901.55731528474</v>
      </c>
      <c r="M33" s="443">
        <f t="shared" si="4"/>
        <v>169816.54292704797</v>
      </c>
      <c r="N33" s="443">
        <f t="shared" si="4"/>
        <v>191060.89501490523</v>
      </c>
      <c r="O33" s="443">
        <f t="shared" si="4"/>
        <v>211286.36141932677</v>
      </c>
      <c r="P33" s="443">
        <f t="shared" si="4"/>
        <v>231893.96268608133</v>
      </c>
    </row>
    <row r="34" spans="2:16" x14ac:dyDescent="0.3">
      <c r="C34" s="18"/>
      <c r="L34" s="69"/>
      <c r="M34" s="69"/>
      <c r="N34" s="69"/>
      <c r="O34" s="69"/>
      <c r="P34" s="69"/>
    </row>
    <row r="35" spans="2:16" x14ac:dyDescent="0.3">
      <c r="C35" s="18" t="s">
        <v>1024</v>
      </c>
      <c r="H35" s="38"/>
      <c r="I35" s="38"/>
      <c r="J35" s="38"/>
      <c r="K35" s="38"/>
      <c r="L35" s="429">
        <f>'15 Assumptions'!$C$9</f>
        <v>1187.5</v>
      </c>
      <c r="M35" s="429">
        <f>'15 Assumptions'!$C$9</f>
        <v>1187.5</v>
      </c>
      <c r="N35" s="429">
        <f>'15 Assumptions'!$C$9</f>
        <v>1187.5</v>
      </c>
      <c r="O35" s="429">
        <f>'15 Assumptions'!$C$9</f>
        <v>1187.5</v>
      </c>
      <c r="P35" s="429">
        <f>'15 Assumptions'!$C$9</f>
        <v>1187.5</v>
      </c>
    </row>
    <row r="36" spans="2:16" x14ac:dyDescent="0.3">
      <c r="B36" s="61"/>
      <c r="C36" s="62" t="s">
        <v>1025</v>
      </c>
      <c r="D36" s="61"/>
      <c r="E36" s="61"/>
      <c r="F36" s="61"/>
      <c r="G36" s="61"/>
      <c r="H36" s="444">
        <f>H33</f>
        <v>73795</v>
      </c>
      <c r="I36" s="444">
        <f>I33</f>
        <v>100118</v>
      </c>
      <c r="J36" s="444">
        <f>J33</f>
        <v>132170</v>
      </c>
      <c r="K36" s="444">
        <f>K33</f>
        <v>244205</v>
      </c>
      <c r="L36" s="445">
        <f>L33-L35</f>
        <v>252714.05731528474</v>
      </c>
      <c r="M36" s="445">
        <f>M33-M35</f>
        <v>168629.04292704797</v>
      </c>
      <c r="N36" s="445">
        <f>N33-N35</f>
        <v>189873.39501490523</v>
      </c>
      <c r="O36" s="445">
        <f>O33-O35</f>
        <v>210098.86141932677</v>
      </c>
      <c r="P36" s="445">
        <f>P33-P35</f>
        <v>230706.46268608133</v>
      </c>
    </row>
    <row r="37" spans="2:16" x14ac:dyDescent="0.3">
      <c r="B37" s="58"/>
      <c r="C37" s="59" t="s">
        <v>44</v>
      </c>
      <c r="D37" s="58"/>
      <c r="E37" s="58"/>
      <c r="F37" s="58"/>
      <c r="G37" s="58"/>
      <c r="H37" s="432">
        <f>'01 Income Statement'!C20</f>
        <v>12722</v>
      </c>
      <c r="I37" s="432">
        <f>'01 Income Statement'!D20</f>
        <v>12447</v>
      </c>
      <c r="J37" s="432">
        <f>'01 Income Statement'!E20</f>
        <v>12230</v>
      </c>
      <c r="K37" s="432">
        <f>'01 Income Statement'!G20</f>
        <v>12259</v>
      </c>
      <c r="L37" s="433">
        <f>'15 Assumptions'!$C$8+0.25*L71/'15 Assumptions'!$C$7</f>
        <v>12295.577908262134</v>
      </c>
      <c r="M37" s="433">
        <f>L37+M71/'15 Assumptions'!$C$7</f>
        <v>12396.730919644266</v>
      </c>
      <c r="N37" s="433">
        <f>M37+N71/'15 Assumptions'!$C$7</f>
        <v>12513.995156538145</v>
      </c>
      <c r="O37" s="433">
        <f>N37+O71/'15 Assumptions'!$C$7</f>
        <v>12646.345978096915</v>
      </c>
      <c r="P37" s="433">
        <f>O37+P71/'15 Assumptions'!$C$7</f>
        <v>12792.061854644327</v>
      </c>
    </row>
    <row r="38" spans="2:16" ht="15" thickBot="1" x14ac:dyDescent="0.35">
      <c r="C38" s="65" t="s">
        <v>1026</v>
      </c>
      <c r="D38" s="66"/>
      <c r="E38" s="66"/>
      <c r="F38" s="66"/>
      <c r="G38" s="66"/>
      <c r="H38" s="446">
        <f t="shared" ref="H38:P38" si="5">H36/H37</f>
        <v>5.800581669548813</v>
      </c>
      <c r="I38" s="446">
        <f t="shared" si="5"/>
        <v>8.0435446292279256</v>
      </c>
      <c r="J38" s="446">
        <f t="shared" si="5"/>
        <v>10.807031888798038</v>
      </c>
      <c r="K38" s="446">
        <f t="shared" si="5"/>
        <v>19.920466595970307</v>
      </c>
      <c r="L38" s="447">
        <f t="shared" si="5"/>
        <v>20.553247614776289</v>
      </c>
      <c r="M38" s="447">
        <f t="shared" si="5"/>
        <v>13.602702520535706</v>
      </c>
      <c r="N38" s="447">
        <f t="shared" si="5"/>
        <v>15.172883850422677</v>
      </c>
      <c r="O38" s="447">
        <f t="shared" si="5"/>
        <v>16.613404518839797</v>
      </c>
      <c r="P38" s="447">
        <f t="shared" si="5"/>
        <v>18.03512719900743</v>
      </c>
    </row>
    <row r="39" spans="2:16" ht="15" thickTop="1" x14ac:dyDescent="0.3"/>
    <row r="41" spans="2:16" ht="18" customHeight="1" x14ac:dyDescent="0.3">
      <c r="B41" s="16" t="s">
        <v>1027</v>
      </c>
      <c r="C41" s="16"/>
      <c r="D41" s="16"/>
      <c r="E41" s="16"/>
      <c r="F41" s="16"/>
      <c r="G41" s="16"/>
      <c r="H41" s="16"/>
      <c r="I41" s="16"/>
      <c r="J41" s="16"/>
      <c r="K41" s="16"/>
      <c r="L41" s="16"/>
      <c r="M41" s="16"/>
      <c r="N41" s="16"/>
      <c r="O41" s="16"/>
      <c r="P41" s="16"/>
    </row>
    <row r="42" spans="2:16" x14ac:dyDescent="0.3">
      <c r="C42" s="18" t="s">
        <v>1022</v>
      </c>
      <c r="H42" s="274">
        <f t="shared" ref="H42:P42" si="6">H31</f>
        <v>85717</v>
      </c>
      <c r="I42" s="274">
        <f t="shared" si="6"/>
        <v>119815</v>
      </c>
      <c r="J42" s="274">
        <f t="shared" si="6"/>
        <v>158826</v>
      </c>
      <c r="K42" s="274">
        <f t="shared" si="6"/>
        <v>299269</v>
      </c>
      <c r="L42" s="436">
        <f t="shared" si="6"/>
        <v>310588.66036034166</v>
      </c>
      <c r="M42" s="436">
        <f t="shared" si="6"/>
        <v>202432.4853813044</v>
      </c>
      <c r="N42" s="436">
        <f t="shared" si="6"/>
        <v>227757.14998307958</v>
      </c>
      <c r="O42" s="436">
        <f t="shared" si="6"/>
        <v>251867.23585381839</v>
      </c>
      <c r="P42" s="436">
        <f t="shared" si="6"/>
        <v>276432.85160756833</v>
      </c>
    </row>
    <row r="43" spans="2:16" x14ac:dyDescent="0.3">
      <c r="B43" s="61"/>
      <c r="C43" s="62" t="s">
        <v>1028</v>
      </c>
      <c r="D43" s="61"/>
      <c r="E43" s="61"/>
      <c r="F43" s="61"/>
      <c r="G43" s="61"/>
      <c r="H43" s="444">
        <f>-H28</f>
        <v>-392</v>
      </c>
      <c r="I43" s="444">
        <f>-I28</f>
        <v>-3714</v>
      </c>
      <c r="J43" s="444">
        <f>-J28</f>
        <v>-24080</v>
      </c>
      <c r="K43" s="430">
        <f>-('06 Core EPS Bridge'!E7+'06 Core EPS Bridge'!G7+'06 Core EPS Bridge'!I7-'06 Core EPS Bridge'!F7-'06 Core EPS Bridge'!H7)</f>
        <v>-148982</v>
      </c>
      <c r="L43" s="445">
        <f>-L28</f>
        <v>-135946</v>
      </c>
      <c r="M43" s="445">
        <f>-M28</f>
        <v>0</v>
      </c>
      <c r="N43" s="445">
        <f>-N28</f>
        <v>0</v>
      </c>
      <c r="O43" s="445">
        <f>-O28</f>
        <v>0</v>
      </c>
      <c r="P43" s="445">
        <f>-P28</f>
        <v>0</v>
      </c>
    </row>
    <row r="44" spans="2:16" x14ac:dyDescent="0.3">
      <c r="B44" s="61"/>
      <c r="C44" s="62" t="s">
        <v>1029</v>
      </c>
      <c r="D44" s="61"/>
      <c r="E44" s="61"/>
      <c r="F44" s="61"/>
      <c r="G44" s="61"/>
      <c r="H44" s="444">
        <f t="shared" ref="H44:P44" si="7">H42+H43</f>
        <v>85325</v>
      </c>
      <c r="I44" s="444">
        <f t="shared" si="7"/>
        <v>116101</v>
      </c>
      <c r="J44" s="444">
        <f t="shared" si="7"/>
        <v>134746</v>
      </c>
      <c r="K44" s="444">
        <f t="shared" si="7"/>
        <v>150287</v>
      </c>
      <c r="L44" s="445">
        <f t="shared" si="7"/>
        <v>174642.66036034166</v>
      </c>
      <c r="M44" s="445">
        <f t="shared" si="7"/>
        <v>202432.4853813044</v>
      </c>
      <c r="N44" s="445">
        <f t="shared" si="7"/>
        <v>227757.14998307958</v>
      </c>
      <c r="O44" s="445">
        <f t="shared" si="7"/>
        <v>251867.23585381839</v>
      </c>
      <c r="P44" s="445">
        <f t="shared" si="7"/>
        <v>276432.85160756833</v>
      </c>
    </row>
    <row r="45" spans="2:16" x14ac:dyDescent="0.3">
      <c r="B45" s="58" t="s">
        <v>2086</v>
      </c>
      <c r="C45" s="59" t="s">
        <v>1030</v>
      </c>
      <c r="D45" s="58"/>
      <c r="E45" s="58"/>
      <c r="F45" s="58"/>
      <c r="G45" s="58"/>
      <c r="H45" s="526">
        <f>H32-H28*'15 Assumptions'!$C$85</f>
        <v>11839.68</v>
      </c>
      <c r="I45" s="526">
        <f>I32-I28*'15 Assumptions'!$C$85</f>
        <v>18917.060000000001</v>
      </c>
      <c r="J45" s="526">
        <f>J32-J28*'15 Assumptions'!$C$85</f>
        <v>21599.200000000001</v>
      </c>
      <c r="K45" s="526">
        <f>K32-K28*'15 Assumptions'!$C$85</f>
        <v>23777.780000000002</v>
      </c>
      <c r="L45" s="433">
        <f>L44*'15 Assumptions'!$C$10</f>
        <v>28138.443045056931</v>
      </c>
      <c r="M45" s="433">
        <f>M44*'15 Assumptions'!$C$10</f>
        <v>32615.94245425643</v>
      </c>
      <c r="N45" s="433">
        <f>N44*'15 Assumptions'!$C$10</f>
        <v>36696.254968174355</v>
      </c>
      <c r="O45" s="433">
        <f>O44*'15 Assumptions'!$C$10</f>
        <v>40580.874434491612</v>
      </c>
      <c r="P45" s="433">
        <f>P44*'15 Assumptions'!$C$10</f>
        <v>44538.888921486992</v>
      </c>
    </row>
    <row r="46" spans="2:16" x14ac:dyDescent="0.3">
      <c r="C46" s="5" t="s">
        <v>1031</v>
      </c>
      <c r="D46" s="2"/>
      <c r="E46" s="2"/>
      <c r="F46" s="2"/>
      <c r="G46" s="2"/>
      <c r="H46" s="442">
        <f t="shared" ref="H46:P46" si="8">H44-H45</f>
        <v>73485.320000000007</v>
      </c>
      <c r="I46" s="442">
        <f t="shared" si="8"/>
        <v>97183.94</v>
      </c>
      <c r="J46" s="442">
        <f t="shared" si="8"/>
        <v>113146.8</v>
      </c>
      <c r="K46" s="442">
        <f t="shared" si="8"/>
        <v>126509.22</v>
      </c>
      <c r="L46" s="443">
        <f t="shared" si="8"/>
        <v>146504.21731528474</v>
      </c>
      <c r="M46" s="443">
        <f t="shared" si="8"/>
        <v>169816.54292704797</v>
      </c>
      <c r="N46" s="443">
        <f t="shared" si="8"/>
        <v>191060.89501490523</v>
      </c>
      <c r="O46" s="443">
        <f t="shared" si="8"/>
        <v>211286.36141932677</v>
      </c>
      <c r="P46" s="443">
        <f t="shared" si="8"/>
        <v>231893.96268608133</v>
      </c>
    </row>
    <row r="47" spans="2:16" x14ac:dyDescent="0.3">
      <c r="B47" s="56"/>
      <c r="C47" s="57" t="s">
        <v>1032</v>
      </c>
      <c r="D47" s="56"/>
      <c r="E47" s="56"/>
      <c r="F47" s="56"/>
      <c r="G47" s="56"/>
      <c r="H47" s="448">
        <f>H46</f>
        <v>73485.320000000007</v>
      </c>
      <c r="I47" s="448">
        <f>I46</f>
        <v>97183.94</v>
      </c>
      <c r="J47" s="448">
        <f>J46</f>
        <v>113146.8</v>
      </c>
      <c r="K47" s="448">
        <f>K46</f>
        <v>126509.22</v>
      </c>
      <c r="L47" s="449">
        <f>L46-L35</f>
        <v>145316.71731528474</v>
      </c>
      <c r="M47" s="449">
        <f>M46-M35</f>
        <v>168629.04292704797</v>
      </c>
      <c r="N47" s="449">
        <f>N46-N35</f>
        <v>189873.39501490523</v>
      </c>
      <c r="O47" s="449">
        <f>O46-O35</f>
        <v>210098.86141932677</v>
      </c>
      <c r="P47" s="449">
        <f>P46-P35</f>
        <v>230706.46268608133</v>
      </c>
    </row>
    <row r="48" spans="2:16" ht="15" thickBot="1" x14ac:dyDescent="0.35">
      <c r="C48" s="65" t="s">
        <v>1033</v>
      </c>
      <c r="D48" s="66"/>
      <c r="E48" s="66"/>
      <c r="F48" s="66"/>
      <c r="G48" s="66"/>
      <c r="H48" s="446">
        <f t="shared" ref="H48:P48" si="9">H47/H37</f>
        <v>5.7762395849709174</v>
      </c>
      <c r="I48" s="446">
        <f t="shared" si="9"/>
        <v>7.8078203583192742</v>
      </c>
      <c r="J48" s="446">
        <f t="shared" si="9"/>
        <v>9.2515780866721187</v>
      </c>
      <c r="K48" s="446">
        <f t="shared" si="9"/>
        <v>10.319701443837181</v>
      </c>
      <c r="L48" s="447">
        <f t="shared" si="9"/>
        <v>11.818616286237164</v>
      </c>
      <c r="M48" s="447">
        <f t="shared" si="9"/>
        <v>13.602702520535706</v>
      </c>
      <c r="N48" s="447">
        <f t="shared" si="9"/>
        <v>15.172883850422677</v>
      </c>
      <c r="O48" s="447">
        <f t="shared" si="9"/>
        <v>16.613404518839797</v>
      </c>
      <c r="P48" s="447">
        <f t="shared" si="9"/>
        <v>18.03512719900743</v>
      </c>
    </row>
    <row r="49" spans="2:16" ht="15" thickTop="1" x14ac:dyDescent="0.3"/>
    <row r="51" spans="2:16" ht="18" customHeight="1" x14ac:dyDescent="0.3">
      <c r="B51" s="16" t="s">
        <v>1034</v>
      </c>
      <c r="C51" s="16"/>
      <c r="D51" s="16"/>
      <c r="E51" s="16"/>
      <c r="F51" s="16"/>
      <c r="G51" s="16"/>
      <c r="H51" s="16"/>
      <c r="I51" s="16"/>
      <c r="J51" s="16"/>
      <c r="K51" s="16"/>
      <c r="L51" s="16"/>
      <c r="M51" s="16"/>
      <c r="N51" s="16"/>
      <c r="O51" s="16"/>
      <c r="P51" s="16"/>
    </row>
    <row r="52" spans="2:16" x14ac:dyDescent="0.3">
      <c r="C52" s="18" t="s">
        <v>2043</v>
      </c>
      <c r="L52" s="450">
        <f>'DCF Base Drivers'!$C$29</f>
        <v>8.3333333333333339</v>
      </c>
      <c r="M52" s="69"/>
      <c r="N52" s="69"/>
      <c r="O52" s="69"/>
      <c r="P52" s="69"/>
    </row>
    <row r="53" spans="2:16" x14ac:dyDescent="0.3">
      <c r="B53" s="61"/>
      <c r="C53" s="62" t="s">
        <v>1035</v>
      </c>
      <c r="D53" s="61"/>
      <c r="E53" s="61"/>
      <c r="F53" s="61"/>
      <c r="G53" s="61"/>
      <c r="H53" s="61"/>
      <c r="I53" s="61"/>
      <c r="J53" s="61"/>
      <c r="K53" s="61"/>
      <c r="L53" s="451">
        <f>'DCF Base Drivers'!$C$28</f>
        <v>0.6</v>
      </c>
      <c r="M53" s="70"/>
      <c r="N53" s="70"/>
      <c r="O53" s="70"/>
      <c r="P53" s="70"/>
    </row>
    <row r="54" spans="2:16" x14ac:dyDescent="0.3">
      <c r="B54" s="61"/>
      <c r="C54" s="62"/>
      <c r="D54" s="61"/>
      <c r="E54" s="61"/>
      <c r="F54" s="61"/>
      <c r="G54" s="61"/>
      <c r="H54" s="61"/>
      <c r="I54" s="61"/>
      <c r="J54" s="61"/>
      <c r="K54" s="61"/>
      <c r="L54" s="70"/>
      <c r="M54" s="70"/>
      <c r="N54" s="70"/>
      <c r="O54" s="70"/>
      <c r="P54" s="70"/>
    </row>
    <row r="55" spans="2:16" x14ac:dyDescent="0.3">
      <c r="B55" s="61"/>
      <c r="C55" s="62" t="s">
        <v>1036</v>
      </c>
      <c r="D55" s="61"/>
      <c r="E55" s="61"/>
      <c r="F55" s="61"/>
      <c r="G55" s="61"/>
      <c r="H55" s="63"/>
      <c r="I55" s="63"/>
      <c r="J55" s="63"/>
      <c r="K55" s="63"/>
      <c r="L55" s="431">
        <f>'15 Assumptions'!$C$48</f>
        <v>27172</v>
      </c>
      <c r="M55" s="431">
        <f>'15 Assumptions'!$C$48</f>
        <v>27172</v>
      </c>
      <c r="N55" s="431">
        <f>'15 Assumptions'!$C$48</f>
        <v>27172</v>
      </c>
      <c r="O55" s="431">
        <f>'15 Assumptions'!$C$48</f>
        <v>27172</v>
      </c>
      <c r="P55" s="431">
        <f>'15 Assumptions'!$C$48</f>
        <v>27172</v>
      </c>
    </row>
    <row r="56" spans="2:16" x14ac:dyDescent="0.3">
      <c r="B56" s="61"/>
      <c r="C56" s="62" t="s">
        <v>2044</v>
      </c>
      <c r="D56" s="61"/>
      <c r="E56" s="61"/>
      <c r="F56" s="61"/>
      <c r="G56" s="61"/>
      <c r="H56" s="63"/>
      <c r="I56" s="63"/>
      <c r="J56" s="63"/>
      <c r="K56" s="63"/>
      <c r="L56" s="431">
        <f>'15 Assumptions'!$C$42*-L75</f>
        <v>180790.80646499997</v>
      </c>
      <c r="M56" s="431">
        <f>'15 Assumptions'!$C$42*-M75</f>
        <v>231479.81217147596</v>
      </c>
      <c r="N56" s="431">
        <f>'15 Assumptions'!$C$42*-N75</f>
        <v>237494.56795977891</v>
      </c>
      <c r="O56" s="431">
        <f>'15 Assumptions'!$C$42*-O75</f>
        <v>232899.7259592911</v>
      </c>
      <c r="P56" s="431">
        <f>'15 Assumptions'!$C$42*-P75</f>
        <v>214742.46804785886</v>
      </c>
    </row>
    <row r="57" spans="2:16" x14ac:dyDescent="0.3">
      <c r="B57" s="61"/>
      <c r="C57" s="62" t="s">
        <v>2045</v>
      </c>
      <c r="D57" s="61"/>
      <c r="E57" s="61"/>
      <c r="F57" s="61"/>
      <c r="G57" s="61"/>
      <c r="H57" s="63"/>
      <c r="I57" s="63"/>
      <c r="J57" s="63"/>
      <c r="K57" s="63"/>
      <c r="L57" s="431">
        <f>L56-'15 Assumptions'!$C$36</f>
        <v>57976.806464999972</v>
      </c>
      <c r="M57" s="445">
        <f>M56-L56</f>
        <v>50689.005706475989</v>
      </c>
      <c r="N57" s="445">
        <f>N56-M56</f>
        <v>6014.7557883029513</v>
      </c>
      <c r="O57" s="445">
        <f>O56-N56</f>
        <v>-4594.8420004878135</v>
      </c>
      <c r="P57" s="445">
        <f>P56-O56</f>
        <v>-18157.257911432243</v>
      </c>
    </row>
    <row r="58" spans="2:16" x14ac:dyDescent="0.3">
      <c r="B58" s="61"/>
      <c r="C58" s="62" t="s">
        <v>2046</v>
      </c>
      <c r="D58" s="61"/>
      <c r="E58" s="61"/>
      <c r="F58" s="61"/>
      <c r="G58" s="61"/>
      <c r="H58" s="63"/>
      <c r="I58" s="63"/>
      <c r="J58" s="63"/>
      <c r="K58" s="63"/>
      <c r="L58" s="445">
        <v>0</v>
      </c>
      <c r="M58" s="445">
        <v>0</v>
      </c>
      <c r="N58" s="445">
        <v>0</v>
      </c>
      <c r="O58" s="445">
        <v>0</v>
      </c>
      <c r="P58" s="445">
        <v>0</v>
      </c>
    </row>
    <row r="59" spans="2:16" x14ac:dyDescent="0.3">
      <c r="B59" s="61"/>
      <c r="C59" s="62"/>
      <c r="D59" s="61"/>
      <c r="E59" s="61"/>
      <c r="F59" s="61"/>
      <c r="G59" s="61"/>
      <c r="H59" s="63"/>
      <c r="I59" s="63"/>
      <c r="J59" s="63"/>
      <c r="K59" s="63"/>
      <c r="L59" s="68"/>
      <c r="M59" s="68"/>
      <c r="N59" s="68"/>
      <c r="O59" s="68"/>
      <c r="P59" s="68"/>
    </row>
    <row r="60" spans="2:16" x14ac:dyDescent="0.3">
      <c r="B60" s="61"/>
      <c r="C60" s="62" t="s">
        <v>2047</v>
      </c>
      <c r="D60" s="61"/>
      <c r="E60" s="61"/>
      <c r="F60" s="61"/>
      <c r="G60" s="61"/>
      <c r="H60" s="63"/>
      <c r="I60" s="63"/>
      <c r="J60" s="63"/>
      <c r="K60" s="63"/>
      <c r="L60" s="445">
        <f>-L75-'15 Assumptions'!$C$56-L57</f>
        <v>62303.86738499999</v>
      </c>
      <c r="M60" s="445">
        <f>-M75-M57</f>
        <v>206510.78559516396</v>
      </c>
      <c r="N60" s="445">
        <f>-N75-N57</f>
        <v>257868.09750034029</v>
      </c>
      <c r="O60" s="445">
        <f>-O75-O57</f>
        <v>263372.31528858899</v>
      </c>
      <c r="P60" s="445">
        <f>-P75-P57</f>
        <v>256760.00018683096</v>
      </c>
    </row>
    <row r="61" spans="2:16" x14ac:dyDescent="0.3">
      <c r="B61" s="61"/>
      <c r="C61" s="62" t="s">
        <v>2048</v>
      </c>
      <c r="D61" s="61"/>
      <c r="E61" s="61"/>
      <c r="F61" s="61"/>
      <c r="G61" s="61"/>
      <c r="H61" s="63"/>
      <c r="I61" s="63"/>
      <c r="J61" s="63"/>
      <c r="K61" s="63"/>
      <c r="L61" s="445">
        <f>L60</f>
        <v>62303.86738499999</v>
      </c>
      <c r="M61" s="445">
        <f>L61+M60</f>
        <v>268814.65298016393</v>
      </c>
      <c r="N61" s="445">
        <f>M61+N60</f>
        <v>526682.75048050424</v>
      </c>
      <c r="O61" s="445">
        <f>N61+O60</f>
        <v>790055.06576909323</v>
      </c>
      <c r="P61" s="445">
        <f>O61+P60</f>
        <v>1046815.0659559242</v>
      </c>
    </row>
    <row r="62" spans="2:16" x14ac:dyDescent="0.3">
      <c r="B62" s="58"/>
      <c r="C62" s="59" t="s">
        <v>2049</v>
      </c>
      <c r="D62" s="58"/>
      <c r="E62" s="58"/>
      <c r="F62" s="58"/>
      <c r="G62" s="58"/>
      <c r="H62" s="60"/>
      <c r="I62" s="60"/>
      <c r="J62" s="60"/>
      <c r="K62" s="60"/>
      <c r="L62" s="433">
        <f>L60*'15 Assumptions'!$C$58/'DCF Base Drivers'!$C$29</f>
        <v>1869.1160215499997</v>
      </c>
      <c r="M62" s="433">
        <f>(L61+M60/2)/'DCF Base Drivers'!$C$29</f>
        <v>19867.111221909832</v>
      </c>
      <c r="N62" s="433">
        <f>(M61+N60/2)/'DCF Base Drivers'!$C$29</f>
        <v>47729.84420764009</v>
      </c>
      <c r="O62" s="433">
        <f>(N61+O60/2)/'DCF Base Drivers'!$C$29</f>
        <v>79004.268974975828</v>
      </c>
      <c r="P62" s="433">
        <f>(O61+P60/2)/'DCF Base Drivers'!$C$29</f>
        <v>110212.20790350104</v>
      </c>
    </row>
    <row r="63" spans="2:16" x14ac:dyDescent="0.3">
      <c r="C63" s="18"/>
      <c r="H63" s="38"/>
      <c r="I63" s="38"/>
      <c r="J63" s="38"/>
      <c r="K63" s="38"/>
      <c r="L63" s="67"/>
      <c r="M63" s="67"/>
      <c r="N63" s="67"/>
      <c r="O63" s="67"/>
      <c r="P63" s="67"/>
    </row>
    <row r="64" spans="2:16" x14ac:dyDescent="0.3">
      <c r="C64" s="54" t="s">
        <v>1037</v>
      </c>
      <c r="D64" s="55"/>
      <c r="E64" s="55"/>
      <c r="F64" s="55"/>
      <c r="G64" s="55"/>
      <c r="H64" s="437">
        <f>'09 Cash Flow'!C7</f>
        <v>11946</v>
      </c>
      <c r="I64" s="437">
        <f>'09 Cash Flow'!D7</f>
        <v>15311</v>
      </c>
      <c r="J64" s="437">
        <f>'09 Cash Flow'!E7</f>
        <v>21136</v>
      </c>
      <c r="K64" s="437">
        <f>'09 Cash Flow'!G7</f>
        <v>25237</v>
      </c>
      <c r="L64" s="273">
        <f>L55+L58+L62</f>
        <v>29041.116021549999</v>
      </c>
      <c r="M64" s="273">
        <f>M55+M58+M62</f>
        <v>47039.111221909829</v>
      </c>
      <c r="N64" s="273">
        <f>N55+N58+N62</f>
        <v>74901.844207640097</v>
      </c>
      <c r="O64" s="273">
        <f>O55+O58+O62</f>
        <v>106176.26897497583</v>
      </c>
      <c r="P64" s="273">
        <f>P55+P58+P62</f>
        <v>137384.20790350105</v>
      </c>
    </row>
    <row r="65" spans="2:16" x14ac:dyDescent="0.3">
      <c r="B65" s="56"/>
      <c r="C65" s="57" t="s">
        <v>1038</v>
      </c>
      <c r="D65" s="56"/>
      <c r="E65" s="56"/>
      <c r="F65" s="56"/>
      <c r="G65" s="56"/>
      <c r="H65" s="64"/>
      <c r="I65" s="64"/>
      <c r="J65" s="64"/>
      <c r="K65" s="64"/>
      <c r="L65" s="452">
        <f>L64/'15 Assumptions'!$C$48-1</f>
        <v>6.8788312290225084E-2</v>
      </c>
      <c r="M65" s="452">
        <f>M64/'15 Assumptions'!$C$48-1</f>
        <v>0.73116116671241826</v>
      </c>
      <c r="N65" s="452">
        <f>N64/'15 Assumptions'!$C$48-1</f>
        <v>1.7565819302090424</v>
      </c>
      <c r="O65" s="452">
        <f>O64/'15 Assumptions'!$C$48-1</f>
        <v>2.9075617906291709</v>
      </c>
      <c r="P65" s="452">
        <f>P64/'15 Assumptions'!$C$48-1</f>
        <v>4.0560947999227537</v>
      </c>
    </row>
    <row r="68" spans="2:16" ht="18" customHeight="1" x14ac:dyDescent="0.3">
      <c r="B68" s="16" t="s">
        <v>114</v>
      </c>
      <c r="C68" s="16"/>
      <c r="D68" s="16"/>
      <c r="E68" s="16"/>
      <c r="F68" s="16"/>
      <c r="G68" s="16"/>
      <c r="H68" s="16"/>
      <c r="I68" s="16"/>
      <c r="J68" s="16"/>
      <c r="K68" s="16"/>
      <c r="L68" s="16"/>
      <c r="M68" s="16"/>
      <c r="N68" s="16"/>
      <c r="O68" s="16"/>
      <c r="P68" s="16"/>
    </row>
    <row r="69" spans="2:16" x14ac:dyDescent="0.3">
      <c r="C69" s="18" t="s">
        <v>1039</v>
      </c>
      <c r="H69" s="274">
        <f t="shared" ref="H69:P69" si="10">H33</f>
        <v>73795</v>
      </c>
      <c r="I69" s="274">
        <f t="shared" si="10"/>
        <v>100118</v>
      </c>
      <c r="J69" s="274">
        <f t="shared" si="10"/>
        <v>132170</v>
      </c>
      <c r="K69" s="274">
        <f t="shared" si="10"/>
        <v>244205</v>
      </c>
      <c r="L69" s="436">
        <f t="shared" si="10"/>
        <v>253901.55731528474</v>
      </c>
      <c r="M69" s="436">
        <f t="shared" si="10"/>
        <v>169816.54292704797</v>
      </c>
      <c r="N69" s="436">
        <f t="shared" si="10"/>
        <v>191060.89501490523</v>
      </c>
      <c r="O69" s="436">
        <f t="shared" si="10"/>
        <v>211286.36141932677</v>
      </c>
      <c r="P69" s="436">
        <f t="shared" si="10"/>
        <v>231893.96268608133</v>
      </c>
    </row>
    <row r="70" spans="2:16" x14ac:dyDescent="0.3">
      <c r="B70" s="61"/>
      <c r="C70" s="62" t="s">
        <v>1040</v>
      </c>
      <c r="D70" s="61"/>
      <c r="E70" s="61"/>
      <c r="F70" s="61"/>
      <c r="G70" s="61"/>
      <c r="H70" s="444">
        <f t="shared" ref="H70:P70" si="11">H64</f>
        <v>11946</v>
      </c>
      <c r="I70" s="444">
        <f t="shared" si="11"/>
        <v>15311</v>
      </c>
      <c r="J70" s="444">
        <f t="shared" si="11"/>
        <v>21136</v>
      </c>
      <c r="K70" s="444">
        <f t="shared" si="11"/>
        <v>25237</v>
      </c>
      <c r="L70" s="445">
        <f t="shared" si="11"/>
        <v>29041.116021549999</v>
      </c>
      <c r="M70" s="445">
        <f t="shared" si="11"/>
        <v>47039.111221909829</v>
      </c>
      <c r="N70" s="445">
        <f t="shared" si="11"/>
        <v>74901.844207640097</v>
      </c>
      <c r="O70" s="445">
        <f t="shared" si="11"/>
        <v>106176.26897497583</v>
      </c>
      <c r="P70" s="445">
        <f t="shared" si="11"/>
        <v>137384.20790350105</v>
      </c>
    </row>
    <row r="71" spans="2:16" x14ac:dyDescent="0.3">
      <c r="B71" s="61"/>
      <c r="C71" s="62" t="s">
        <v>1041</v>
      </c>
      <c r="D71" s="61"/>
      <c r="E71" s="61"/>
      <c r="F71" s="61"/>
      <c r="G71" s="61"/>
      <c r="H71" s="430">
        <f>'09 Cash Flow'!C8</f>
        <v>22460</v>
      </c>
      <c r="I71" s="430">
        <f>'09 Cash Flow'!D8</f>
        <v>22785</v>
      </c>
      <c r="J71" s="430">
        <f>'09 Cash Flow'!E8</f>
        <v>24953</v>
      </c>
      <c r="K71" s="430">
        <f>'09 Cash Flow'!G8</f>
        <v>28147</v>
      </c>
      <c r="L71" s="431">
        <f>L23*'15 Assumptions'!C45</f>
        <v>29396.879099999995</v>
      </c>
      <c r="M71" s="431">
        <f>M23*'15 Assumptions'!D45</f>
        <v>34451.704146639997</v>
      </c>
      <c r="N71" s="431">
        <f>N23*'15 Assumptions'!E45</f>
        <v>39939.026443686547</v>
      </c>
      <c r="O71" s="431">
        <f>O23*'15 Assumptions'!F45</f>
        <v>45077.366314701496</v>
      </c>
      <c r="P71" s="431">
        <f>P23*'15 Assumptions'!G45</f>
        <v>49629.37039328293</v>
      </c>
    </row>
    <row r="72" spans="2:16" x14ac:dyDescent="0.3">
      <c r="B72" s="58"/>
      <c r="C72" s="59" t="s">
        <v>1042</v>
      </c>
      <c r="D72" s="58"/>
      <c r="E72" s="58"/>
      <c r="F72" s="58"/>
      <c r="G72" s="58"/>
      <c r="H72" s="453">
        <f>-H28</f>
        <v>-392</v>
      </c>
      <c r="I72" s="453">
        <f>-I28</f>
        <v>-3714</v>
      </c>
      <c r="J72" s="453">
        <f>-J28</f>
        <v>-24080</v>
      </c>
      <c r="K72" s="432">
        <f>-('06 Core EPS Bridge'!E7+'06 Core EPS Bridge'!G7+'06 Core EPS Bridge'!I7-'06 Core EPS Bridge'!F7-'06 Core EPS Bridge'!H7)</f>
        <v>-148982</v>
      </c>
      <c r="L72" s="441">
        <f>-L28</f>
        <v>-135946</v>
      </c>
      <c r="M72" s="441">
        <f>-M28</f>
        <v>0</v>
      </c>
      <c r="N72" s="441">
        <f>-N28</f>
        <v>0</v>
      </c>
      <c r="O72" s="441">
        <f>-O28</f>
        <v>0</v>
      </c>
      <c r="P72" s="441">
        <f>-P28</f>
        <v>0</v>
      </c>
    </row>
    <row r="73" spans="2:16" x14ac:dyDescent="0.3">
      <c r="C73" s="18" t="s">
        <v>1407</v>
      </c>
      <c r="H73" s="274">
        <f>H74-H69-H70-H71-H72</f>
        <v>-6063</v>
      </c>
      <c r="I73" s="274">
        <f>I74-I69-I70-I71-I72</f>
        <v>-9201</v>
      </c>
      <c r="J73" s="274">
        <f>J74-J69-J70-J71-J72</f>
        <v>10534</v>
      </c>
      <c r="K73" s="274">
        <f>K74-K69-K70-K71-K72</f>
        <v>37068</v>
      </c>
      <c r="L73" s="497">
        <f>L23*'15 Assumptions'!$C$57+L28*'15 Assumptions'!$C$85+'15 Assumptions'!$C$59</f>
        <v>23348.66</v>
      </c>
      <c r="M73" s="497">
        <f>M23*'15 Assumptions'!$C$57+M28*'15 Assumptions'!$C$85</f>
        <v>0</v>
      </c>
      <c r="N73" s="497">
        <f>N23*'15 Assumptions'!$C$57+N28*'15 Assumptions'!$C$85</f>
        <v>0</v>
      </c>
      <c r="O73" s="497">
        <f>O23*'15 Assumptions'!$C$57+O28*'15 Assumptions'!$C$85</f>
        <v>0</v>
      </c>
      <c r="P73" s="497">
        <f>P23*'15 Assumptions'!$C$57+P28*'15 Assumptions'!$C$85</f>
        <v>0</v>
      </c>
    </row>
    <row r="74" spans="2:16" x14ac:dyDescent="0.3">
      <c r="C74" s="5" t="s">
        <v>1043</v>
      </c>
      <c r="D74" s="2"/>
      <c r="E74" s="2"/>
      <c r="F74" s="2"/>
      <c r="G74" s="2"/>
      <c r="H74" s="48">
        <f>'09 Cash Flow'!C9</f>
        <v>101746</v>
      </c>
      <c r="I74" s="48">
        <f>'09 Cash Flow'!D9</f>
        <v>125299</v>
      </c>
      <c r="J74" s="48">
        <f>'09 Cash Flow'!E9</f>
        <v>164713</v>
      </c>
      <c r="K74" s="48">
        <f>'09 Cash Flow'!G9</f>
        <v>185675</v>
      </c>
      <c r="L74" s="443">
        <f>SUM(L69:L73)</f>
        <v>199742.21243683479</v>
      </c>
      <c r="M74" s="443">
        <f>SUM(M69:M73)</f>
        <v>251307.35829559781</v>
      </c>
      <c r="N74" s="443">
        <f>SUM(N69:N73)</f>
        <v>305901.76566623186</v>
      </c>
      <c r="O74" s="443">
        <f>SUM(O69:O73)</f>
        <v>362539.9967090041</v>
      </c>
      <c r="P74" s="443">
        <f>SUM(P69:P73)</f>
        <v>418907.54098286532</v>
      </c>
    </row>
    <row r="75" spans="2:16" x14ac:dyDescent="0.3">
      <c r="B75" s="56"/>
      <c r="C75" s="57" t="s">
        <v>1903</v>
      </c>
      <c r="D75" s="56"/>
      <c r="E75" s="56"/>
      <c r="F75" s="56"/>
      <c r="G75" s="56"/>
      <c r="H75" s="454">
        <f>'09 Cash Flow'!C10</f>
        <v>-32251</v>
      </c>
      <c r="I75" s="454">
        <f>'09 Cash Flow'!D10</f>
        <v>-52535</v>
      </c>
      <c r="J75" s="454">
        <f>'09 Cash Flow'!E10</f>
        <v>-91447</v>
      </c>
      <c r="K75" s="454">
        <f>'09 Cash Flow'!G10</f>
        <v>-132402</v>
      </c>
      <c r="L75" s="482">
        <f>-L18*'DCF Base Drivers'!C26</f>
        <v>-200878.67384999996</v>
      </c>
      <c r="M75" s="482">
        <f>-M18*'DCF Base Drivers'!D26</f>
        <v>-257199.79130163995</v>
      </c>
      <c r="N75" s="482">
        <f>-N18*'DCF Base Drivers'!E26</f>
        <v>-263882.85328864324</v>
      </c>
      <c r="O75" s="482">
        <f>-O18*'DCF Base Drivers'!F26</f>
        <v>-258777.4732881012</v>
      </c>
      <c r="P75" s="482">
        <f>-P18*'DCF Base Drivers'!G26</f>
        <v>-238602.74227539872</v>
      </c>
    </row>
    <row r="76" spans="2:16" x14ac:dyDescent="0.3">
      <c r="C76" s="5" t="s">
        <v>114</v>
      </c>
      <c r="D76" s="2"/>
      <c r="E76" s="2"/>
      <c r="F76" s="2"/>
      <c r="G76" s="2"/>
      <c r="H76" s="442">
        <f t="shared" ref="H76:P76" si="12">H74+H75</f>
        <v>69495</v>
      </c>
      <c r="I76" s="442">
        <f t="shared" si="12"/>
        <v>72764</v>
      </c>
      <c r="J76" s="442">
        <f t="shared" si="12"/>
        <v>73266</v>
      </c>
      <c r="K76" s="442">
        <f t="shared" si="12"/>
        <v>53273</v>
      </c>
      <c r="L76" s="443">
        <f t="shared" si="12"/>
        <v>-1136.4614131651761</v>
      </c>
      <c r="M76" s="443">
        <f t="shared" si="12"/>
        <v>-5892.4330060421489</v>
      </c>
      <c r="N76" s="443">
        <f t="shared" si="12"/>
        <v>42018.912377588626</v>
      </c>
      <c r="O76" s="443">
        <f t="shared" si="12"/>
        <v>103762.5234209029</v>
      </c>
      <c r="P76" s="443">
        <f t="shared" si="12"/>
        <v>180304.7987074666</v>
      </c>
    </row>
    <row r="77" spans="2:16" x14ac:dyDescent="0.3">
      <c r="B77" s="56"/>
      <c r="C77" s="57" t="s">
        <v>115</v>
      </c>
      <c r="D77" s="56"/>
      <c r="E77" s="56"/>
      <c r="F77" s="56"/>
      <c r="G77" s="56"/>
      <c r="H77" s="439">
        <f t="shared" ref="H77:P77" si="13">H76/H23</f>
        <v>0.22607793255561268</v>
      </c>
      <c r="I77" s="439">
        <f t="shared" si="13"/>
        <v>0.20788645155392008</v>
      </c>
      <c r="J77" s="439">
        <f t="shared" si="13"/>
        <v>0.18187550268595656</v>
      </c>
      <c r="K77" s="439">
        <f t="shared" si="13"/>
        <v>0.11948208654618203</v>
      </c>
      <c r="L77" s="440">
        <f t="shared" si="13"/>
        <v>-2.3195552343483485E-3</v>
      </c>
      <c r="M77" s="440">
        <f t="shared" si="13"/>
        <v>-9.9200060727264762E-3</v>
      </c>
      <c r="N77" s="440">
        <f t="shared" si="13"/>
        <v>5.8916285715245029E-2</v>
      </c>
      <c r="O77" s="440">
        <f t="shared" si="13"/>
        <v>0.12430132287700536</v>
      </c>
      <c r="P77" s="440">
        <f t="shared" si="13"/>
        <v>0.18891735797755019</v>
      </c>
    </row>
    <row r="80" spans="2:16" ht="18" customHeight="1" x14ac:dyDescent="0.3">
      <c r="B80" s="16" t="s">
        <v>1044</v>
      </c>
      <c r="C80" s="16"/>
      <c r="D80" s="16"/>
      <c r="E80" s="16"/>
      <c r="F80" s="16"/>
      <c r="G80" s="16"/>
      <c r="H80" s="16"/>
      <c r="I80" s="16"/>
      <c r="J80" s="16"/>
      <c r="K80" s="16"/>
      <c r="L80" s="16"/>
      <c r="M80" s="16"/>
      <c r="N80" s="16"/>
      <c r="O80" s="16"/>
      <c r="P80" s="16"/>
    </row>
    <row r="81" spans="2:21" x14ac:dyDescent="0.3">
      <c r="C81" s="18" t="s">
        <v>194</v>
      </c>
      <c r="H81" s="291">
        <f>'11 Valuation'!C43</f>
        <v>138.46</v>
      </c>
      <c r="I81" s="291">
        <f>'11 Valuation'!D43</f>
        <v>188.2</v>
      </c>
      <c r="J81" s="291">
        <f>'11 Valuation'!E43</f>
        <v>312.39</v>
      </c>
      <c r="K81" s="455">
        <f>'15 Assumptions'!$C$7</f>
        <v>340.59</v>
      </c>
      <c r="L81" s="456">
        <f>'15 Assumptions'!$C$7</f>
        <v>340.59</v>
      </c>
      <c r="M81" s="456">
        <f>'15 Assumptions'!$C$7</f>
        <v>340.59</v>
      </c>
      <c r="N81" s="456">
        <f>'15 Assumptions'!$C$7</f>
        <v>340.59</v>
      </c>
      <c r="O81" s="456">
        <f>'15 Assumptions'!$C$7</f>
        <v>340.59</v>
      </c>
      <c r="P81" s="456">
        <f>'15 Assumptions'!$C$7</f>
        <v>340.59</v>
      </c>
    </row>
    <row r="82" spans="2:21" x14ac:dyDescent="0.3">
      <c r="B82" s="61"/>
      <c r="C82" s="62" t="s">
        <v>1045</v>
      </c>
      <c r="D82" s="61"/>
      <c r="E82" s="61"/>
      <c r="F82" s="61"/>
      <c r="G82" s="61"/>
      <c r="H82" s="292">
        <f t="shared" ref="H82:P82" si="14">H81*H37</f>
        <v>1761488.12</v>
      </c>
      <c r="I82" s="292">
        <f t="shared" si="14"/>
        <v>2342525.4</v>
      </c>
      <c r="J82" s="292">
        <f t="shared" si="14"/>
        <v>3820529.6999999997</v>
      </c>
      <c r="K82" s="444">
        <f t="shared" si="14"/>
        <v>4175292.8099999996</v>
      </c>
      <c r="L82" s="445">
        <f t="shared" si="14"/>
        <v>4187750.8797749998</v>
      </c>
      <c r="M82" s="445">
        <f t="shared" si="14"/>
        <v>4222202.5839216402</v>
      </c>
      <c r="N82" s="445">
        <f t="shared" si="14"/>
        <v>4262141.6103653265</v>
      </c>
      <c r="O82" s="445">
        <f t="shared" si="14"/>
        <v>4307218.9766800283</v>
      </c>
      <c r="P82" s="445">
        <f t="shared" si="14"/>
        <v>4356848.347073311</v>
      </c>
    </row>
    <row r="83" spans="2:21" x14ac:dyDescent="0.3">
      <c r="B83" s="61"/>
      <c r="C83" s="62" t="s">
        <v>1046</v>
      </c>
      <c r="D83" s="61"/>
      <c r="E83" s="61"/>
      <c r="F83" s="61"/>
      <c r="G83" s="61"/>
      <c r="H83" s="293">
        <f t="shared" ref="H83:P83" si="15">H81/H38</f>
        <v>23.870019920048787</v>
      </c>
      <c r="I83" s="293">
        <f t="shared" si="15"/>
        <v>23.39764477916059</v>
      </c>
      <c r="J83" s="293">
        <f t="shared" si="15"/>
        <v>28.906179163198907</v>
      </c>
      <c r="K83" s="457">
        <f t="shared" si="15"/>
        <v>17.097491083311152</v>
      </c>
      <c r="L83" s="458">
        <f t="shared" si="15"/>
        <v>16.571103816953023</v>
      </c>
      <c r="M83" s="458">
        <f t="shared" si="15"/>
        <v>25.038406852301492</v>
      </c>
      <c r="N83" s="458">
        <f t="shared" si="15"/>
        <v>22.447281832353315</v>
      </c>
      <c r="O83" s="458">
        <f t="shared" si="15"/>
        <v>20.500915367092091</v>
      </c>
      <c r="P83" s="458">
        <f t="shared" si="15"/>
        <v>18.884812745803337</v>
      </c>
    </row>
    <row r="84" spans="2:21" x14ac:dyDescent="0.3">
      <c r="B84" s="61"/>
      <c r="C84" s="71" t="s">
        <v>1047</v>
      </c>
      <c r="D84" s="72"/>
      <c r="E84" s="72"/>
      <c r="F84" s="72"/>
      <c r="G84" s="72"/>
      <c r="H84" s="294">
        <f t="shared" ref="H84:P84" si="16">H81/H48</f>
        <v>23.970612361761503</v>
      </c>
      <c r="I84" s="294">
        <f t="shared" si="16"/>
        <v>24.104038177501341</v>
      </c>
      <c r="J84" s="294">
        <f t="shared" si="16"/>
        <v>33.766131256031983</v>
      </c>
      <c r="K84" s="459">
        <f t="shared" si="16"/>
        <v>33.003861773869126</v>
      </c>
      <c r="L84" s="459">
        <f t="shared" si="16"/>
        <v>28.818094415724342</v>
      </c>
      <c r="M84" s="459">
        <f t="shared" si="16"/>
        <v>25.038406852301492</v>
      </c>
      <c r="N84" s="459">
        <f t="shared" si="16"/>
        <v>22.447281832353315</v>
      </c>
      <c r="O84" s="459">
        <f t="shared" si="16"/>
        <v>20.500915367092091</v>
      </c>
      <c r="P84" s="459">
        <f t="shared" si="16"/>
        <v>18.884812745803337</v>
      </c>
    </row>
    <row r="85" spans="2:21" x14ac:dyDescent="0.3">
      <c r="B85" s="58"/>
      <c r="C85" s="57" t="s">
        <v>219</v>
      </c>
      <c r="D85" s="56"/>
      <c r="E85" s="56"/>
      <c r="F85" s="56"/>
      <c r="G85" s="56"/>
      <c r="H85" s="295">
        <f>IF(H76&lt;=0,NA(),H82/H76)</f>
        <v>25.346976329232319</v>
      </c>
      <c r="I85" s="295">
        <f>IF(I76&lt;=0,NA(),I82/I76)</f>
        <v>32.193466549392554</v>
      </c>
      <c r="J85" s="295">
        <f>IF(J76&lt;=0,NA(),J82/J76)</f>
        <v>52.146011792645972</v>
      </c>
      <c r="K85" s="460">
        <f>IF(K76&lt;=0,NA(),K82/K76)</f>
        <v>78.375402361421351</v>
      </c>
      <c r="L85" s="461" t="str">
        <f>IF(L76&lt;=0,"",L82/L76)</f>
        <v/>
      </c>
      <c r="M85" s="461" t="str">
        <f>IF(M76&lt;=0,"",M82/M76)</f>
        <v/>
      </c>
      <c r="N85" s="461">
        <f>IF(N76&lt;=0,"",N82/N76)</f>
        <v>101.43388700937912</v>
      </c>
      <c r="O85" s="461">
        <f>IF(O76&lt;=0,"",O82/O76)</f>
        <v>41.510353012601669</v>
      </c>
      <c r="P85" s="461">
        <f>IF(P76&lt;=0,"",P82/P76)</f>
        <v>24.163795851834362</v>
      </c>
    </row>
    <row r="87" spans="2:21" x14ac:dyDescent="0.3">
      <c r="B87" s="16" t="s">
        <v>2129</v>
      </c>
      <c r="C87" s="16"/>
      <c r="D87" s="16"/>
      <c r="E87" s="16"/>
      <c r="F87" s="16"/>
      <c r="G87" s="16"/>
      <c r="H87" s="16"/>
      <c r="I87" s="16"/>
      <c r="J87" s="16"/>
      <c r="K87" s="16"/>
      <c r="L87" s="16"/>
      <c r="M87" s="16"/>
      <c r="N87" s="16"/>
      <c r="O87" s="16"/>
      <c r="P87" s="16"/>
      <c r="Q87" s="16"/>
      <c r="R87" s="16"/>
      <c r="S87" s="16"/>
      <c r="T87" s="16"/>
      <c r="U87" s="16"/>
    </row>
    <row r="88" spans="2:21" ht="15" thickBot="1" x14ac:dyDescent="0.35">
      <c r="L88" s="52" t="s">
        <v>1958</v>
      </c>
      <c r="M88" s="52" t="s">
        <v>1959</v>
      </c>
      <c r="N88" s="52" t="s">
        <v>1960</v>
      </c>
      <c r="O88" s="52" t="s">
        <v>1961</v>
      </c>
      <c r="P88" s="52" t="s">
        <v>1962</v>
      </c>
      <c r="Q88" s="52" t="s">
        <v>1963</v>
      </c>
      <c r="R88" s="52" t="s">
        <v>1964</v>
      </c>
      <c r="S88" s="52" t="s">
        <v>1965</v>
      </c>
      <c r="T88" s="52" t="s">
        <v>1966</v>
      </c>
      <c r="U88" s="52" t="s">
        <v>1967</v>
      </c>
    </row>
    <row r="89" spans="2:21" x14ac:dyDescent="0.3">
      <c r="C89" s="18" t="s">
        <v>1968</v>
      </c>
      <c r="L89" s="494">
        <v>1</v>
      </c>
      <c r="M89" s="494">
        <v>2</v>
      </c>
      <c r="N89" s="494">
        <v>3</v>
      </c>
      <c r="O89" s="494">
        <v>4</v>
      </c>
      <c r="P89" s="494">
        <v>5</v>
      </c>
      <c r="Q89" s="494">
        <v>6</v>
      </c>
      <c r="R89" s="494">
        <v>7</v>
      </c>
      <c r="S89" s="494">
        <v>8</v>
      </c>
      <c r="T89" s="494">
        <v>9</v>
      </c>
      <c r="U89" s="494">
        <v>10</v>
      </c>
    </row>
    <row r="90" spans="2:21" x14ac:dyDescent="0.3">
      <c r="C90" s="18" t="s">
        <v>1969</v>
      </c>
      <c r="L90" s="495">
        <f>IF(L$89&lt;='15 Assumptions'!$C$79,$P$19+('20 DCF Valuation'!$H$19-$P$19)*L$89/'15 Assumptions'!$C$79,'20 DCF Valuation'!$H$19)</f>
        <v>0.1319947459332767</v>
      </c>
      <c r="M90" s="495">
        <f>IF(M$89&lt;='15 Assumptions'!$C$79,$P$19+('20 DCF Valuation'!$H$19-$P$19)*M$89/'15 Assumptions'!$C$79,'20 DCF Valuation'!$H$19)</f>
        <v>0.12066199638513483</v>
      </c>
      <c r="N90" s="495">
        <f>IF(N$89&lt;='15 Assumptions'!$C$79,$P$19+('20 DCF Valuation'!$H$19-$P$19)*N$89/'15 Assumptions'!$C$79,'20 DCF Valuation'!$H$19)</f>
        <v>0.10932924683699298</v>
      </c>
      <c r="O90" s="495">
        <f>IF(O$89&lt;='15 Assumptions'!$C$79,$P$19+('20 DCF Valuation'!$H$19-$P$19)*O$89/'15 Assumptions'!$C$79,'20 DCF Valuation'!$H$19)</f>
        <v>9.7996497288851125E-2</v>
      </c>
      <c r="P90" s="495">
        <f>IF(P$89&lt;='15 Assumptions'!$C$79,$P$19+('20 DCF Valuation'!$H$19-$P$19)*P$89/'15 Assumptions'!$C$79,'20 DCF Valuation'!$H$19)</f>
        <v>8.6663747740709271E-2</v>
      </c>
      <c r="Q90" s="495">
        <f>IF(Q$89&lt;='15 Assumptions'!$C$79,$P$19+('20 DCF Valuation'!$H$19-$P$19)*Q$89/'15 Assumptions'!$C$79,'20 DCF Valuation'!$H$19)</f>
        <v>7.5330998192567417E-2</v>
      </c>
      <c r="R90" s="495">
        <f>IF(R$89&lt;='15 Assumptions'!$C$79,$P$19+('20 DCF Valuation'!$H$19-$P$19)*R$89/'15 Assumptions'!$C$79,'20 DCF Valuation'!$H$19)</f>
        <v>6.3998248644425562E-2</v>
      </c>
      <c r="S90" s="495">
        <f>IF(S$89&lt;='15 Assumptions'!$C$79,$P$19+('20 DCF Valuation'!$H$19-$P$19)*S$89/'15 Assumptions'!$C$79,'20 DCF Valuation'!$H$19)</f>
        <v>5.2665499096283708E-2</v>
      </c>
      <c r="T90" s="495">
        <f>IF(T$89&lt;='15 Assumptions'!$C$79,$P$19+('20 DCF Valuation'!$H$19-$P$19)*T$89/'15 Assumptions'!$C$79,'20 DCF Valuation'!$H$19)</f>
        <v>4.1332749548141853E-2</v>
      </c>
      <c r="U90" s="495">
        <f>IF(U$89&lt;='15 Assumptions'!$C$79,$P$19+('20 DCF Valuation'!$H$19-$P$19)*U$89/'15 Assumptions'!$C$79,'20 DCF Valuation'!$H$19)</f>
        <v>0.03</v>
      </c>
    </row>
    <row r="91" spans="2:21" x14ac:dyDescent="0.3">
      <c r="C91" s="18" t="s">
        <v>37</v>
      </c>
      <c r="L91" s="496">
        <f>P23*(1+L90)</f>
        <v>1080388.2024840922</v>
      </c>
      <c r="M91" s="496">
        <f t="shared" ref="M91:U91" si="17">L91*(1+M90)</f>
        <v>1210749.9998667699</v>
      </c>
      <c r="N91" s="496">
        <f t="shared" si="17"/>
        <v>1343120.3854600934</v>
      </c>
      <c r="O91" s="496">
        <f t="shared" si="17"/>
        <v>1474741.4786724341</v>
      </c>
      <c r="P91" s="496">
        <f t="shared" si="17"/>
        <v>1602548.1021628624</v>
      </c>
      <c r="Q91" s="496">
        <f t="shared" si="17"/>
        <v>1723269.6503503954</v>
      </c>
      <c r="R91" s="496">
        <f t="shared" si="17"/>
        <v>1833555.8899149122</v>
      </c>
      <c r="S91" s="496">
        <f t="shared" si="17"/>
        <v>1930121.0259782115</v>
      </c>
      <c r="T91" s="496">
        <f t="shared" si="17"/>
        <v>2009898.2349425717</v>
      </c>
      <c r="U91" s="496">
        <f t="shared" si="17"/>
        <v>2070195.1819908489</v>
      </c>
    </row>
    <row r="92" spans="2:21" x14ac:dyDescent="0.3">
      <c r="C92" s="18" t="s">
        <v>2130</v>
      </c>
      <c r="L92" s="497">
        <f>IF('15 Assumptions'!$C$91=1,L91*($P$25+('DCF Base Drivers'!$C$33-$P$25)*MIN(L$89,'15 Assumptions'!$C$79)/'15 Assumptions'!$C$79)*(1-'15 Assumptions'!$C$10),P24*(1-'15 Assumptions'!$C$10)*(1+L90))</f>
        <v>251929.63747874135</v>
      </c>
      <c r="M92" s="497">
        <f>IF('15 Assumptions'!$C$91=1,M91*($P$25+('DCF Base Drivers'!$C$33-$P$25)*MIN(M$89,'15 Assumptions'!$C$79)/'15 Assumptions'!$C$79)*(1-'15 Assumptions'!$C$10),L92*(1+M90))</f>
        <v>274523.00697066326</v>
      </c>
      <c r="N92" s="497">
        <f>IF('15 Assumptions'!$C$91=1,N91*($P$25+('DCF Base Drivers'!$C$33-$P$25)*MIN(N$89,'15 Assumptions'!$C$79)/'15 Assumptions'!$C$79)*(1-'15 Assumptions'!$C$10),M92*(1+N90))</f>
        <v>295878.12626467785</v>
      </c>
      <c r="O92" s="497">
        <f>IF('15 Assumptions'!$C$91=1,O91*($P$25+('DCF Base Drivers'!$C$33-$P$25)*MIN(O$89,'15 Assumptions'!$C$79)/'15 Assumptions'!$C$79)*(1-'15 Assumptions'!$C$10),N92*(1+O90))</f>
        <v>315366.39141176757</v>
      </c>
      <c r="P92" s="497">
        <f>IF('15 Assumptions'!$C$91=1,P91*($P$25+('DCF Base Drivers'!$C$33-$P$25)*MIN(P$89,'15 Assumptions'!$C$79)/'15 Assumptions'!$C$79)*(1-'15 Assumptions'!$C$10),O92*(1+P90))</f>
        <v>332366.57894747728</v>
      </c>
      <c r="Q92" s="497">
        <f>IF('15 Assumptions'!$C$91=1,Q91*($P$25+('DCF Base Drivers'!$C$33-$P$25)*MIN(Q$89,'15 Assumptions'!$C$79)/'15 Assumptions'!$C$79)*(1-'15 Assumptions'!$C$10),P92*(1+Q90))</f>
        <v>346295.22138567339</v>
      </c>
      <c r="R92" s="497">
        <f>IF('15 Assumptions'!$C$91=1,R91*($P$25+('DCF Base Drivers'!$C$33-$P$25)*MIN(R$89,'15 Assumptions'!$C$79)/'15 Assumptions'!$C$79)*(1-'15 Assumptions'!$C$10),Q92*(1+R90))</f>
        <v>356637.69752602949</v>
      </c>
      <c r="S92" s="497">
        <f>IF('15 Assumptions'!$C$91=1,S91*($P$25+('DCF Base Drivers'!$C$33-$P$25)*MIN(S$89,'15 Assumptions'!$C$79)/'15 Assumptions'!$C$79)*(1-'15 Assumptions'!$C$10),R92*(1+S90))</f>
        <v>362977.89204642939</v>
      </c>
      <c r="T92" s="497">
        <f>IF('15 Assumptions'!$C$91=1,T91*($P$25+('DCF Base Drivers'!$C$33-$P$25)*MIN(T$89,'15 Assumptions'!$C$79)/'15 Assumptions'!$C$79)*(1-'15 Assumptions'!$C$10),S92*(1+T90))</f>
        <v>365024.18374076462</v>
      </c>
      <c r="U92" s="497">
        <f>IF('15 Assumptions'!$C$91=1,U91*($P$25+('DCF Base Drivers'!$C$33-$P$25)*MIN(U$89,'15 Assumptions'!$C$79)/'15 Assumptions'!$C$79)*(1-'15 Assumptions'!$C$10),T92*(1+U90))</f>
        <v>362629.62916558131</v>
      </c>
    </row>
    <row r="93" spans="2:21" x14ac:dyDescent="0.3">
      <c r="C93" s="18" t="s">
        <v>2007</v>
      </c>
      <c r="L93" s="496">
        <f t="shared" ref="L93:U93" si="18">L91*$P$71/$P$23</f>
        <v>56180.186529172795</v>
      </c>
      <c r="M93" s="496">
        <f t="shared" si="18"/>
        <v>62958.99999307203</v>
      </c>
      <c r="N93" s="496">
        <f t="shared" si="18"/>
        <v>69842.260043924849</v>
      </c>
      <c r="O93" s="496">
        <f t="shared" si="18"/>
        <v>76686.556890966574</v>
      </c>
      <c r="P93" s="496">
        <f t="shared" si="18"/>
        <v>83332.501312468841</v>
      </c>
      <c r="Q93" s="496">
        <f t="shared" si="18"/>
        <v>89610.021818220543</v>
      </c>
      <c r="R93" s="496">
        <f t="shared" si="18"/>
        <v>95344.906275575428</v>
      </c>
      <c r="S93" s="496">
        <f t="shared" si="18"/>
        <v>100366.293350867</v>
      </c>
      <c r="T93" s="496">
        <f t="shared" si="18"/>
        <v>104514.70821701373</v>
      </c>
      <c r="U93" s="496">
        <f t="shared" si="18"/>
        <v>107650.14946352414</v>
      </c>
    </row>
    <row r="94" spans="2:21" x14ac:dyDescent="0.3">
      <c r="C94" s="18" t="s">
        <v>2131</v>
      </c>
      <c r="L94" s="496">
        <f t="shared" ref="L94:U94" si="19">L96*L92</f>
        <v>111496.52499272724</v>
      </c>
      <c r="M94" s="496">
        <f t="shared" si="19"/>
        <v>114096.66664444222</v>
      </c>
      <c r="N94" s="496">
        <f t="shared" si="19"/>
        <v>114997.65946275322</v>
      </c>
      <c r="O94" s="496">
        <f t="shared" si="19"/>
        <v>114072.24980078131</v>
      </c>
      <c r="P94" s="496">
        <f t="shared" si="19"/>
        <v>111263.4238326613</v>
      </c>
      <c r="Q94" s="496">
        <f t="shared" si="19"/>
        <v>106592.76279917038</v>
      </c>
      <c r="R94" s="496">
        <f t="shared" si="19"/>
        <v>100164.08688919734</v>
      </c>
      <c r="S94" s="496">
        <f t="shared" si="19"/>
        <v>92161.708136919318</v>
      </c>
      <c r="T94" s="496">
        <f t="shared" si="19"/>
        <v>82843.053743310506</v>
      </c>
      <c r="U94" s="496">
        <f t="shared" si="19"/>
        <v>72525.925833116271</v>
      </c>
    </row>
    <row r="95" spans="2:21" x14ac:dyDescent="0.3">
      <c r="C95" s="5" t="s">
        <v>2008</v>
      </c>
      <c r="L95" s="498">
        <f t="shared" ref="L95:U95" si="20">L92-L94</f>
        <v>140433.11248601411</v>
      </c>
      <c r="M95" s="498">
        <f t="shared" si="20"/>
        <v>160426.34032622105</v>
      </c>
      <c r="N95" s="498">
        <f t="shared" si="20"/>
        <v>180880.46680192463</v>
      </c>
      <c r="O95" s="498">
        <f t="shared" si="20"/>
        <v>201294.14161098626</v>
      </c>
      <c r="P95" s="498">
        <f t="shared" si="20"/>
        <v>221103.15511481598</v>
      </c>
      <c r="Q95" s="498">
        <f t="shared" si="20"/>
        <v>239702.45858650299</v>
      </c>
      <c r="R95" s="498">
        <f t="shared" si="20"/>
        <v>256473.61063683213</v>
      </c>
      <c r="S95" s="498">
        <f t="shared" si="20"/>
        <v>270816.18390951009</v>
      </c>
      <c r="T95" s="498">
        <f t="shared" si="20"/>
        <v>282181.12999745412</v>
      </c>
      <c r="U95" s="498">
        <f t="shared" si="20"/>
        <v>290103.70333246503</v>
      </c>
    </row>
    <row r="96" spans="2:21" x14ac:dyDescent="0.3">
      <c r="C96" s="18" t="s">
        <v>2132</v>
      </c>
      <c r="L96" s="495">
        <f>IF('15 Assumptions'!$C$90=1,IF(L$89&gt;='15 Assumptions'!$C$79,'20 DCF Valuation'!$H$19/'DCF Base Drivers'!$C$27,$L$97+('20 DCF Valuation'!$H$19/'DCF Base Drivers'!$C$27-$L$97)*(L$89-1)/MAX(1,'15 Assumptions'!$C$79-1)),L90/'DCF Base Drivers'!$C$27)</f>
        <v>0.44257010055887402</v>
      </c>
      <c r="M96" s="495">
        <f>IF('15 Assumptions'!$C$90=1,IF(M$89&gt;='15 Assumptions'!$C$79,'20 DCF Valuation'!$H$19/'DCF Base Drivers'!$C$27,$L$97+('20 DCF Valuation'!$H$19/'DCF Base Drivers'!$C$27-$L$97)*(M$89-1)/MAX(1,'15 Assumptions'!$C$79-1)),M90/'DCF Base Drivers'!$C$27)</f>
        <v>0.41561786716344357</v>
      </c>
      <c r="N96" s="495">
        <f>IF('15 Assumptions'!$C$90=1,IF(N$89&gt;='15 Assumptions'!$C$79,'20 DCF Valuation'!$H$19/'DCF Base Drivers'!$C$27,$L$97+('20 DCF Valuation'!$H$19/'DCF Base Drivers'!$C$27-$L$97)*(N$89-1)/MAX(1,'15 Assumptions'!$C$79-1)),N90/'DCF Base Drivers'!$C$27)</f>
        <v>0.38866563376801311</v>
      </c>
      <c r="O96" s="495">
        <f>IF('15 Assumptions'!$C$90=1,IF(O$89&gt;='15 Assumptions'!$C$79,'20 DCF Valuation'!$H$19/'DCF Base Drivers'!$C$27,$L$97+('20 DCF Valuation'!$H$19/'DCF Base Drivers'!$C$27-$L$97)*(O$89-1)/MAX(1,'15 Assumptions'!$C$79-1)),O90/'DCF Base Drivers'!$C$27)</f>
        <v>0.36171340037258271</v>
      </c>
      <c r="P96" s="495">
        <f>IF('15 Assumptions'!$C$90=1,IF(P$89&gt;='15 Assumptions'!$C$79,'20 DCF Valuation'!$H$19/'DCF Base Drivers'!$C$27,$L$97+('20 DCF Valuation'!$H$19/'DCF Base Drivers'!$C$27-$L$97)*(P$89-1)/MAX(1,'15 Assumptions'!$C$79-1)),P90/'DCF Base Drivers'!$C$27)</f>
        <v>0.33476116697715225</v>
      </c>
      <c r="Q96" s="495">
        <f>IF('15 Assumptions'!$C$90=1,IF(Q$89&gt;='15 Assumptions'!$C$79,'20 DCF Valuation'!$H$19/'DCF Base Drivers'!$C$27,$L$97+('20 DCF Valuation'!$H$19/'DCF Base Drivers'!$C$27-$L$97)*(Q$89-1)/MAX(1,'15 Assumptions'!$C$79-1)),Q90/'DCF Base Drivers'!$C$27)</f>
        <v>0.30780893358172179</v>
      </c>
      <c r="R96" s="495">
        <f>IF('15 Assumptions'!$C$90=1,IF(R$89&gt;='15 Assumptions'!$C$79,'20 DCF Valuation'!$H$19/'DCF Base Drivers'!$C$27,$L$97+('20 DCF Valuation'!$H$19/'DCF Base Drivers'!$C$27-$L$97)*(R$89-1)/MAX(1,'15 Assumptions'!$C$79-1)),R90/'DCF Base Drivers'!$C$27)</f>
        <v>0.28085670018629139</v>
      </c>
      <c r="S96" s="495">
        <f>IF('15 Assumptions'!$C$90=1,IF(S$89&gt;='15 Assumptions'!$C$79,'20 DCF Valuation'!$H$19/'DCF Base Drivers'!$C$27,$L$97+('20 DCF Valuation'!$H$19/'DCF Base Drivers'!$C$27-$L$97)*(S$89-1)/MAX(1,'15 Assumptions'!$C$79-1)),S90/'DCF Base Drivers'!$C$27)</f>
        <v>0.25390446679086087</v>
      </c>
      <c r="T96" s="495">
        <f>IF('15 Assumptions'!$C$90=1,IF(T$89&gt;='15 Assumptions'!$C$79,'20 DCF Valuation'!$H$19/'DCF Base Drivers'!$C$27,$L$97+('20 DCF Valuation'!$H$19/'DCF Base Drivers'!$C$27-$L$97)*(T$89-1)/MAX(1,'15 Assumptions'!$C$79-1)),T90/'DCF Base Drivers'!$C$27)</f>
        <v>0.22695223339543047</v>
      </c>
      <c r="U96" s="495">
        <f>IF('15 Assumptions'!$C$90=1,IF(U$89&gt;='15 Assumptions'!$C$79,'20 DCF Valuation'!$H$19/'DCF Base Drivers'!$C$27,$L$97+('20 DCF Valuation'!$H$19/'DCF Base Drivers'!$C$27-$L$97)*(U$89-1)/MAX(1,'15 Assumptions'!$C$79-1)),U90/'DCF Base Drivers'!$C$27)</f>
        <v>0.2</v>
      </c>
    </row>
    <row r="97" spans="2:21" x14ac:dyDescent="0.3">
      <c r="C97" s="18" t="s">
        <v>2133</v>
      </c>
      <c r="L97" s="495">
        <f>(-P75-P64-P23*'15 Assumptions'!$C$57)/(P24*(1-'15 Assumptions'!$C$10))</f>
        <v>0.44257010055887402</v>
      </c>
      <c r="M97" s="497"/>
      <c r="N97" s="497"/>
      <c r="O97" s="497"/>
      <c r="P97" s="497"/>
      <c r="Q97" s="497"/>
      <c r="R97" s="497"/>
      <c r="S97" s="497"/>
      <c r="T97" s="497"/>
      <c r="U97" s="497"/>
    </row>
    <row r="99" spans="2:21" ht="18" customHeight="1" x14ac:dyDescent="0.3">
      <c r="B99" s="73"/>
      <c r="C99" s="16" t="s">
        <v>1111</v>
      </c>
      <c r="D99" s="73"/>
      <c r="E99" s="73"/>
      <c r="F99" s="73"/>
      <c r="G99" s="73"/>
      <c r="H99" s="73"/>
      <c r="I99" s="73"/>
      <c r="J99" s="73"/>
      <c r="K99" s="73"/>
      <c r="L99" s="73"/>
      <c r="M99" s="73"/>
      <c r="N99" s="73"/>
      <c r="O99" s="73"/>
      <c r="P99" s="73"/>
    </row>
    <row r="100" spans="2:21" x14ac:dyDescent="0.3">
      <c r="C100" s="75" t="s">
        <v>1151</v>
      </c>
    </row>
    <row r="101" spans="2:21" x14ac:dyDescent="0.3">
      <c r="C101" s="76" t="s">
        <v>1112</v>
      </c>
    </row>
    <row r="102" spans="2:21" x14ac:dyDescent="0.3">
      <c r="C102" s="77" t="s">
        <v>1152</v>
      </c>
    </row>
    <row r="103" spans="2:21" ht="28.05" customHeight="1" x14ac:dyDescent="0.3">
      <c r="C103" s="320" t="s">
        <v>1113</v>
      </c>
    </row>
    <row r="106" spans="2:21" x14ac:dyDescent="0.3">
      <c r="B106" s="16" t="s">
        <v>2171</v>
      </c>
      <c r="C106" s="16"/>
      <c r="D106" s="16"/>
      <c r="E106" s="16"/>
      <c r="F106" s="16"/>
      <c r="G106" s="16"/>
      <c r="H106" s="16"/>
      <c r="I106" s="16"/>
      <c r="J106" s="16"/>
      <c r="K106" s="16"/>
      <c r="L106" s="16"/>
      <c r="M106" s="16"/>
      <c r="N106" s="16"/>
      <c r="O106" s="16"/>
      <c r="P106" s="16"/>
      <c r="Q106" s="16"/>
      <c r="R106" s="16"/>
      <c r="S106" s="16"/>
      <c r="T106" s="16"/>
      <c r="U106" s="16"/>
    </row>
    <row r="107" spans="2:21" ht="15" thickBot="1" x14ac:dyDescent="0.35">
      <c r="L107" s="52" t="s">
        <v>2172</v>
      </c>
      <c r="M107" s="52" t="s">
        <v>974</v>
      </c>
      <c r="N107" s="52" t="s">
        <v>2173</v>
      </c>
      <c r="O107" s="52" t="s">
        <v>2174</v>
      </c>
      <c r="P107" s="52"/>
      <c r="Q107" s="52"/>
      <c r="R107" s="52"/>
      <c r="S107" s="52"/>
      <c r="T107" s="52"/>
      <c r="U107" s="52"/>
    </row>
    <row r="108" spans="2:21" x14ac:dyDescent="0.3">
      <c r="C108" s="18" t="s">
        <v>2175</v>
      </c>
      <c r="L108" s="497">
        <f>L14-('03 Segments'!$G$13+'03 Segments'!$I$13)</f>
        <v>55002.5</v>
      </c>
      <c r="M108" s="496">
        <f>M14</f>
        <v>160062.10215499997</v>
      </c>
      <c r="N108" s="496">
        <f>0.5*N14</f>
        <v>118611.01977274597</v>
      </c>
      <c r="O108" s="496">
        <f>SUM(L108:N108)</f>
        <v>333675.62192774593</v>
      </c>
      <c r="P108" s="497"/>
      <c r="Q108" s="497"/>
      <c r="R108" s="497"/>
      <c r="S108" s="497"/>
      <c r="T108" s="497"/>
      <c r="U108" s="497"/>
    </row>
    <row r="109" spans="2:21" x14ac:dyDescent="0.3">
      <c r="C109" s="18" t="s">
        <v>2176</v>
      </c>
      <c r="L109" s="497"/>
      <c r="M109" s="497"/>
      <c r="N109" s="497"/>
      <c r="O109" s="497">
        <f>'15 Assumptions'!$C$112*'15 Assumptions'!$C$113</f>
        <v>256950</v>
      </c>
      <c r="P109" s="497"/>
      <c r="Q109" s="497"/>
      <c r="R109" s="497"/>
      <c r="S109" s="497"/>
      <c r="T109" s="497"/>
      <c r="U109" s="497"/>
    </row>
    <row r="110" spans="2:21" x14ac:dyDescent="0.3">
      <c r="C110" s="18" t="s">
        <v>2177</v>
      </c>
      <c r="L110" s="497"/>
      <c r="M110" s="497"/>
      <c r="N110" s="497"/>
      <c r="O110" s="496">
        <f>O108-O109</f>
        <v>76725.621927745931</v>
      </c>
      <c r="P110" s="497"/>
      <c r="Q110" s="497"/>
      <c r="R110" s="497"/>
      <c r="S110" s="497"/>
      <c r="T110" s="497"/>
      <c r="U110" s="497"/>
    </row>
    <row r="111" spans="2:21" x14ac:dyDescent="0.3">
      <c r="C111" s="18" t="s">
        <v>2178</v>
      </c>
      <c r="L111" s="497"/>
      <c r="M111" s="497"/>
      <c r="N111" s="497"/>
      <c r="O111" s="549">
        <f>O110/O109</f>
        <v>0.29860136963512718</v>
      </c>
      <c r="P111" s="497"/>
      <c r="Q111" s="497"/>
      <c r="R111" s="497"/>
      <c r="S111" s="497"/>
      <c r="T111" s="497"/>
      <c r="U111" s="497"/>
    </row>
    <row r="112" spans="2:21" x14ac:dyDescent="0.3">
      <c r="C112" s="18" t="s">
        <v>2179</v>
      </c>
      <c r="L112" s="497"/>
      <c r="M112" s="497"/>
      <c r="N112" s="497"/>
      <c r="O112" s="497" t="str">
        <f>IF(O111&lt;'15 Assumptions'!$C$114,"WARNING: under "&amp;TEXT('15 Assumptions'!$C$114,"0%")&amp;" beyond backlog","OK")</f>
        <v>OK</v>
      </c>
      <c r="P112" s="497"/>
      <c r="Q112" s="497"/>
      <c r="R112" s="497"/>
      <c r="S112" s="497"/>
      <c r="T112" s="497"/>
      <c r="U112" s="497"/>
    </row>
    <row r="113" spans="3:16" ht="15" thickBot="1" x14ac:dyDescent="0.35">
      <c r="H113" s="53" t="str">
        <f t="shared" ref="H113:P113" si="21">H$7</f>
        <v>FY2023</v>
      </c>
      <c r="I113" s="53" t="str">
        <f t="shared" si="21"/>
        <v>FY2024</v>
      </c>
      <c r="J113" s="53" t="str">
        <f t="shared" si="21"/>
        <v>FY2025</v>
      </c>
      <c r="K113" s="53" t="str">
        <f t="shared" si="21"/>
        <v>TTM Jun'26</v>
      </c>
      <c r="L113" s="52" t="str">
        <f t="shared" si="21"/>
        <v>FY2026E</v>
      </c>
      <c r="M113" s="52" t="str">
        <f t="shared" si="21"/>
        <v>FY2027E</v>
      </c>
      <c r="N113" s="52" t="str">
        <f t="shared" si="21"/>
        <v>FY2028E</v>
      </c>
      <c r="O113" s="52" t="str">
        <f t="shared" si="21"/>
        <v>FY2029E</v>
      </c>
      <c r="P113" s="52" t="str">
        <f t="shared" si="21"/>
        <v>FY2030E</v>
      </c>
    </row>
    <row r="114" spans="3:16" x14ac:dyDescent="0.3">
      <c r="C114" s="18" t="s">
        <v>2180</v>
      </c>
      <c r="I114" s="550">
        <f>(I14-H14)/-H75*100</f>
        <v>31.443986232985022</v>
      </c>
      <c r="J114" s="550">
        <f>(J14-I14)/-I75*100</f>
        <v>29.458456267250405</v>
      </c>
      <c r="L114" s="551">
        <f>(L14-J14)/-J75*100</f>
        <v>44.936958019399214</v>
      </c>
      <c r="M114" s="551">
        <f>(M14-L14)/-L75*100</f>
        <v>29.999999999999993</v>
      </c>
      <c r="N114" s="551">
        <f>(N14-M14)/-M75*100</f>
        <v>30</v>
      </c>
      <c r="O114" s="551">
        <f>(O14-N14)/-N75*100</f>
        <v>30</v>
      </c>
      <c r="P114" s="551">
        <f>(P14-O14)/-O75*100</f>
        <v>30.000000000000004</v>
      </c>
    </row>
    <row r="115" spans="3:16" x14ac:dyDescent="0.3">
      <c r="C115" s="18" t="s">
        <v>2181</v>
      </c>
      <c r="L115" s="552">
        <f>L114-AVERAGE($I$114:$J$114)</f>
        <v>14.485736769281502</v>
      </c>
      <c r="M115" s="552">
        <f>M114-AVERAGE($I$114:$J$114)</f>
        <v>-0.45122125011771885</v>
      </c>
      <c r="N115" s="552">
        <f>N114-AVERAGE($I$114:$J$114)</f>
        <v>-0.45122125011771175</v>
      </c>
      <c r="O115" s="552">
        <f>O114-AVERAGE($I$114:$J$114)</f>
        <v>-0.45122125011771175</v>
      </c>
      <c r="P115" s="552">
        <f>P114-AVERAGE($I$114:$J$114)</f>
        <v>-0.45122125011770819</v>
      </c>
    </row>
    <row r="117" spans="3:16" ht="15" thickBot="1" x14ac:dyDescent="0.35">
      <c r="H117" s="53" t="str">
        <f>H$7</f>
        <v>FY2023</v>
      </c>
      <c r="I117" s="53" t="str">
        <f>I$7</f>
        <v>FY2024</v>
      </c>
      <c r="J117" s="53" t="str">
        <f>J$7</f>
        <v>FY2025</v>
      </c>
      <c r="K117" s="53" t="s">
        <v>51</v>
      </c>
      <c r="L117" s="52" t="str">
        <f>L$7</f>
        <v>FY2026E</v>
      </c>
      <c r="M117" s="52" t="str">
        <f>M$7</f>
        <v>FY2027E</v>
      </c>
      <c r="N117" s="52" t="str">
        <f>N$7</f>
        <v>FY2028E</v>
      </c>
      <c r="O117" s="52" t="str">
        <f>O$7</f>
        <v>FY2029E</v>
      </c>
      <c r="P117" s="52" t="str">
        <f>P$7</f>
        <v>FY2030E</v>
      </c>
    </row>
    <row r="118" spans="3:16" x14ac:dyDescent="0.3">
      <c r="C118" s="18" t="s">
        <v>2204</v>
      </c>
      <c r="K118" s="86">
        <f>('03 Segments'!G12+'03 Segments'!I12)/('03 Segments'!G16+'03 Segments'!I16)</f>
        <v>0.80184333803528207</v>
      </c>
      <c r="L118" s="549">
        <f>SUM(L10:L13)/L18</f>
        <v>0.79301404821575094</v>
      </c>
      <c r="M118" s="549">
        <f>SUM(M10:M13)/M18</f>
        <v>0.72768007788360767</v>
      </c>
      <c r="N118" s="549">
        <f>SUM(N10:N13)/N18</f>
        <v>0.66488734189805809</v>
      </c>
      <c r="O118" s="549">
        <f>SUM(O10:O13)/O18</f>
        <v>0.6187493114284911</v>
      </c>
      <c r="P118" s="549">
        <f>SUM(P10:P13)/P18</f>
        <v>0.58510348780586319</v>
      </c>
    </row>
    <row r="119" spans="3:16" x14ac:dyDescent="0.3">
      <c r="C119" s="18" t="s">
        <v>2205</v>
      </c>
      <c r="K119" s="86">
        <f>('03 Segments'!G13+'03 Segments'!I13)/('03 Segments'!G16+'03 Segments'!I16)</f>
        <v>0.19502638315657489</v>
      </c>
      <c r="L119" s="549">
        <f>L14/L18</f>
        <v>0.20369203069587075</v>
      </c>
      <c r="M119" s="549">
        <f>M14/M18</f>
        <v>0.26946713246681037</v>
      </c>
      <c r="N119" s="549">
        <f>N14/N18</f>
        <v>0.33261787773616391</v>
      </c>
      <c r="O119" s="549">
        <f>O14/O18</f>
        <v>0.37901265658372174</v>
      </c>
      <c r="P119" s="549">
        <f>P14/P18</f>
        <v>0.41284116620056655</v>
      </c>
    </row>
    <row r="120" spans="3:16" x14ac:dyDescent="0.3">
      <c r="C120" s="18" t="s">
        <v>2206</v>
      </c>
      <c r="K120" s="86">
        <f>'15 Assumptions'!$C$123</f>
        <v>0.43508690010153278</v>
      </c>
      <c r="L120" s="495">
        <f>'15 Assumptions'!$C$123+'DCF Base Drivers'!$C$35*0/4</f>
        <v>0.43508690010153278</v>
      </c>
      <c r="M120" s="495">
        <f>'15 Assumptions'!$C$123+'DCF Base Drivers'!$C$35*1/4</f>
        <v>0.43508690010153278</v>
      </c>
      <c r="N120" s="495">
        <f>'15 Assumptions'!$C$123+'DCF Base Drivers'!$C$35*2/4</f>
        <v>0.43508690010153278</v>
      </c>
      <c r="O120" s="495">
        <f>'15 Assumptions'!$C$123+'DCF Base Drivers'!$C$35*3/4</f>
        <v>0.43508690010153278</v>
      </c>
      <c r="P120" s="495">
        <f>'15 Assumptions'!$C$123+'DCF Base Drivers'!$C$35*4/4</f>
        <v>0.43508690010153278</v>
      </c>
    </row>
    <row r="121" spans="3:16" x14ac:dyDescent="0.3">
      <c r="C121" s="18" t="s">
        <v>2207</v>
      </c>
      <c r="K121" s="86">
        <f>'15 Assumptions'!$C$124</f>
        <v>0.34404857576569337</v>
      </c>
      <c r="L121" s="495">
        <f>'15 Assumptions'!$C$124+'DCF Base Drivers'!$C$36*0/4</f>
        <v>0.34404857576569337</v>
      </c>
      <c r="M121" s="495">
        <f>'15 Assumptions'!$C$124+'DCF Base Drivers'!$C$36*1/4</f>
        <v>0.34404857576569337</v>
      </c>
      <c r="N121" s="495">
        <f>'15 Assumptions'!$C$124+'DCF Base Drivers'!$C$36*2/4</f>
        <v>0.34404857576569337</v>
      </c>
      <c r="O121" s="495">
        <f>'15 Assumptions'!$C$124+'DCF Base Drivers'!$C$36*3/4</f>
        <v>0.34404857576569337</v>
      </c>
      <c r="P121" s="495">
        <f>'15 Assumptions'!$C$124+'DCF Base Drivers'!$C$36*4/4</f>
        <v>0.34404857576569337</v>
      </c>
    </row>
    <row r="122" spans="3:16" x14ac:dyDescent="0.3">
      <c r="C122" s="18" t="s">
        <v>2208</v>
      </c>
      <c r="K122" s="86">
        <f>'15 Assumptions'!$C$125</f>
        <v>-6.5648781846995102E-2</v>
      </c>
      <c r="L122" s="495">
        <f>'15 Assumptions'!$C$125+'DCF Base Drivers'!$C$37*0/4</f>
        <v>-6.5648781846995102E-2</v>
      </c>
      <c r="M122" s="495">
        <f>'15 Assumptions'!$C$125+'DCF Base Drivers'!$C$37*1/4</f>
        <v>-6.5648781846995102E-2</v>
      </c>
      <c r="N122" s="495">
        <f>'15 Assumptions'!$C$125+'DCF Base Drivers'!$C$37*2/4</f>
        <v>-6.5648781846995102E-2</v>
      </c>
      <c r="O122" s="495">
        <f>'15 Assumptions'!$C$125+'DCF Base Drivers'!$C$37*3/4</f>
        <v>-6.5648781846995102E-2</v>
      </c>
      <c r="P122" s="495">
        <f>'15 Assumptions'!$C$125+'DCF Base Drivers'!$C$37*4/4</f>
        <v>-6.5648781846995102E-2</v>
      </c>
    </row>
    <row r="123" spans="3:16" x14ac:dyDescent="0.3">
      <c r="C123" s="18" t="s">
        <v>2209</v>
      </c>
      <c r="K123" s="86">
        <f>K118*K120+K119*K121+K122+'15 Assumptions'!$C$126</f>
        <v>0.35286786512904855</v>
      </c>
      <c r="L123" s="495">
        <f>L118*L120+L119*L121+L122+'15 Assumptions'!$C$126</f>
        <v>0.35200776048535287</v>
      </c>
      <c r="M123" s="495">
        <f>M118*M120+M119*M121+M122+'15 Assumptions'!$C$126</f>
        <v>0.34621163594735049</v>
      </c>
      <c r="N123" s="495">
        <f>N118*N120+N119*N121+N122+'15 Assumptions'!$C$126</f>
        <v>0.34061826306696696</v>
      </c>
      <c r="O123" s="495">
        <f>O118*O120+O119*O121+O122+'15 Assumptions'!$C$126</f>
        <v>0.33650626799863959</v>
      </c>
      <c r="P123" s="495">
        <f>P118*P120+P119*P121+P122+'15 Assumptions'!$C$126</f>
        <v>0.33350606145125905</v>
      </c>
    </row>
    <row r="124" spans="3:16" x14ac:dyDescent="0.3">
      <c r="C124" s="18" t="s">
        <v>2210</v>
      </c>
      <c r="L124" s="495">
        <f>CHOOSE('DCF Base Drivers'!$D$6,'15 Assumptions'!C27,'15 Assumptions'!C28,'15 Assumptions'!C29)</f>
        <v>0.35299999999999998</v>
      </c>
      <c r="M124" s="495">
        <f>CHOOSE('DCF Base Drivers'!$D$6,'15 Assumptions'!D27,'15 Assumptions'!D28,'15 Assumptions'!D29)</f>
        <v>0.35799999999999998</v>
      </c>
      <c r="N124" s="495">
        <f>CHOOSE('DCF Base Drivers'!$D$6,'15 Assumptions'!E27,'15 Assumptions'!E28,'15 Assumptions'!E29)</f>
        <v>0.36299999999999999</v>
      </c>
      <c r="O124" s="495">
        <f>CHOOSE('DCF Base Drivers'!$D$6,'15 Assumptions'!F27,'15 Assumptions'!F28,'15 Assumptions'!F29)</f>
        <v>0.36799999999999999</v>
      </c>
      <c r="P124" s="495">
        <f>CHOOSE('DCF Base Drivers'!$D$6,'15 Assumptions'!G27,'15 Assumptions'!G28,'15 Assumptions'!G29)</f>
        <v>0.373</v>
      </c>
    </row>
    <row r="125" spans="3:16" x14ac:dyDescent="0.3">
      <c r="C125" s="18" t="s">
        <v>2211</v>
      </c>
      <c r="L125" s="558">
        <f>L123-L124</f>
        <v>-9.9223951464710858E-4</v>
      </c>
      <c r="M125" s="558">
        <f>M123-M124</f>
        <v>-1.1788364052649491E-2</v>
      </c>
      <c r="N125" s="558">
        <f>N123-N124</f>
        <v>-2.2381736933033025E-2</v>
      </c>
      <c r="O125" s="558">
        <f>O123-O124</f>
        <v>-3.1493732001360408E-2</v>
      </c>
      <c r="P125" s="558">
        <f>P123-P124</f>
        <v>-3.9493938548740948E-2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BAD0F-B08D-4AFE-89BE-F61F7CC4E528}">
  <sheetPr>
    <tabColor rgb="FF002F6C"/>
  </sheetPr>
  <dimension ref="A1:U125"/>
  <sheetViews>
    <sheetView showGridLines="0" workbookViewId="0">
      <pane ySplit="7" topLeftCell="A75" activePane="bottomLeft" state="frozen"/>
      <selection pane="bottomLeft" activeCell="L95" sqref="L95:U95"/>
    </sheetView>
  </sheetViews>
  <sheetFormatPr defaultRowHeight="14.4" x14ac:dyDescent="0.3"/>
  <cols>
    <col min="1" max="1" width="2.21875" style="1" customWidth="1"/>
    <col min="2" max="2" width="2.5546875" style="1" customWidth="1"/>
    <col min="3" max="3" width="53.6640625" style="1" customWidth="1"/>
    <col min="4" max="7" width="1.88671875" style="1" customWidth="1"/>
    <col min="8" max="16" width="15.5546875" style="1" customWidth="1"/>
    <col min="17" max="21" width="15.5546875" customWidth="1"/>
  </cols>
  <sheetData>
    <row r="1" spans="2:16" x14ac:dyDescent="0.3">
      <c r="O1" s="49" t="str">
        <f>"CURRENTLY RUNNING:  "&amp;'DCF Best Drivers'!F6</f>
        <v>CURRENTLY RUNNING:  BEST CASE</v>
      </c>
    </row>
    <row r="2" spans="2:16" ht="23.4" thickBot="1" x14ac:dyDescent="0.45">
      <c r="B2" s="396" t="s">
        <v>1875</v>
      </c>
      <c r="C2" s="396"/>
      <c r="D2" s="396"/>
      <c r="E2" s="396"/>
      <c r="F2" s="396"/>
      <c r="G2" s="396"/>
      <c r="H2" s="396"/>
      <c r="I2" s="396"/>
      <c r="J2" s="396"/>
      <c r="K2" s="396"/>
      <c r="L2" s="396"/>
      <c r="M2" s="396"/>
      <c r="N2" s="396"/>
      <c r="O2" s="396"/>
      <c r="P2" s="396"/>
    </row>
    <row r="3" spans="2:16" ht="28.05" customHeight="1" x14ac:dyDescent="0.3">
      <c r="B3" s="313" t="s">
        <v>1567</v>
      </c>
    </row>
    <row r="4" spans="2:16" ht="15" thickBot="1" x14ac:dyDescent="0.35">
      <c r="B4" s="4"/>
      <c r="C4" s="4"/>
      <c r="D4" s="4"/>
      <c r="E4" s="4"/>
      <c r="F4" s="4"/>
      <c r="G4" s="4"/>
      <c r="H4" s="4"/>
      <c r="I4" s="4"/>
      <c r="J4" s="4"/>
      <c r="K4" s="4"/>
      <c r="L4" s="4"/>
      <c r="M4" s="4"/>
      <c r="N4" s="4"/>
      <c r="O4" s="4"/>
      <c r="P4" s="4"/>
    </row>
    <row r="6" spans="2:16" x14ac:dyDescent="0.3">
      <c r="L6" s="50" t="s">
        <v>1016</v>
      </c>
      <c r="M6" s="51"/>
      <c r="N6" s="51"/>
      <c r="O6" s="51"/>
      <c r="P6" s="51"/>
    </row>
    <row r="7" spans="2:16" ht="15" thickBot="1" x14ac:dyDescent="0.35">
      <c r="H7" s="53" t="s">
        <v>7</v>
      </c>
      <c r="I7" s="53" t="s">
        <v>8</v>
      </c>
      <c r="J7" s="53" t="s">
        <v>9</v>
      </c>
      <c r="K7" s="53" t="s">
        <v>11</v>
      </c>
      <c r="L7" s="52" t="s">
        <v>973</v>
      </c>
      <c r="M7" s="52" t="s">
        <v>974</v>
      </c>
      <c r="N7" s="52" t="s">
        <v>975</v>
      </c>
      <c r="O7" s="52" t="s">
        <v>976</v>
      </c>
      <c r="P7" s="52" t="s">
        <v>977</v>
      </c>
    </row>
    <row r="9" spans="2:16" ht="18" customHeight="1" x14ac:dyDescent="0.3">
      <c r="B9" s="16" t="s">
        <v>1017</v>
      </c>
      <c r="C9" s="16"/>
      <c r="D9" s="16"/>
      <c r="E9" s="16"/>
      <c r="F9" s="16"/>
      <c r="G9" s="16"/>
      <c r="H9" s="16"/>
      <c r="I9" s="16"/>
      <c r="J9" s="16"/>
      <c r="K9" s="16"/>
      <c r="L9" s="16"/>
      <c r="M9" s="16"/>
      <c r="N9" s="16"/>
      <c r="O9" s="16"/>
      <c r="P9" s="16"/>
    </row>
    <row r="10" spans="2:16" x14ac:dyDescent="0.3">
      <c r="C10" s="18" t="s">
        <v>70</v>
      </c>
      <c r="H10" s="47">
        <f>'03 Segments'!C7</f>
        <v>175033</v>
      </c>
      <c r="I10" s="47">
        <f>'03 Segments'!D7</f>
        <v>198084</v>
      </c>
      <c r="J10" s="47">
        <f>'03 Segments'!E7</f>
        <v>224532</v>
      </c>
      <c r="K10" s="47">
        <f>'03 Segments'!E7+'03 Segments'!G7+'03 Segments'!I7-'03 Segments'!F7-'03 Segments'!H7</f>
        <v>243310</v>
      </c>
      <c r="L10" s="429">
        <f>J10*(1+'DCF Best Drivers'!C18)</f>
        <v>264947.76</v>
      </c>
      <c r="M10" s="429">
        <f>L10*(1+'DCF Best Drivers'!D18)</f>
        <v>304689.924</v>
      </c>
      <c r="N10" s="429">
        <f>M10*(1+'DCF Best Drivers'!E18)</f>
        <v>344299.61411999998</v>
      </c>
      <c r="O10" s="429">
        <f>N10*(1+'DCF Best Drivers'!F18)</f>
        <v>385615.56781440001</v>
      </c>
      <c r="P10" s="429">
        <f>O10*(1+'DCF Best Drivers'!G18)</f>
        <v>428033.28027398407</v>
      </c>
    </row>
    <row r="11" spans="2:16" x14ac:dyDescent="0.3">
      <c r="B11" s="61"/>
      <c r="C11" s="62" t="s">
        <v>71</v>
      </c>
      <c r="D11" s="61"/>
      <c r="E11" s="61"/>
      <c r="F11" s="61"/>
      <c r="G11" s="61"/>
      <c r="H11" s="430">
        <f>'03 Segments'!C8</f>
        <v>31510</v>
      </c>
      <c r="I11" s="430">
        <f>'03 Segments'!D8</f>
        <v>36147</v>
      </c>
      <c r="J11" s="430">
        <f>'03 Segments'!E8</f>
        <v>40367</v>
      </c>
      <c r="K11" s="430">
        <f>'03 Segments'!E8+'03 Segments'!G8+'03 Segments'!I8-'03 Segments'!F8-'03 Segments'!H8</f>
        <v>42582</v>
      </c>
      <c r="L11" s="431">
        <f>J11*(1+'DCF Best Drivers'!C19)</f>
        <v>46623.885000000002</v>
      </c>
      <c r="M11" s="431">
        <f>L11*(1+'DCF Best Drivers'!D19)</f>
        <v>53384.348325000006</v>
      </c>
      <c r="N11" s="431">
        <f>M11*(1+'DCF Best Drivers'!E19)</f>
        <v>60591.235348875009</v>
      </c>
      <c r="O11" s="431">
        <f>N11*(1+'DCF Best Drivers'!F19)</f>
        <v>68468.095944228757</v>
      </c>
      <c r="P11" s="431">
        <f>O11*(1+'DCF Best Drivers'!G19)</f>
        <v>77026.607937257359</v>
      </c>
    </row>
    <row r="12" spans="2:16" x14ac:dyDescent="0.3">
      <c r="B12" s="61"/>
      <c r="C12" s="62" t="s">
        <v>72</v>
      </c>
      <c r="D12" s="61"/>
      <c r="E12" s="61"/>
      <c r="F12" s="61"/>
      <c r="G12" s="61"/>
      <c r="H12" s="430">
        <f>'03 Segments'!C9</f>
        <v>31312</v>
      </c>
      <c r="I12" s="430">
        <f>'03 Segments'!D9</f>
        <v>30359</v>
      </c>
      <c r="J12" s="430">
        <f>'03 Segments'!E9</f>
        <v>29792</v>
      </c>
      <c r="K12" s="430">
        <f>'03 Segments'!E9+'03 Segments'!G9+'03 Segments'!I9-'03 Segments'!F9-'03 Segments'!H9</f>
        <v>29456</v>
      </c>
      <c r="L12" s="431">
        <f>J12*(1+'DCF Best Drivers'!C20)</f>
        <v>30089.920000000002</v>
      </c>
      <c r="M12" s="431">
        <f>L12*(1+'DCF Best Drivers'!D20)</f>
        <v>30390.819200000002</v>
      </c>
      <c r="N12" s="431">
        <f>M12*(1+'DCF Best Drivers'!E20)</f>
        <v>30694.727392000001</v>
      </c>
      <c r="O12" s="431">
        <f>N12*(1+'DCF Best Drivers'!F20)</f>
        <v>31001.67466592</v>
      </c>
      <c r="P12" s="431">
        <f>O12*(1+'DCF Best Drivers'!G20)</f>
        <v>31311.691412579199</v>
      </c>
    </row>
    <row r="13" spans="2:16" x14ac:dyDescent="0.3">
      <c r="B13" s="61"/>
      <c r="C13" s="62" t="s">
        <v>74</v>
      </c>
      <c r="D13" s="61"/>
      <c r="E13" s="61"/>
      <c r="F13" s="61"/>
      <c r="G13" s="61"/>
      <c r="H13" s="430">
        <f>'03 Segments'!C11</f>
        <v>34688</v>
      </c>
      <c r="I13" s="430">
        <f>'03 Segments'!D11</f>
        <v>40340</v>
      </c>
      <c r="J13" s="430">
        <f>'03 Segments'!E11</f>
        <v>48030</v>
      </c>
      <c r="K13" s="430">
        <f>'03 Segments'!E11+'03 Segments'!G11+'03 Segments'!I11-'03 Segments'!F11-'03 Segments'!H11</f>
        <v>51743</v>
      </c>
      <c r="L13" s="431">
        <f>J13*(1+'DCF Best Drivers'!C21)</f>
        <v>57155.7</v>
      </c>
      <c r="M13" s="431">
        <f>L13*(1+'DCF Best Drivers'!D21)</f>
        <v>67157.947499999995</v>
      </c>
      <c r="N13" s="431">
        <f>M13*(1+'DCF Best Drivers'!E21)</f>
        <v>77903.219099999988</v>
      </c>
      <c r="O13" s="431">
        <f>N13*(1+'DCF Best Drivers'!F21)</f>
        <v>89588.701964999986</v>
      </c>
      <c r="P13" s="431">
        <f>O13*(1+'DCF Best Drivers'!G21)</f>
        <v>102131.12024009999</v>
      </c>
    </row>
    <row r="14" spans="2:16" x14ac:dyDescent="0.3">
      <c r="B14" s="61"/>
      <c r="C14" s="62" t="s">
        <v>76</v>
      </c>
      <c r="D14" s="61"/>
      <c r="E14" s="61"/>
      <c r="F14" s="61"/>
      <c r="G14" s="61"/>
      <c r="H14" s="430">
        <f>'03 Segments'!C13</f>
        <v>33088</v>
      </c>
      <c r="I14" s="430">
        <f>'03 Segments'!D13</f>
        <v>43229</v>
      </c>
      <c r="J14" s="430">
        <f>'03 Segments'!E13</f>
        <v>58705</v>
      </c>
      <c r="K14" s="430">
        <f>'03 Segments'!E13+'03 Segments'!G13+'03 Segments'!I13-'03 Segments'!F13-'03 Segments'!H13</f>
        <v>77617</v>
      </c>
      <c r="L14" s="431">
        <f>J14*(1+'DCF Best Drivers'!C22)</f>
        <v>101559.65</v>
      </c>
      <c r="M14" s="431">
        <f>L14-L75*'DCF Best Drivers'!D24</f>
        <v>167828.51750000002</v>
      </c>
      <c r="N14" s="431">
        <f>M14-M75*'DCF Best Drivers'!E24</f>
        <v>250735.91344689502</v>
      </c>
      <c r="O14" s="431">
        <f>N14-N75*'DCF Best Drivers'!F24</f>
        <v>337771.79018189607</v>
      </c>
      <c r="P14" s="431">
        <f>O14-O75*'DCF Best Drivers'!G24</f>
        <v>423280.99052852328</v>
      </c>
    </row>
    <row r="15" spans="2:16" x14ac:dyDescent="0.3">
      <c r="B15" s="61"/>
      <c r="C15" s="62" t="s">
        <v>77</v>
      </c>
      <c r="D15" s="61"/>
      <c r="E15" s="61"/>
      <c r="F15" s="61"/>
      <c r="G15" s="61"/>
      <c r="H15" s="430">
        <f>'03 Segments'!C14</f>
        <v>1527</v>
      </c>
      <c r="I15" s="430">
        <f>'03 Segments'!D14</f>
        <v>1648</v>
      </c>
      <c r="J15" s="430">
        <f>'03 Segments'!E14</f>
        <v>1537</v>
      </c>
      <c r="K15" s="430">
        <f>'03 Segments'!E14+'03 Segments'!G14+'03 Segments'!I14-'03 Segments'!F14-'03 Segments'!H14</f>
        <v>1507</v>
      </c>
      <c r="L15" s="431">
        <f>J15*(1+'DCF Best Drivers'!C23)</f>
        <v>1659.96</v>
      </c>
      <c r="M15" s="431">
        <f>L15*(1+'DCF Best Drivers'!D23)</f>
        <v>1792.7568000000001</v>
      </c>
      <c r="N15" s="431">
        <f>M15*(1+'DCF Best Drivers'!E23)</f>
        <v>1936.1773440000002</v>
      </c>
      <c r="O15" s="431">
        <f>N15*(1+'DCF Best Drivers'!F23)</f>
        <v>2091.0715315200005</v>
      </c>
      <c r="P15" s="431">
        <f>O15*(1+'DCF Best Drivers'!G23)</f>
        <v>2258.3572540416008</v>
      </c>
    </row>
    <row r="16" spans="2:16" x14ac:dyDescent="0.3">
      <c r="B16" s="58"/>
      <c r="C16" s="59" t="s">
        <v>78</v>
      </c>
      <c r="D16" s="58"/>
      <c r="E16" s="58"/>
      <c r="F16" s="58"/>
      <c r="G16" s="58"/>
      <c r="H16" s="432">
        <f>'03 Segments'!C15</f>
        <v>236</v>
      </c>
      <c r="I16" s="432">
        <f>'03 Segments'!D15</f>
        <v>211</v>
      </c>
      <c r="J16" s="432">
        <f>'03 Segments'!E15</f>
        <v>-127</v>
      </c>
      <c r="K16" s="432">
        <f>'03 Segments'!E15+'03 Segments'!G15+'03 Segments'!I15-'03 Segments'!F15-'03 Segments'!H15</f>
        <v>-349</v>
      </c>
      <c r="L16" s="433">
        <f>'15 Assumptions'!$C$24</f>
        <v>0</v>
      </c>
      <c r="M16" s="433">
        <f>'15 Assumptions'!$C$24</f>
        <v>0</v>
      </c>
      <c r="N16" s="433">
        <f>'15 Assumptions'!$C$24</f>
        <v>0</v>
      </c>
      <c r="O16" s="433">
        <f>'15 Assumptions'!$C$24</f>
        <v>0</v>
      </c>
      <c r="P16" s="433">
        <f>'15 Assumptions'!$C$24</f>
        <v>0</v>
      </c>
    </row>
    <row r="17" spans="2:16" x14ac:dyDescent="0.3">
      <c r="C17" s="18"/>
      <c r="H17" s="38"/>
      <c r="I17" s="38"/>
      <c r="J17" s="38"/>
      <c r="K17" s="38"/>
      <c r="L17" s="67"/>
      <c r="M17" s="67"/>
      <c r="N17" s="67"/>
      <c r="O17" s="67"/>
      <c r="P17" s="67"/>
    </row>
    <row r="18" spans="2:16" x14ac:dyDescent="0.3">
      <c r="C18" s="54" t="s">
        <v>79</v>
      </c>
      <c r="D18" s="55"/>
      <c r="E18" s="55"/>
      <c r="F18" s="55"/>
      <c r="G18" s="55"/>
      <c r="H18" s="434">
        <f t="shared" ref="H18:P18" si="0">SUM(H10:H16)</f>
        <v>307394</v>
      </c>
      <c r="I18" s="434">
        <f t="shared" si="0"/>
        <v>350018</v>
      </c>
      <c r="J18" s="434">
        <f t="shared" si="0"/>
        <v>402836</v>
      </c>
      <c r="K18" s="434">
        <f t="shared" si="0"/>
        <v>445866</v>
      </c>
      <c r="L18" s="273">
        <f t="shared" si="0"/>
        <v>502036.87500000006</v>
      </c>
      <c r="M18" s="273">
        <f t="shared" si="0"/>
        <v>625244.31332500011</v>
      </c>
      <c r="N18" s="273">
        <f t="shared" si="0"/>
        <v>766160.88675177004</v>
      </c>
      <c r="O18" s="273">
        <f t="shared" si="0"/>
        <v>914536.90210296481</v>
      </c>
      <c r="P18" s="273">
        <f t="shared" si="0"/>
        <v>1064042.0476464855</v>
      </c>
    </row>
    <row r="19" spans="2:16" x14ac:dyDescent="0.3">
      <c r="C19" s="18" t="s">
        <v>84</v>
      </c>
      <c r="H19" s="37"/>
      <c r="I19" s="376">
        <f>I18/H18-1</f>
        <v>0.13866243322901561</v>
      </c>
      <c r="J19" s="376">
        <f>J18/I18-1</f>
        <v>0.15090081081544371</v>
      </c>
      <c r="K19" s="37"/>
      <c r="L19" s="435">
        <f>L18/J18-1</f>
        <v>0.24625623082346171</v>
      </c>
      <c r="M19" s="435">
        <f>M18/L18-1</f>
        <v>0.24541511681786332</v>
      </c>
      <c r="N19" s="435">
        <f>N18/M18-1</f>
        <v>0.22537841676221992</v>
      </c>
      <c r="O19" s="435">
        <f>O18/N18-1</f>
        <v>0.19366169419095836</v>
      </c>
      <c r="P19" s="435">
        <f>P18/O18-1</f>
        <v>0.16347633999211597</v>
      </c>
    </row>
    <row r="22" spans="2:16" ht="18" customHeight="1" x14ac:dyDescent="0.3">
      <c r="B22" s="16" t="s">
        <v>1018</v>
      </c>
      <c r="C22" s="16"/>
      <c r="D22" s="16"/>
      <c r="E22" s="16"/>
      <c r="F22" s="16"/>
      <c r="G22" s="16"/>
      <c r="H22" s="16"/>
      <c r="I22" s="16"/>
      <c r="J22" s="16"/>
      <c r="K22" s="16"/>
      <c r="L22" s="16"/>
      <c r="M22" s="16"/>
      <c r="N22" s="16"/>
      <c r="O22" s="16"/>
      <c r="P22" s="16"/>
    </row>
    <row r="23" spans="2:16" x14ac:dyDescent="0.3">
      <c r="C23" s="18" t="s">
        <v>13</v>
      </c>
      <c r="H23" s="274">
        <f t="shared" ref="H23:P23" si="1">H18</f>
        <v>307394</v>
      </c>
      <c r="I23" s="274">
        <f t="shared" si="1"/>
        <v>350018</v>
      </c>
      <c r="J23" s="274">
        <f t="shared" si="1"/>
        <v>402836</v>
      </c>
      <c r="K23" s="274">
        <f t="shared" si="1"/>
        <v>445866</v>
      </c>
      <c r="L23" s="436">
        <f t="shared" si="1"/>
        <v>502036.87500000006</v>
      </c>
      <c r="M23" s="436">
        <f t="shared" si="1"/>
        <v>625244.31332500011</v>
      </c>
      <c r="N23" s="436">
        <f t="shared" si="1"/>
        <v>766160.88675177004</v>
      </c>
      <c r="O23" s="436">
        <f t="shared" si="1"/>
        <v>914536.90210296481</v>
      </c>
      <c r="P23" s="436">
        <f t="shared" si="1"/>
        <v>1064042.0476464855</v>
      </c>
    </row>
    <row r="24" spans="2:16" x14ac:dyDescent="0.3">
      <c r="C24" s="54" t="s">
        <v>20</v>
      </c>
      <c r="D24" s="55"/>
      <c r="E24" s="55"/>
      <c r="F24" s="55"/>
      <c r="G24" s="55"/>
      <c r="H24" s="437">
        <f>'01 Income Statement'!C12</f>
        <v>84293</v>
      </c>
      <c r="I24" s="437">
        <f>'01 Income Statement'!D12</f>
        <v>112390</v>
      </c>
      <c r="J24" s="437">
        <f>'01 Income Statement'!E12</f>
        <v>129039</v>
      </c>
      <c r="K24" s="437">
        <f>'01 Income Statement'!G12</f>
        <v>147628</v>
      </c>
      <c r="L24" s="438">
        <f>L23*'DCF Best Drivers'!C25-L26</f>
        <v>179377.22399433021</v>
      </c>
      <c r="M24" s="438">
        <f>M23*'DCF Best Drivers'!D25-M26</f>
        <v>221410.33727358439</v>
      </c>
      <c r="N24" s="438">
        <f>N23*'DCF Best Drivers'!E25-N26</f>
        <v>265889.27942850027</v>
      </c>
      <c r="O24" s="438">
        <f>O23*'DCF Best Drivers'!F25-O26</f>
        <v>314535.03972152463</v>
      </c>
      <c r="P24" s="438">
        <f>P23*'DCF Best Drivers'!G25-P26</f>
        <v>367529.09614432661</v>
      </c>
    </row>
    <row r="25" spans="2:16" x14ac:dyDescent="0.3">
      <c r="B25" s="56"/>
      <c r="C25" s="57" t="s">
        <v>1405</v>
      </c>
      <c r="D25" s="56"/>
      <c r="E25" s="56"/>
      <c r="F25" s="56"/>
      <c r="G25" s="56"/>
      <c r="H25" s="439">
        <f t="shared" ref="H25:P25" si="2">H24/H23</f>
        <v>0.27421810445226646</v>
      </c>
      <c r="I25" s="439">
        <f t="shared" si="2"/>
        <v>0.32109777211457696</v>
      </c>
      <c r="J25" s="439">
        <f t="shared" si="2"/>
        <v>0.32032638592380025</v>
      </c>
      <c r="K25" s="439">
        <f t="shared" si="2"/>
        <v>0.33110396397123798</v>
      </c>
      <c r="L25" s="440">
        <f t="shared" si="2"/>
        <v>0.35729890158831501</v>
      </c>
      <c r="M25" s="440">
        <f t="shared" si="2"/>
        <v>0.35411811439938035</v>
      </c>
      <c r="N25" s="440">
        <f t="shared" si="2"/>
        <v>0.3470410510718831</v>
      </c>
      <c r="O25" s="440">
        <f t="shared" si="2"/>
        <v>0.34392821000252227</v>
      </c>
      <c r="P25" s="440">
        <f t="shared" si="2"/>
        <v>0.34540843283143779</v>
      </c>
    </row>
    <row r="26" spans="2:16" ht="14.4" customHeight="1" x14ac:dyDescent="0.3">
      <c r="C26" s="54" t="s">
        <v>1404</v>
      </c>
      <c r="L26" s="273">
        <f>L64-L23*($K$64/$K$23)</f>
        <v>351.97725566978988</v>
      </c>
      <c r="M26" s="273">
        <f>M64-M23*($K$64/$K$23)</f>
        <v>8679.5700300156532</v>
      </c>
      <c r="N26" s="273">
        <f>N64-N23*($K$64/$K$23)</f>
        <v>23719.53576366885</v>
      </c>
      <c r="O26" s="273">
        <f>O64-O23*($K$64/$K$23)</f>
        <v>40305.278294425756</v>
      </c>
      <c r="P26" s="273">
        <f>P64-P23*($K$64/$K$23)</f>
        <v>55959.638818974658</v>
      </c>
    </row>
    <row r="27" spans="2:16" x14ac:dyDescent="0.3">
      <c r="C27" s="18" t="s">
        <v>1019</v>
      </c>
      <c r="H27" s="274">
        <f>H29-H28</f>
        <v>1032</v>
      </c>
      <c r="I27" s="274">
        <f>I29-I28</f>
        <v>3711</v>
      </c>
      <c r="J27" s="274">
        <f>J29-J28</f>
        <v>5707</v>
      </c>
      <c r="K27" s="274">
        <f>K29-K28</f>
        <v>2659</v>
      </c>
      <c r="L27" s="429">
        <f>'15 Assumptions'!C46</f>
        <v>3000</v>
      </c>
      <c r="M27" s="429">
        <f>'15 Assumptions'!D46</f>
        <v>3200</v>
      </c>
      <c r="N27" s="429">
        <f>'15 Assumptions'!E46</f>
        <v>3400</v>
      </c>
      <c r="O27" s="429">
        <f>'15 Assumptions'!F46</f>
        <v>3600</v>
      </c>
      <c r="P27" s="429">
        <f>'15 Assumptions'!G46</f>
        <v>3800</v>
      </c>
    </row>
    <row r="28" spans="2:16" x14ac:dyDescent="0.3">
      <c r="B28" s="61"/>
      <c r="C28" s="62" t="s">
        <v>1020</v>
      </c>
      <c r="D28" s="61"/>
      <c r="E28" s="61"/>
      <c r="F28" s="61"/>
      <c r="G28" s="61"/>
      <c r="H28" s="430">
        <f>'06 Core EPS Bridge'!C7</f>
        <v>392</v>
      </c>
      <c r="I28" s="430">
        <f>'06 Core EPS Bridge'!D7</f>
        <v>3714</v>
      </c>
      <c r="J28" s="430">
        <f>'06 Core EPS Bridge'!E7</f>
        <v>24080</v>
      </c>
      <c r="K28" s="430">
        <f>'06 Core EPS Bridge'!E7+'06 Core EPS Bridge'!G7+'06 Core EPS Bridge'!I7-'06 Core EPS Bridge'!F7-'06 Core EPS Bridge'!H7</f>
        <v>148982</v>
      </c>
      <c r="L28" s="431">
        <f>'15 Assumptions'!C47</f>
        <v>135946</v>
      </c>
      <c r="M28" s="431">
        <f>'15 Assumptions'!D47</f>
        <v>0</v>
      </c>
      <c r="N28" s="431">
        <f>'15 Assumptions'!E47</f>
        <v>0</v>
      </c>
      <c r="O28" s="431">
        <f>'15 Assumptions'!F47</f>
        <v>0</v>
      </c>
      <c r="P28" s="431">
        <f>'15 Assumptions'!G47</f>
        <v>0</v>
      </c>
    </row>
    <row r="29" spans="2:16" x14ac:dyDescent="0.3">
      <c r="B29" s="58"/>
      <c r="C29" s="59" t="s">
        <v>1021</v>
      </c>
      <c r="D29" s="58"/>
      <c r="E29" s="58"/>
      <c r="F29" s="58"/>
      <c r="G29" s="58"/>
      <c r="H29" s="432">
        <f>'01 Income Statement'!C14</f>
        <v>1424</v>
      </c>
      <c r="I29" s="432">
        <f>'01 Income Statement'!D14</f>
        <v>7425</v>
      </c>
      <c r="J29" s="432">
        <f>'01 Income Statement'!E14</f>
        <v>29787</v>
      </c>
      <c r="K29" s="432">
        <f>'01 Income Statement'!G14</f>
        <v>151641</v>
      </c>
      <c r="L29" s="441">
        <f>L27+L28</f>
        <v>138946</v>
      </c>
      <c r="M29" s="441">
        <f>M27+M28</f>
        <v>3200</v>
      </c>
      <c r="N29" s="441">
        <f>N27+N28</f>
        <v>3400</v>
      </c>
      <c r="O29" s="441">
        <f>O27+O28</f>
        <v>3600</v>
      </c>
      <c r="P29" s="441">
        <f>P27+P28</f>
        <v>3800</v>
      </c>
    </row>
    <row r="31" spans="2:16" x14ac:dyDescent="0.3">
      <c r="C31" s="18" t="s">
        <v>1022</v>
      </c>
      <c r="H31" s="274">
        <f t="shared" ref="H31:P31" si="3">H24+H29</f>
        <v>85717</v>
      </c>
      <c r="I31" s="274">
        <f t="shared" si="3"/>
        <v>119815</v>
      </c>
      <c r="J31" s="274">
        <f t="shared" si="3"/>
        <v>158826</v>
      </c>
      <c r="K31" s="274">
        <f t="shared" si="3"/>
        <v>299269</v>
      </c>
      <c r="L31" s="436">
        <f t="shared" si="3"/>
        <v>318323.22399433021</v>
      </c>
      <c r="M31" s="436">
        <f t="shared" si="3"/>
        <v>224610.33727358439</v>
      </c>
      <c r="N31" s="436">
        <f t="shared" si="3"/>
        <v>269289.27942850027</v>
      </c>
      <c r="O31" s="436">
        <f t="shared" si="3"/>
        <v>318135.03972152463</v>
      </c>
      <c r="P31" s="436">
        <f t="shared" si="3"/>
        <v>371329.09614432661</v>
      </c>
    </row>
    <row r="32" spans="2:16" x14ac:dyDescent="0.3">
      <c r="B32" s="58"/>
      <c r="C32" s="59" t="s">
        <v>25</v>
      </c>
      <c r="D32" s="58"/>
      <c r="E32" s="58"/>
      <c r="F32" s="58"/>
      <c r="G32" s="58"/>
      <c r="H32" s="432">
        <f>'01 Income Statement'!C16</f>
        <v>11922</v>
      </c>
      <c r="I32" s="432">
        <f>'01 Income Statement'!D16</f>
        <v>19697</v>
      </c>
      <c r="J32" s="432">
        <f>'01 Income Statement'!E16</f>
        <v>26656</v>
      </c>
      <c r="K32" s="432">
        <f>'01 Income Statement'!G16</f>
        <v>55064</v>
      </c>
      <c r="L32" s="527">
        <f>L44*'15 Assumptions'!$C$10+L28*'15 Assumptions'!$C$85</f>
        <v>57933.296717578298</v>
      </c>
      <c r="M32" s="527">
        <f>M44*'15 Assumptions'!$C$10+M28*'15 Assumptions'!$C$85</f>
        <v>36189.240187152966</v>
      </c>
      <c r="N32" s="527">
        <f>N44*'15 Assumptions'!$C$10+N28*'15 Assumptions'!$C$85</f>
        <v>43387.915851767277</v>
      </c>
      <c r="O32" s="527">
        <f>O44*'15 Assumptions'!$C$10+O28*'15 Assumptions'!$C$85</f>
        <v>51257.949674899995</v>
      </c>
      <c r="P32" s="527">
        <f>P44*'15 Assumptions'!$C$10+P28*'15 Assumptions'!$C$85</f>
        <v>59828.581408865815</v>
      </c>
    </row>
    <row r="33" spans="2:16" x14ac:dyDescent="0.3">
      <c r="C33" s="5" t="s">
        <v>1023</v>
      </c>
      <c r="D33" s="2"/>
      <c r="E33" s="2"/>
      <c r="F33" s="2"/>
      <c r="G33" s="2"/>
      <c r="H33" s="442">
        <f t="shared" ref="H33:P33" si="4">H31-H32</f>
        <v>73795</v>
      </c>
      <c r="I33" s="442">
        <f t="shared" si="4"/>
        <v>100118</v>
      </c>
      <c r="J33" s="442">
        <f t="shared" si="4"/>
        <v>132170</v>
      </c>
      <c r="K33" s="442">
        <f t="shared" si="4"/>
        <v>244205</v>
      </c>
      <c r="L33" s="443">
        <f t="shared" si="4"/>
        <v>260389.9272767519</v>
      </c>
      <c r="M33" s="443">
        <f t="shared" si="4"/>
        <v>188421.09708643143</v>
      </c>
      <c r="N33" s="443">
        <f t="shared" si="4"/>
        <v>225901.36357673298</v>
      </c>
      <c r="O33" s="443">
        <f t="shared" si="4"/>
        <v>266877.09004662465</v>
      </c>
      <c r="P33" s="443">
        <f t="shared" si="4"/>
        <v>311500.51473546081</v>
      </c>
    </row>
    <row r="34" spans="2:16" x14ac:dyDescent="0.3">
      <c r="C34" s="18"/>
      <c r="L34" s="69"/>
      <c r="M34" s="69"/>
      <c r="N34" s="69"/>
      <c r="O34" s="69"/>
      <c r="P34" s="69"/>
    </row>
    <row r="35" spans="2:16" x14ac:dyDescent="0.3">
      <c r="C35" s="18" t="s">
        <v>1024</v>
      </c>
      <c r="H35" s="38"/>
      <c r="I35" s="38"/>
      <c r="J35" s="38"/>
      <c r="K35" s="38"/>
      <c r="L35" s="429">
        <f>'15 Assumptions'!$C$9</f>
        <v>1187.5</v>
      </c>
      <c r="M35" s="429">
        <f>'15 Assumptions'!$C$9</f>
        <v>1187.5</v>
      </c>
      <c r="N35" s="429">
        <f>'15 Assumptions'!$C$9</f>
        <v>1187.5</v>
      </c>
      <c r="O35" s="429">
        <f>'15 Assumptions'!$C$9</f>
        <v>1187.5</v>
      </c>
      <c r="P35" s="429">
        <f>'15 Assumptions'!$C$9</f>
        <v>1187.5</v>
      </c>
    </row>
    <row r="36" spans="2:16" x14ac:dyDescent="0.3">
      <c r="B36" s="61"/>
      <c r="C36" s="62" t="s">
        <v>1025</v>
      </c>
      <c r="D36" s="61"/>
      <c r="E36" s="61"/>
      <c r="F36" s="61"/>
      <c r="G36" s="61"/>
      <c r="H36" s="444">
        <f>H33</f>
        <v>73795</v>
      </c>
      <c r="I36" s="444">
        <f>I33</f>
        <v>100118</v>
      </c>
      <c r="J36" s="444">
        <f>J33</f>
        <v>132170</v>
      </c>
      <c r="K36" s="444">
        <f>K33</f>
        <v>244205</v>
      </c>
      <c r="L36" s="445">
        <f>L33-L35</f>
        <v>259202.4272767519</v>
      </c>
      <c r="M36" s="445">
        <f>M33-M35</f>
        <v>187233.59708643143</v>
      </c>
      <c r="N36" s="445">
        <f>N33-N35</f>
        <v>224713.86357673298</v>
      </c>
      <c r="O36" s="445">
        <f>O33-O35</f>
        <v>265689.59004662465</v>
      </c>
      <c r="P36" s="445">
        <f>P33-P35</f>
        <v>310313.01473546081</v>
      </c>
    </row>
    <row r="37" spans="2:16" x14ac:dyDescent="0.3">
      <c r="B37" s="58"/>
      <c r="C37" s="59" t="s">
        <v>44</v>
      </c>
      <c r="D37" s="58"/>
      <c r="E37" s="58"/>
      <c r="F37" s="58"/>
      <c r="G37" s="58"/>
      <c r="H37" s="432">
        <f>'01 Income Statement'!C20</f>
        <v>12722</v>
      </c>
      <c r="I37" s="432">
        <f>'01 Income Statement'!D20</f>
        <v>12447</v>
      </c>
      <c r="J37" s="432">
        <f>'01 Income Statement'!E20</f>
        <v>12230</v>
      </c>
      <c r="K37" s="432">
        <f>'01 Income Statement'!G20</f>
        <v>12259</v>
      </c>
      <c r="L37" s="433">
        <f>'15 Assumptions'!$C$8+0.25*L71/'15 Assumptions'!$C$7</f>
        <v>12296.11031775742</v>
      </c>
      <c r="M37" s="433">
        <f>L37+M71/'15 Assumptions'!$C$7</f>
        <v>12402.584877118676</v>
      </c>
      <c r="N37" s="433">
        <f>M37+N71/'15 Assumptions'!$C$7</f>
        <v>12528.55748247438</v>
      </c>
      <c r="O37" s="433">
        <f>N37+O71/'15 Assumptions'!$C$7</f>
        <v>12673.55584623597</v>
      </c>
      <c r="P37" s="433">
        <f>O37+P71/'15 Assumptions'!$C$7</f>
        <v>12836.009783455551</v>
      </c>
    </row>
    <row r="38" spans="2:16" ht="15" thickBot="1" x14ac:dyDescent="0.35">
      <c r="C38" s="65" t="s">
        <v>1026</v>
      </c>
      <c r="D38" s="66"/>
      <c r="E38" s="66"/>
      <c r="F38" s="66"/>
      <c r="G38" s="66"/>
      <c r="H38" s="446">
        <f t="shared" ref="H38:P38" si="5">H36/H37</f>
        <v>5.800581669548813</v>
      </c>
      <c r="I38" s="446">
        <f t="shared" si="5"/>
        <v>8.0435446292279256</v>
      </c>
      <c r="J38" s="446">
        <f t="shared" si="5"/>
        <v>10.807031888798038</v>
      </c>
      <c r="K38" s="446">
        <f t="shared" si="5"/>
        <v>19.920466595970307</v>
      </c>
      <c r="L38" s="447">
        <f t="shared" si="5"/>
        <v>21.080034301776301</v>
      </c>
      <c r="M38" s="447">
        <f t="shared" si="5"/>
        <v>15.096336686383465</v>
      </c>
      <c r="N38" s="447">
        <f t="shared" si="5"/>
        <v>17.936132223607931</v>
      </c>
      <c r="O38" s="447">
        <f t="shared" si="5"/>
        <v>20.964091946265746</v>
      </c>
      <c r="P38" s="447">
        <f t="shared" si="5"/>
        <v>24.175193067819727</v>
      </c>
    </row>
    <row r="39" spans="2:16" ht="15" thickTop="1" x14ac:dyDescent="0.3"/>
    <row r="41" spans="2:16" ht="18" customHeight="1" x14ac:dyDescent="0.3">
      <c r="B41" s="16" t="s">
        <v>1027</v>
      </c>
      <c r="C41" s="16"/>
      <c r="D41" s="16"/>
      <c r="E41" s="16"/>
      <c r="F41" s="16"/>
      <c r="G41" s="16"/>
      <c r="H41" s="16"/>
      <c r="I41" s="16"/>
      <c r="J41" s="16"/>
      <c r="K41" s="16"/>
      <c r="L41" s="16"/>
      <c r="M41" s="16"/>
      <c r="N41" s="16"/>
      <c r="O41" s="16"/>
      <c r="P41" s="16"/>
    </row>
    <row r="42" spans="2:16" x14ac:dyDescent="0.3">
      <c r="C42" s="18" t="s">
        <v>1022</v>
      </c>
      <c r="H42" s="274">
        <f t="shared" ref="H42:P42" si="6">H31</f>
        <v>85717</v>
      </c>
      <c r="I42" s="274">
        <f t="shared" si="6"/>
        <v>119815</v>
      </c>
      <c r="J42" s="274">
        <f t="shared" si="6"/>
        <v>158826</v>
      </c>
      <c r="K42" s="274">
        <f t="shared" si="6"/>
        <v>299269</v>
      </c>
      <c r="L42" s="436">
        <f t="shared" si="6"/>
        <v>318323.22399433021</v>
      </c>
      <c r="M42" s="436">
        <f t="shared" si="6"/>
        <v>224610.33727358439</v>
      </c>
      <c r="N42" s="436">
        <f t="shared" si="6"/>
        <v>269289.27942850027</v>
      </c>
      <c r="O42" s="436">
        <f t="shared" si="6"/>
        <v>318135.03972152463</v>
      </c>
      <c r="P42" s="436">
        <f t="shared" si="6"/>
        <v>371329.09614432661</v>
      </c>
    </row>
    <row r="43" spans="2:16" x14ac:dyDescent="0.3">
      <c r="B43" s="61"/>
      <c r="C43" s="62" t="s">
        <v>1028</v>
      </c>
      <c r="D43" s="61"/>
      <c r="E43" s="61"/>
      <c r="F43" s="61"/>
      <c r="G43" s="61"/>
      <c r="H43" s="444">
        <f>-H28</f>
        <v>-392</v>
      </c>
      <c r="I43" s="444">
        <f>-I28</f>
        <v>-3714</v>
      </c>
      <c r="J43" s="444">
        <f>-J28</f>
        <v>-24080</v>
      </c>
      <c r="K43" s="430">
        <f>-('06 Core EPS Bridge'!E7+'06 Core EPS Bridge'!G7+'06 Core EPS Bridge'!I7-'06 Core EPS Bridge'!F7-'06 Core EPS Bridge'!H7)</f>
        <v>-148982</v>
      </c>
      <c r="L43" s="445">
        <f>-L28</f>
        <v>-135946</v>
      </c>
      <c r="M43" s="445">
        <f>-M28</f>
        <v>0</v>
      </c>
      <c r="N43" s="445">
        <f>-N28</f>
        <v>0</v>
      </c>
      <c r="O43" s="445">
        <f>-O28</f>
        <v>0</v>
      </c>
      <c r="P43" s="445">
        <f>-P28</f>
        <v>0</v>
      </c>
    </row>
    <row r="44" spans="2:16" x14ac:dyDescent="0.3">
      <c r="B44" s="61"/>
      <c r="C44" s="62" t="s">
        <v>1029</v>
      </c>
      <c r="D44" s="61"/>
      <c r="E44" s="61"/>
      <c r="F44" s="61"/>
      <c r="G44" s="61"/>
      <c r="H44" s="444">
        <f t="shared" ref="H44:P44" si="7">H42+H43</f>
        <v>85325</v>
      </c>
      <c r="I44" s="444">
        <f t="shared" si="7"/>
        <v>116101</v>
      </c>
      <c r="J44" s="444">
        <f t="shared" si="7"/>
        <v>134746</v>
      </c>
      <c r="K44" s="444">
        <f t="shared" si="7"/>
        <v>150287</v>
      </c>
      <c r="L44" s="445">
        <f t="shared" si="7"/>
        <v>182377.22399433021</v>
      </c>
      <c r="M44" s="445">
        <f t="shared" si="7"/>
        <v>224610.33727358439</v>
      </c>
      <c r="N44" s="445">
        <f t="shared" si="7"/>
        <v>269289.27942850027</v>
      </c>
      <c r="O44" s="445">
        <f t="shared" si="7"/>
        <v>318135.03972152463</v>
      </c>
      <c r="P44" s="445">
        <f t="shared" si="7"/>
        <v>371329.09614432661</v>
      </c>
    </row>
    <row r="45" spans="2:16" x14ac:dyDescent="0.3">
      <c r="B45" s="58" t="s">
        <v>2086</v>
      </c>
      <c r="C45" s="59" t="s">
        <v>1030</v>
      </c>
      <c r="D45" s="58"/>
      <c r="E45" s="58"/>
      <c r="F45" s="58"/>
      <c r="G45" s="58"/>
      <c r="H45" s="526">
        <f>H32-H28*'15 Assumptions'!$C$85</f>
        <v>11839.68</v>
      </c>
      <c r="I45" s="526">
        <f>I32-I28*'15 Assumptions'!$C$85</f>
        <v>18917.060000000001</v>
      </c>
      <c r="J45" s="526">
        <f>J32-J28*'15 Assumptions'!$C$85</f>
        <v>21599.200000000001</v>
      </c>
      <c r="K45" s="526">
        <f>K32-K28*'15 Assumptions'!$C$85</f>
        <v>23777.780000000002</v>
      </c>
      <c r="L45" s="433">
        <f>L44*'15 Assumptions'!$C$10</f>
        <v>29384.636717578298</v>
      </c>
      <c r="M45" s="433">
        <f>M44*'15 Assumptions'!$C$10</f>
        <v>36189.240187152966</v>
      </c>
      <c r="N45" s="433">
        <f>N44*'15 Assumptions'!$C$10</f>
        <v>43387.915851767277</v>
      </c>
      <c r="O45" s="433">
        <f>O44*'15 Assumptions'!$C$10</f>
        <v>51257.949674899995</v>
      </c>
      <c r="P45" s="433">
        <f>P44*'15 Assumptions'!$C$10</f>
        <v>59828.581408865815</v>
      </c>
    </row>
    <row r="46" spans="2:16" x14ac:dyDescent="0.3">
      <c r="C46" s="5" t="s">
        <v>1031</v>
      </c>
      <c r="D46" s="2"/>
      <c r="E46" s="2"/>
      <c r="F46" s="2"/>
      <c r="G46" s="2"/>
      <c r="H46" s="442">
        <f t="shared" ref="H46:P46" si="8">H44-H45</f>
        <v>73485.320000000007</v>
      </c>
      <c r="I46" s="442">
        <f t="shared" si="8"/>
        <v>97183.94</v>
      </c>
      <c r="J46" s="442">
        <f t="shared" si="8"/>
        <v>113146.8</v>
      </c>
      <c r="K46" s="442">
        <f t="shared" si="8"/>
        <v>126509.22</v>
      </c>
      <c r="L46" s="443">
        <f t="shared" si="8"/>
        <v>152992.5872767519</v>
      </c>
      <c r="M46" s="443">
        <f t="shared" si="8"/>
        <v>188421.09708643143</v>
      </c>
      <c r="N46" s="443">
        <f t="shared" si="8"/>
        <v>225901.36357673298</v>
      </c>
      <c r="O46" s="443">
        <f t="shared" si="8"/>
        <v>266877.09004662465</v>
      </c>
      <c r="P46" s="443">
        <f t="shared" si="8"/>
        <v>311500.51473546081</v>
      </c>
    </row>
    <row r="47" spans="2:16" x14ac:dyDescent="0.3">
      <c r="B47" s="56"/>
      <c r="C47" s="57" t="s">
        <v>1032</v>
      </c>
      <c r="D47" s="56"/>
      <c r="E47" s="56"/>
      <c r="F47" s="56"/>
      <c r="G47" s="56"/>
      <c r="H47" s="448">
        <f>H46</f>
        <v>73485.320000000007</v>
      </c>
      <c r="I47" s="448">
        <f>I46</f>
        <v>97183.94</v>
      </c>
      <c r="J47" s="448">
        <f>J46</f>
        <v>113146.8</v>
      </c>
      <c r="K47" s="448">
        <f>K46</f>
        <v>126509.22</v>
      </c>
      <c r="L47" s="449">
        <f>L46-L35</f>
        <v>151805.0872767519</v>
      </c>
      <c r="M47" s="449">
        <f>M46-M35</f>
        <v>187233.59708643143</v>
      </c>
      <c r="N47" s="449">
        <f>N46-N35</f>
        <v>224713.86357673298</v>
      </c>
      <c r="O47" s="449">
        <f>O46-O35</f>
        <v>265689.59004662465</v>
      </c>
      <c r="P47" s="449">
        <f>P46-P35</f>
        <v>310313.01473546081</v>
      </c>
    </row>
    <row r="48" spans="2:16" ht="15" thickBot="1" x14ac:dyDescent="0.35">
      <c r="C48" s="65" t="s">
        <v>1033</v>
      </c>
      <c r="D48" s="66"/>
      <c r="E48" s="66"/>
      <c r="F48" s="66"/>
      <c r="G48" s="66"/>
      <c r="H48" s="446">
        <f t="shared" ref="H48:P48" si="9">H47/H37</f>
        <v>5.7762395849709174</v>
      </c>
      <c r="I48" s="446">
        <f t="shared" si="9"/>
        <v>7.8078203583192742</v>
      </c>
      <c r="J48" s="446">
        <f t="shared" si="9"/>
        <v>9.2515780866721187</v>
      </c>
      <c r="K48" s="446">
        <f t="shared" si="9"/>
        <v>10.319701443837181</v>
      </c>
      <c r="L48" s="447">
        <f t="shared" si="9"/>
        <v>12.345781174191538</v>
      </c>
      <c r="M48" s="447">
        <f t="shared" si="9"/>
        <v>15.096336686383465</v>
      </c>
      <c r="N48" s="447">
        <f t="shared" si="9"/>
        <v>17.936132223607931</v>
      </c>
      <c r="O48" s="447">
        <f t="shared" si="9"/>
        <v>20.964091946265746</v>
      </c>
      <c r="P48" s="447">
        <f t="shared" si="9"/>
        <v>24.175193067819727</v>
      </c>
    </row>
    <row r="49" spans="2:16" ht="15" thickTop="1" x14ac:dyDescent="0.3"/>
    <row r="51" spans="2:16" ht="18" customHeight="1" x14ac:dyDescent="0.3">
      <c r="B51" s="16" t="s">
        <v>1034</v>
      </c>
      <c r="C51" s="16"/>
      <c r="D51" s="16"/>
      <c r="E51" s="16"/>
      <c r="F51" s="16"/>
      <c r="G51" s="16"/>
      <c r="H51" s="16"/>
      <c r="I51" s="16"/>
      <c r="J51" s="16"/>
      <c r="K51" s="16"/>
      <c r="L51" s="16"/>
      <c r="M51" s="16"/>
      <c r="N51" s="16"/>
      <c r="O51" s="16"/>
      <c r="P51" s="16"/>
    </row>
    <row r="52" spans="2:16" x14ac:dyDescent="0.3">
      <c r="C52" s="18" t="s">
        <v>2043</v>
      </c>
      <c r="L52" s="450">
        <f>'DCF Best Drivers'!$C$29</f>
        <v>9.7560975609756095</v>
      </c>
      <c r="M52" s="69"/>
      <c r="N52" s="69"/>
      <c r="O52" s="69"/>
      <c r="P52" s="69"/>
    </row>
    <row r="53" spans="2:16" x14ac:dyDescent="0.3">
      <c r="B53" s="61"/>
      <c r="C53" s="62" t="s">
        <v>1035</v>
      </c>
      <c r="D53" s="61"/>
      <c r="E53" s="61"/>
      <c r="F53" s="61"/>
      <c r="G53" s="61"/>
      <c r="H53" s="61"/>
      <c r="I53" s="61"/>
      <c r="J53" s="61"/>
      <c r="K53" s="61"/>
      <c r="L53" s="451">
        <f>'DCF Best Drivers'!$C$28</f>
        <v>0.45</v>
      </c>
      <c r="M53" s="70"/>
      <c r="N53" s="70"/>
      <c r="O53" s="70"/>
      <c r="P53" s="70"/>
    </row>
    <row r="54" spans="2:16" x14ac:dyDescent="0.3">
      <c r="B54" s="61"/>
      <c r="C54" s="62"/>
      <c r="D54" s="61"/>
      <c r="E54" s="61"/>
      <c r="F54" s="61"/>
      <c r="G54" s="61"/>
      <c r="H54" s="61"/>
      <c r="I54" s="61"/>
      <c r="J54" s="61"/>
      <c r="K54" s="61"/>
      <c r="L54" s="70"/>
      <c r="M54" s="70"/>
      <c r="N54" s="70"/>
      <c r="O54" s="70"/>
      <c r="P54" s="70"/>
    </row>
    <row r="55" spans="2:16" x14ac:dyDescent="0.3">
      <c r="B55" s="61"/>
      <c r="C55" s="62" t="s">
        <v>1036</v>
      </c>
      <c r="D55" s="61"/>
      <c r="E55" s="61"/>
      <c r="F55" s="61"/>
      <c r="G55" s="61"/>
      <c r="H55" s="63"/>
      <c r="I55" s="63"/>
      <c r="J55" s="63"/>
      <c r="K55" s="63"/>
      <c r="L55" s="431">
        <f>'15 Assumptions'!$C$48</f>
        <v>27172</v>
      </c>
      <c r="M55" s="431">
        <f>'15 Assumptions'!$C$48</f>
        <v>27172</v>
      </c>
      <c r="N55" s="431">
        <f>'15 Assumptions'!$C$48</f>
        <v>27172</v>
      </c>
      <c r="O55" s="431">
        <f>'15 Assumptions'!$C$48</f>
        <v>27172</v>
      </c>
      <c r="P55" s="431">
        <f>'15 Assumptions'!$C$48</f>
        <v>27172</v>
      </c>
    </row>
    <row r="56" spans="2:16" x14ac:dyDescent="0.3">
      <c r="B56" s="61"/>
      <c r="C56" s="62" t="s">
        <v>2044</v>
      </c>
      <c r="D56" s="61"/>
      <c r="E56" s="61"/>
      <c r="F56" s="61"/>
      <c r="G56" s="61"/>
      <c r="H56" s="63"/>
      <c r="I56" s="63"/>
      <c r="J56" s="63"/>
      <c r="K56" s="63"/>
      <c r="L56" s="431">
        <f>'15 Assumptions'!$C$42*-L75</f>
        <v>180733.27500000002</v>
      </c>
      <c r="M56" s="431">
        <f>'15 Assumptions'!$C$42*-M75</f>
        <v>219460.75397707504</v>
      </c>
      <c r="N56" s="431">
        <f>'15 Assumptions'!$C$42*-N75</f>
        <v>220654.33538450979</v>
      </c>
      <c r="O56" s="431">
        <f>'15 Assumptions'!$C$42*-O75</f>
        <v>205770.8029731671</v>
      </c>
      <c r="P56" s="431">
        <f>'15 Assumptions'!$C$42*-P75</f>
        <v>191527.5685763674</v>
      </c>
    </row>
    <row r="57" spans="2:16" x14ac:dyDescent="0.3">
      <c r="B57" s="61"/>
      <c r="C57" s="62" t="s">
        <v>2045</v>
      </c>
      <c r="D57" s="61"/>
      <c r="E57" s="61"/>
      <c r="F57" s="61"/>
      <c r="G57" s="61"/>
      <c r="H57" s="63"/>
      <c r="I57" s="63"/>
      <c r="J57" s="63"/>
      <c r="K57" s="63"/>
      <c r="L57" s="431">
        <f>L56-'15 Assumptions'!$C$36</f>
        <v>57919.275000000023</v>
      </c>
      <c r="M57" s="445">
        <f>M56-L56</f>
        <v>38727.478977075021</v>
      </c>
      <c r="N57" s="445">
        <f>N56-M56</f>
        <v>1193.5814074347436</v>
      </c>
      <c r="O57" s="445">
        <f>O56-N56</f>
        <v>-14883.53241134269</v>
      </c>
      <c r="P57" s="445">
        <f>P56-O56</f>
        <v>-14243.2343967997</v>
      </c>
    </row>
    <row r="58" spans="2:16" x14ac:dyDescent="0.3">
      <c r="B58" s="61"/>
      <c r="C58" s="62" t="s">
        <v>2046</v>
      </c>
      <c r="D58" s="61"/>
      <c r="E58" s="61"/>
      <c r="F58" s="61"/>
      <c r="G58" s="61"/>
      <c r="H58" s="63"/>
      <c r="I58" s="63"/>
      <c r="J58" s="63"/>
      <c r="K58" s="63"/>
      <c r="L58" s="445">
        <v>0</v>
      </c>
      <c r="M58" s="445">
        <v>0</v>
      </c>
      <c r="N58" s="445">
        <v>0</v>
      </c>
      <c r="O58" s="445">
        <v>0</v>
      </c>
      <c r="P58" s="445">
        <v>0</v>
      </c>
    </row>
    <row r="59" spans="2:16" x14ac:dyDescent="0.3">
      <c r="B59" s="61"/>
      <c r="C59" s="62"/>
      <c r="D59" s="61"/>
      <c r="E59" s="61"/>
      <c r="F59" s="61"/>
      <c r="G59" s="61"/>
      <c r="H59" s="63"/>
      <c r="I59" s="63"/>
      <c r="J59" s="63"/>
      <c r="K59" s="63"/>
      <c r="L59" s="68"/>
      <c r="M59" s="68"/>
      <c r="N59" s="68"/>
      <c r="O59" s="68"/>
      <c r="P59" s="68"/>
    </row>
    <row r="60" spans="2:16" x14ac:dyDescent="0.3">
      <c r="B60" s="61"/>
      <c r="C60" s="62" t="s">
        <v>2047</v>
      </c>
      <c r="D60" s="61"/>
      <c r="E60" s="61"/>
      <c r="F60" s="61"/>
      <c r="G60" s="61"/>
      <c r="H60" s="63"/>
      <c r="I60" s="63"/>
      <c r="J60" s="63"/>
      <c r="K60" s="63"/>
      <c r="L60" s="445">
        <f>-L75-'15 Assumptions'!$C$56-L57</f>
        <v>62297.475000000006</v>
      </c>
      <c r="M60" s="445">
        <f>-M75-M57</f>
        <v>205117.80321967503</v>
      </c>
      <c r="N60" s="445">
        <f>-N75-N57</f>
        <v>243977.90235313168</v>
      </c>
      <c r="O60" s="445">
        <f>-O75-O57</f>
        <v>243517.75793708389</v>
      </c>
      <c r="P60" s="445">
        <f>-P75-P57</f>
        <v>227051.64392609682</v>
      </c>
    </row>
    <row r="61" spans="2:16" x14ac:dyDescent="0.3">
      <c r="B61" s="61"/>
      <c r="C61" s="62" t="s">
        <v>2048</v>
      </c>
      <c r="D61" s="61"/>
      <c r="E61" s="61"/>
      <c r="F61" s="61"/>
      <c r="G61" s="61"/>
      <c r="H61" s="63"/>
      <c r="I61" s="63"/>
      <c r="J61" s="63"/>
      <c r="K61" s="63"/>
      <c r="L61" s="445">
        <f>L60</f>
        <v>62297.475000000006</v>
      </c>
      <c r="M61" s="445">
        <f>L61+M60</f>
        <v>267415.27821967506</v>
      </c>
      <c r="N61" s="445">
        <f>M61+N60</f>
        <v>511393.18057280674</v>
      </c>
      <c r="O61" s="445">
        <f>N61+O60</f>
        <v>754910.93850989058</v>
      </c>
      <c r="P61" s="445">
        <f>O61+P60</f>
        <v>981962.58243598742</v>
      </c>
    </row>
    <row r="62" spans="2:16" x14ac:dyDescent="0.3">
      <c r="B62" s="58"/>
      <c r="C62" s="59" t="s">
        <v>2049</v>
      </c>
      <c r="D62" s="58"/>
      <c r="E62" s="58"/>
      <c r="F62" s="58"/>
      <c r="G62" s="58"/>
      <c r="H62" s="60"/>
      <c r="I62" s="60"/>
      <c r="J62" s="60"/>
      <c r="K62" s="60"/>
      <c r="L62" s="433">
        <f>L60*'15 Assumptions'!$C$58/'DCF Best Drivers'!$C$29</f>
        <v>1596.3727968750002</v>
      </c>
      <c r="M62" s="433">
        <f>(L61+M60/2)/'DCF Best Drivers'!$C$29</f>
        <v>16897.778602508348</v>
      </c>
      <c r="N62" s="433">
        <f>(M61+N60/2)/'DCF Best Drivers'!$C$29</f>
        <v>39913.933513114695</v>
      </c>
      <c r="O62" s="433">
        <f>(N61+O60/2)/'DCF Best Drivers'!$C$29</f>
        <v>64898.086102988244</v>
      </c>
      <c r="P62" s="433">
        <f>(O61+P60/2)/'DCF Best Drivers'!$C$29</f>
        <v>89014.767948476248</v>
      </c>
    </row>
    <row r="63" spans="2:16" x14ac:dyDescent="0.3">
      <c r="C63" s="18"/>
      <c r="H63" s="38"/>
      <c r="I63" s="38"/>
      <c r="J63" s="38"/>
      <c r="K63" s="38"/>
      <c r="L63" s="67"/>
      <c r="M63" s="67"/>
      <c r="N63" s="67"/>
      <c r="O63" s="67"/>
      <c r="P63" s="67"/>
    </row>
    <row r="64" spans="2:16" x14ac:dyDescent="0.3">
      <c r="C64" s="54" t="s">
        <v>1037</v>
      </c>
      <c r="D64" s="55"/>
      <c r="E64" s="55"/>
      <c r="F64" s="55"/>
      <c r="G64" s="55"/>
      <c r="H64" s="437">
        <f>'09 Cash Flow'!C7</f>
        <v>11946</v>
      </c>
      <c r="I64" s="437">
        <f>'09 Cash Flow'!D7</f>
        <v>15311</v>
      </c>
      <c r="J64" s="437">
        <f>'09 Cash Flow'!E7</f>
        <v>21136</v>
      </c>
      <c r="K64" s="437">
        <f>'09 Cash Flow'!G7</f>
        <v>25237</v>
      </c>
      <c r="L64" s="273">
        <f>L55+L58+L62</f>
        <v>28768.372796874999</v>
      </c>
      <c r="M64" s="273">
        <f>M55+M58+M62</f>
        <v>44069.778602508348</v>
      </c>
      <c r="N64" s="273">
        <f>N55+N58+N62</f>
        <v>67085.933513114695</v>
      </c>
      <c r="O64" s="273">
        <f>O55+O58+O62</f>
        <v>92070.086102988251</v>
      </c>
      <c r="P64" s="273">
        <f>P55+P58+P62</f>
        <v>116186.76794847625</v>
      </c>
    </row>
    <row r="65" spans="2:16" x14ac:dyDescent="0.3">
      <c r="B65" s="56"/>
      <c r="C65" s="57" t="s">
        <v>1038</v>
      </c>
      <c r="D65" s="56"/>
      <c r="E65" s="56"/>
      <c r="F65" s="56"/>
      <c r="G65" s="56"/>
      <c r="H65" s="64"/>
      <c r="I65" s="64"/>
      <c r="J65" s="64"/>
      <c r="K65" s="64"/>
      <c r="L65" s="452">
        <f>L64/'15 Assumptions'!$C$48-1</f>
        <v>5.8750654971109872E-2</v>
      </c>
      <c r="M65" s="452">
        <f>M64/'15 Assumptions'!$C$48-1</f>
        <v>0.62188203306743506</v>
      </c>
      <c r="N65" s="452">
        <f>N64/'15 Assumptions'!$C$48-1</f>
        <v>1.4689361663887346</v>
      </c>
      <c r="O65" s="452">
        <f>O64/'15 Assumptions'!$C$48-1</f>
        <v>2.3884177131969766</v>
      </c>
      <c r="P65" s="452">
        <f>P64/'15 Assumptions'!$C$48-1</f>
        <v>3.2759740890797975</v>
      </c>
    </row>
    <row r="68" spans="2:16" ht="18" customHeight="1" x14ac:dyDescent="0.3">
      <c r="B68" s="16" t="s">
        <v>114</v>
      </c>
      <c r="C68" s="16"/>
      <c r="D68" s="16"/>
      <c r="E68" s="16"/>
      <c r="F68" s="16"/>
      <c r="G68" s="16"/>
      <c r="H68" s="16"/>
      <c r="I68" s="16"/>
      <c r="J68" s="16"/>
      <c r="K68" s="16"/>
      <c r="L68" s="16"/>
      <c r="M68" s="16"/>
      <c r="N68" s="16"/>
      <c r="O68" s="16"/>
      <c r="P68" s="16"/>
    </row>
    <row r="69" spans="2:16" x14ac:dyDescent="0.3">
      <c r="C69" s="18" t="s">
        <v>1039</v>
      </c>
      <c r="H69" s="274">
        <f t="shared" ref="H69:P69" si="10">H33</f>
        <v>73795</v>
      </c>
      <c r="I69" s="274">
        <f t="shared" si="10"/>
        <v>100118</v>
      </c>
      <c r="J69" s="274">
        <f t="shared" si="10"/>
        <v>132170</v>
      </c>
      <c r="K69" s="274">
        <f t="shared" si="10"/>
        <v>244205</v>
      </c>
      <c r="L69" s="436">
        <f t="shared" si="10"/>
        <v>260389.9272767519</v>
      </c>
      <c r="M69" s="436">
        <f t="shared" si="10"/>
        <v>188421.09708643143</v>
      </c>
      <c r="N69" s="436">
        <f t="shared" si="10"/>
        <v>225901.36357673298</v>
      </c>
      <c r="O69" s="436">
        <f t="shared" si="10"/>
        <v>266877.09004662465</v>
      </c>
      <c r="P69" s="436">
        <f t="shared" si="10"/>
        <v>311500.51473546081</v>
      </c>
    </row>
    <row r="70" spans="2:16" x14ac:dyDescent="0.3">
      <c r="B70" s="61"/>
      <c r="C70" s="62" t="s">
        <v>1040</v>
      </c>
      <c r="D70" s="61"/>
      <c r="E70" s="61"/>
      <c r="F70" s="61"/>
      <c r="G70" s="61"/>
      <c r="H70" s="444">
        <f t="shared" ref="H70:P70" si="11">H64</f>
        <v>11946</v>
      </c>
      <c r="I70" s="444">
        <f t="shared" si="11"/>
        <v>15311</v>
      </c>
      <c r="J70" s="444">
        <f t="shared" si="11"/>
        <v>21136</v>
      </c>
      <c r="K70" s="444">
        <f t="shared" si="11"/>
        <v>25237</v>
      </c>
      <c r="L70" s="445">
        <f t="shared" si="11"/>
        <v>28768.372796874999</v>
      </c>
      <c r="M70" s="445">
        <f t="shared" si="11"/>
        <v>44069.778602508348</v>
      </c>
      <c r="N70" s="445">
        <f t="shared" si="11"/>
        <v>67085.933513114695</v>
      </c>
      <c r="O70" s="445">
        <f t="shared" si="11"/>
        <v>92070.086102988251</v>
      </c>
      <c r="P70" s="445">
        <f t="shared" si="11"/>
        <v>116186.76794847625</v>
      </c>
    </row>
    <row r="71" spans="2:16" x14ac:dyDescent="0.3">
      <c r="B71" s="61"/>
      <c r="C71" s="62" t="s">
        <v>1041</v>
      </c>
      <c r="D71" s="61"/>
      <c r="E71" s="61"/>
      <c r="F71" s="61"/>
      <c r="G71" s="61"/>
      <c r="H71" s="430">
        <f>'09 Cash Flow'!C8</f>
        <v>22460</v>
      </c>
      <c r="I71" s="430">
        <f>'09 Cash Flow'!D8</f>
        <v>22785</v>
      </c>
      <c r="J71" s="430">
        <f>'09 Cash Flow'!E8</f>
        <v>24953</v>
      </c>
      <c r="K71" s="430">
        <f>'09 Cash Flow'!G8</f>
        <v>28147</v>
      </c>
      <c r="L71" s="431">
        <f>L23*'15 Assumptions'!C45</f>
        <v>30122.212500000001</v>
      </c>
      <c r="M71" s="431">
        <f>M23*'15 Assumptions'!D45</f>
        <v>36264.170172850005</v>
      </c>
      <c r="N71" s="431">
        <f>N23*'15 Assumptions'!E45</f>
        <v>42905.009658099123</v>
      </c>
      <c r="O71" s="431">
        <f>O23*'15 Assumptions'!F45</f>
        <v>49384.992713560103</v>
      </c>
      <c r="P71" s="431">
        <f>P23*'15 Assumptions'!G45</f>
        <v>55330.186477617244</v>
      </c>
    </row>
    <row r="72" spans="2:16" x14ac:dyDescent="0.3">
      <c r="B72" s="58"/>
      <c r="C72" s="59" t="s">
        <v>1042</v>
      </c>
      <c r="D72" s="58"/>
      <c r="E72" s="58"/>
      <c r="F72" s="58"/>
      <c r="G72" s="58"/>
      <c r="H72" s="453">
        <f>-H28</f>
        <v>-392</v>
      </c>
      <c r="I72" s="453">
        <f>-I28</f>
        <v>-3714</v>
      </c>
      <c r="J72" s="453">
        <f>-J28</f>
        <v>-24080</v>
      </c>
      <c r="K72" s="432">
        <f>-('06 Core EPS Bridge'!E7+'06 Core EPS Bridge'!G7+'06 Core EPS Bridge'!I7-'06 Core EPS Bridge'!F7-'06 Core EPS Bridge'!H7)</f>
        <v>-148982</v>
      </c>
      <c r="L72" s="441">
        <f>-L28</f>
        <v>-135946</v>
      </c>
      <c r="M72" s="441">
        <f>-M28</f>
        <v>0</v>
      </c>
      <c r="N72" s="441">
        <f>-N28</f>
        <v>0</v>
      </c>
      <c r="O72" s="441">
        <f>-O28</f>
        <v>0</v>
      </c>
      <c r="P72" s="441">
        <f>-P28</f>
        <v>0</v>
      </c>
    </row>
    <row r="73" spans="2:16" x14ac:dyDescent="0.3">
      <c r="C73" s="18" t="s">
        <v>1407</v>
      </c>
      <c r="H73" s="274">
        <f>H74-H69-H70-H71-H72</f>
        <v>-6063</v>
      </c>
      <c r="I73" s="274">
        <f>I74-I69-I70-I71-I72</f>
        <v>-9201</v>
      </c>
      <c r="J73" s="274">
        <f>J74-J69-J70-J71-J72</f>
        <v>10534</v>
      </c>
      <c r="K73" s="274">
        <f>K74-K69-K70-K71-K72</f>
        <v>37068</v>
      </c>
      <c r="L73" s="497">
        <f>L23*'15 Assumptions'!$C$57+L28*'15 Assumptions'!$C$85+'15 Assumptions'!$C$59</f>
        <v>23348.66</v>
      </c>
      <c r="M73" s="497">
        <f>M23*'15 Assumptions'!$C$57+M28*'15 Assumptions'!$C$85</f>
        <v>0</v>
      </c>
      <c r="N73" s="497">
        <f>N23*'15 Assumptions'!$C$57+N28*'15 Assumptions'!$C$85</f>
        <v>0</v>
      </c>
      <c r="O73" s="497">
        <f>O23*'15 Assumptions'!$C$57+O28*'15 Assumptions'!$C$85</f>
        <v>0</v>
      </c>
      <c r="P73" s="497">
        <f>P23*'15 Assumptions'!$C$57+P28*'15 Assumptions'!$C$85</f>
        <v>0</v>
      </c>
    </row>
    <row r="74" spans="2:16" x14ac:dyDescent="0.3">
      <c r="C74" s="5" t="s">
        <v>1043</v>
      </c>
      <c r="D74" s="2"/>
      <c r="E74" s="2"/>
      <c r="F74" s="2"/>
      <c r="G74" s="2"/>
      <c r="H74" s="48">
        <f>'09 Cash Flow'!C9</f>
        <v>101746</v>
      </c>
      <c r="I74" s="48">
        <f>'09 Cash Flow'!D9</f>
        <v>125299</v>
      </c>
      <c r="J74" s="48">
        <f>'09 Cash Flow'!E9</f>
        <v>164713</v>
      </c>
      <c r="K74" s="48">
        <f>'09 Cash Flow'!G9</f>
        <v>185675</v>
      </c>
      <c r="L74" s="443">
        <f>SUM(L69:L73)</f>
        <v>206683.17257362694</v>
      </c>
      <c r="M74" s="443">
        <f>SUM(M69:M73)</f>
        <v>268755.04586178978</v>
      </c>
      <c r="N74" s="443">
        <f>SUM(N69:N73)</f>
        <v>335892.30674794677</v>
      </c>
      <c r="O74" s="443">
        <f>SUM(O69:O73)</f>
        <v>408332.16886317299</v>
      </c>
      <c r="P74" s="443">
        <f>SUM(P69:P73)</f>
        <v>483017.4691615543</v>
      </c>
    </row>
    <row r="75" spans="2:16" x14ac:dyDescent="0.3">
      <c r="B75" s="56"/>
      <c r="C75" s="57" t="s">
        <v>1903</v>
      </c>
      <c r="D75" s="56"/>
      <c r="E75" s="56"/>
      <c r="F75" s="56"/>
      <c r="G75" s="56"/>
      <c r="H75" s="454">
        <f>'09 Cash Flow'!C10</f>
        <v>-32251</v>
      </c>
      <c r="I75" s="454">
        <f>'09 Cash Flow'!D10</f>
        <v>-52535</v>
      </c>
      <c r="J75" s="454">
        <f>'09 Cash Flow'!E10</f>
        <v>-91447</v>
      </c>
      <c r="K75" s="454">
        <f>'09 Cash Flow'!G10</f>
        <v>-132402</v>
      </c>
      <c r="L75" s="482">
        <f>-L18*'DCF Best Drivers'!C26</f>
        <v>-200814.75000000003</v>
      </c>
      <c r="M75" s="482">
        <f>-M18*'DCF Best Drivers'!D26</f>
        <v>-243845.28219675005</v>
      </c>
      <c r="N75" s="482">
        <f>-N18*'DCF Best Drivers'!E26</f>
        <v>-245171.48376056642</v>
      </c>
      <c r="O75" s="482">
        <f>-O18*'DCF Best Drivers'!F26</f>
        <v>-228634.2255257412</v>
      </c>
      <c r="P75" s="482">
        <f>-P18*'DCF Best Drivers'!G26</f>
        <v>-212808.40952929712</v>
      </c>
    </row>
    <row r="76" spans="2:16" x14ac:dyDescent="0.3">
      <c r="C76" s="5" t="s">
        <v>114</v>
      </c>
      <c r="D76" s="2"/>
      <c r="E76" s="2"/>
      <c r="F76" s="2"/>
      <c r="G76" s="2"/>
      <c r="H76" s="442">
        <f t="shared" ref="H76:P76" si="12">H74+H75</f>
        <v>69495</v>
      </c>
      <c r="I76" s="442">
        <f t="shared" si="12"/>
        <v>72764</v>
      </c>
      <c r="J76" s="442">
        <f t="shared" si="12"/>
        <v>73266</v>
      </c>
      <c r="K76" s="442">
        <f t="shared" si="12"/>
        <v>53273</v>
      </c>
      <c r="L76" s="443">
        <f t="shared" si="12"/>
        <v>5868.4225736269145</v>
      </c>
      <c r="M76" s="443">
        <f t="shared" si="12"/>
        <v>24909.763665039733</v>
      </c>
      <c r="N76" s="443">
        <f t="shared" si="12"/>
        <v>90720.82298738035</v>
      </c>
      <c r="O76" s="443">
        <f t="shared" si="12"/>
        <v>179697.94333743179</v>
      </c>
      <c r="P76" s="443">
        <f t="shared" si="12"/>
        <v>270209.05963225721</v>
      </c>
    </row>
    <row r="77" spans="2:16" x14ac:dyDescent="0.3">
      <c r="B77" s="56"/>
      <c r="C77" s="57" t="s">
        <v>115</v>
      </c>
      <c r="D77" s="56"/>
      <c r="E77" s="56"/>
      <c r="F77" s="56"/>
      <c r="G77" s="56"/>
      <c r="H77" s="439">
        <f t="shared" ref="H77:P77" si="13">H76/H23</f>
        <v>0.22607793255561268</v>
      </c>
      <c r="I77" s="439">
        <f t="shared" si="13"/>
        <v>0.20788645155392008</v>
      </c>
      <c r="J77" s="439">
        <f t="shared" si="13"/>
        <v>0.18187550268595656</v>
      </c>
      <c r="K77" s="439">
        <f t="shared" si="13"/>
        <v>0.11948208654618203</v>
      </c>
      <c r="L77" s="440">
        <f t="shared" si="13"/>
        <v>1.1689226162175664E-2</v>
      </c>
      <c r="M77" s="440">
        <f t="shared" si="13"/>
        <v>3.9840048336579933E-2</v>
      </c>
      <c r="N77" s="440">
        <f t="shared" si="13"/>
        <v>0.11840962460509051</v>
      </c>
      <c r="O77" s="440">
        <f t="shared" si="13"/>
        <v>0.19649064233954791</v>
      </c>
      <c r="P77" s="440">
        <f t="shared" si="13"/>
        <v>0.25394584756300037</v>
      </c>
    </row>
    <row r="80" spans="2:16" ht="18" customHeight="1" x14ac:dyDescent="0.3">
      <c r="B80" s="16" t="s">
        <v>1044</v>
      </c>
      <c r="C80" s="16"/>
      <c r="D80" s="16"/>
      <c r="E80" s="16"/>
      <c r="F80" s="16"/>
      <c r="G80" s="16"/>
      <c r="H80" s="16"/>
      <c r="I80" s="16"/>
      <c r="J80" s="16"/>
      <c r="K80" s="16"/>
      <c r="L80" s="16"/>
      <c r="M80" s="16"/>
      <c r="N80" s="16"/>
      <c r="O80" s="16"/>
      <c r="P80" s="16"/>
    </row>
    <row r="81" spans="2:21" x14ac:dyDescent="0.3">
      <c r="C81" s="18" t="s">
        <v>194</v>
      </c>
      <c r="H81" s="291">
        <f>'11 Valuation'!C43</f>
        <v>138.46</v>
      </c>
      <c r="I81" s="291">
        <f>'11 Valuation'!D43</f>
        <v>188.2</v>
      </c>
      <c r="J81" s="291">
        <f>'11 Valuation'!E43</f>
        <v>312.39</v>
      </c>
      <c r="K81" s="455">
        <f>'15 Assumptions'!$C$7</f>
        <v>340.59</v>
      </c>
      <c r="L81" s="456">
        <f>'15 Assumptions'!$C$7</f>
        <v>340.59</v>
      </c>
      <c r="M81" s="456">
        <f>'15 Assumptions'!$C$7</f>
        <v>340.59</v>
      </c>
      <c r="N81" s="456">
        <f>'15 Assumptions'!$C$7</f>
        <v>340.59</v>
      </c>
      <c r="O81" s="456">
        <f>'15 Assumptions'!$C$7</f>
        <v>340.59</v>
      </c>
      <c r="P81" s="456">
        <f>'15 Assumptions'!$C$7</f>
        <v>340.59</v>
      </c>
    </row>
    <row r="82" spans="2:21" x14ac:dyDescent="0.3">
      <c r="B82" s="61"/>
      <c r="C82" s="62" t="s">
        <v>1045</v>
      </c>
      <c r="D82" s="61"/>
      <c r="E82" s="61"/>
      <c r="F82" s="61"/>
      <c r="G82" s="61"/>
      <c r="H82" s="292">
        <f t="shared" ref="H82:P82" si="14">H81*H37</f>
        <v>1761488.12</v>
      </c>
      <c r="I82" s="292">
        <f t="shared" si="14"/>
        <v>2342525.4</v>
      </c>
      <c r="J82" s="292">
        <f t="shared" si="14"/>
        <v>3820529.6999999997</v>
      </c>
      <c r="K82" s="444">
        <f t="shared" si="14"/>
        <v>4175292.8099999996</v>
      </c>
      <c r="L82" s="445">
        <f t="shared" si="14"/>
        <v>4187932.2131249993</v>
      </c>
      <c r="M82" s="445">
        <f t="shared" si="14"/>
        <v>4224196.3832978494</v>
      </c>
      <c r="N82" s="445">
        <f t="shared" si="14"/>
        <v>4267101.3929559486</v>
      </c>
      <c r="O82" s="445">
        <f t="shared" si="14"/>
        <v>4316486.3856695089</v>
      </c>
      <c r="P82" s="445">
        <f t="shared" si="14"/>
        <v>4371816.5721471254</v>
      </c>
    </row>
    <row r="83" spans="2:21" x14ac:dyDescent="0.3">
      <c r="B83" s="61"/>
      <c r="C83" s="62" t="s">
        <v>1046</v>
      </c>
      <c r="D83" s="61"/>
      <c r="E83" s="61"/>
      <c r="F83" s="61"/>
      <c r="G83" s="61"/>
      <c r="H83" s="293">
        <f t="shared" ref="H83:P83" si="15">H81/H38</f>
        <v>23.870019920048787</v>
      </c>
      <c r="I83" s="293">
        <f t="shared" si="15"/>
        <v>23.39764477916059</v>
      </c>
      <c r="J83" s="293">
        <f t="shared" si="15"/>
        <v>28.906179163198907</v>
      </c>
      <c r="K83" s="457">
        <f t="shared" si="15"/>
        <v>17.097491083311152</v>
      </c>
      <c r="L83" s="458">
        <f t="shared" si="15"/>
        <v>16.156994581896875</v>
      </c>
      <c r="M83" s="458">
        <f t="shared" si="15"/>
        <v>22.561102542658844</v>
      </c>
      <c r="N83" s="458">
        <f t="shared" si="15"/>
        <v>18.989043777883616</v>
      </c>
      <c r="O83" s="458">
        <f t="shared" si="15"/>
        <v>16.246351183394232</v>
      </c>
      <c r="P83" s="458">
        <f t="shared" si="15"/>
        <v>14.088408685900788</v>
      </c>
    </row>
    <row r="84" spans="2:21" x14ac:dyDescent="0.3">
      <c r="B84" s="61"/>
      <c r="C84" s="71" t="s">
        <v>1047</v>
      </c>
      <c r="D84" s="72"/>
      <c r="E84" s="72"/>
      <c r="F84" s="72"/>
      <c r="G84" s="72"/>
      <c r="H84" s="294">
        <f t="shared" ref="H84:P84" si="16">H81/H48</f>
        <v>23.970612361761503</v>
      </c>
      <c r="I84" s="294">
        <f t="shared" si="16"/>
        <v>24.104038177501341</v>
      </c>
      <c r="J84" s="294">
        <f t="shared" si="16"/>
        <v>33.766131256031983</v>
      </c>
      <c r="K84" s="459">
        <f t="shared" si="16"/>
        <v>33.003861773869126</v>
      </c>
      <c r="L84" s="459">
        <f t="shared" si="16"/>
        <v>27.587561709905607</v>
      </c>
      <c r="M84" s="459">
        <f t="shared" si="16"/>
        <v>22.561102542658844</v>
      </c>
      <c r="N84" s="459">
        <f t="shared" si="16"/>
        <v>18.989043777883616</v>
      </c>
      <c r="O84" s="459">
        <f t="shared" si="16"/>
        <v>16.246351183394232</v>
      </c>
      <c r="P84" s="459">
        <f t="shared" si="16"/>
        <v>14.088408685900788</v>
      </c>
    </row>
    <row r="85" spans="2:21" x14ac:dyDescent="0.3">
      <c r="B85" s="58"/>
      <c r="C85" s="57" t="s">
        <v>219</v>
      </c>
      <c r="D85" s="56"/>
      <c r="E85" s="56"/>
      <c r="F85" s="56"/>
      <c r="G85" s="56"/>
      <c r="H85" s="295">
        <f>IF(H76&lt;=0,NA(),H82/H76)</f>
        <v>25.346976329232319</v>
      </c>
      <c r="I85" s="295">
        <f>IF(I76&lt;=0,NA(),I82/I76)</f>
        <v>32.193466549392554</v>
      </c>
      <c r="J85" s="295">
        <f>IF(J76&lt;=0,NA(),J82/J76)</f>
        <v>52.146011792645972</v>
      </c>
      <c r="K85" s="460">
        <f>IF(K76&lt;=0,NA(),K82/K76)</f>
        <v>78.375402361421351</v>
      </c>
      <c r="L85" s="461">
        <f>IF(L76&lt;=0,"",L82/L76)</f>
        <v>713.63848812555659</v>
      </c>
      <c r="M85" s="461">
        <f>IF(M76&lt;=0,"",M82/M76)</f>
        <v>169.579946245191</v>
      </c>
      <c r="N85" s="461">
        <f>IF(N76&lt;=0,"",N82/N76)</f>
        <v>47.035523405134015</v>
      </c>
      <c r="O85" s="461">
        <f>IF(O76&lt;=0,"",O82/O76)</f>
        <v>24.020789027975301</v>
      </c>
      <c r="P85" s="461">
        <f>IF(P76&lt;=0,"",P82/P76)</f>
        <v>16.179385613853871</v>
      </c>
    </row>
    <row r="87" spans="2:21" x14ac:dyDescent="0.3">
      <c r="B87" s="16" t="s">
        <v>2129</v>
      </c>
      <c r="C87" s="16"/>
      <c r="D87" s="16"/>
      <c r="E87" s="16"/>
      <c r="F87" s="16"/>
      <c r="G87" s="16"/>
      <c r="H87" s="16"/>
      <c r="I87" s="16"/>
      <c r="J87" s="16"/>
      <c r="K87" s="16"/>
      <c r="L87" s="16"/>
      <c r="M87" s="16"/>
      <c r="N87" s="16"/>
      <c r="O87" s="16"/>
      <c r="P87" s="16"/>
      <c r="Q87" s="16"/>
      <c r="R87" s="16"/>
      <c r="S87" s="16"/>
      <c r="T87" s="16"/>
      <c r="U87" s="16"/>
    </row>
    <row r="88" spans="2:21" ht="15" thickBot="1" x14ac:dyDescent="0.35">
      <c r="L88" s="52" t="s">
        <v>1958</v>
      </c>
      <c r="M88" s="52" t="s">
        <v>1959</v>
      </c>
      <c r="N88" s="52" t="s">
        <v>1960</v>
      </c>
      <c r="O88" s="52" t="s">
        <v>1961</v>
      </c>
      <c r="P88" s="52" t="s">
        <v>1962</v>
      </c>
      <c r="Q88" s="52" t="s">
        <v>1963</v>
      </c>
      <c r="R88" s="52" t="s">
        <v>1964</v>
      </c>
      <c r="S88" s="52" t="s">
        <v>1965</v>
      </c>
      <c r="T88" s="52" t="s">
        <v>1966</v>
      </c>
      <c r="U88" s="52" t="s">
        <v>1967</v>
      </c>
    </row>
    <row r="89" spans="2:21" x14ac:dyDescent="0.3">
      <c r="C89" s="18" t="s">
        <v>1968</v>
      </c>
      <c r="L89" s="494">
        <v>1</v>
      </c>
      <c r="M89" s="494">
        <v>2</v>
      </c>
      <c r="N89" s="494">
        <v>3</v>
      </c>
      <c r="O89" s="494">
        <v>4</v>
      </c>
      <c r="P89" s="494">
        <v>5</v>
      </c>
      <c r="Q89" s="494">
        <v>6</v>
      </c>
      <c r="R89" s="494">
        <v>7</v>
      </c>
      <c r="S89" s="494">
        <v>8</v>
      </c>
      <c r="T89" s="494">
        <v>9</v>
      </c>
      <c r="U89" s="494">
        <v>10</v>
      </c>
    </row>
    <row r="90" spans="2:21" x14ac:dyDescent="0.3">
      <c r="C90" s="18" t="s">
        <v>1969</v>
      </c>
      <c r="L90" s="495">
        <f>IF(L$89&lt;='15 Assumptions'!$C$79,$P$19+('20 DCF Valuation'!$H$19-$P$19)*L$89/'15 Assumptions'!$C$79,'20 DCF Valuation'!$H$19)</f>
        <v>0.15012870599290437</v>
      </c>
      <c r="M90" s="495">
        <f>IF(M$89&lt;='15 Assumptions'!$C$79,$P$19+('20 DCF Valuation'!$H$19-$P$19)*M$89/'15 Assumptions'!$C$79,'20 DCF Valuation'!$H$19)</f>
        <v>0.13678107199369277</v>
      </c>
      <c r="N90" s="495">
        <f>IF(N$89&lt;='15 Assumptions'!$C$79,$P$19+('20 DCF Valuation'!$H$19-$P$19)*N$89/'15 Assumptions'!$C$79,'20 DCF Valuation'!$H$19)</f>
        <v>0.12343343799448117</v>
      </c>
      <c r="O90" s="495">
        <f>IF(O$89&lt;='15 Assumptions'!$C$79,$P$19+('20 DCF Valuation'!$H$19-$P$19)*O$89/'15 Assumptions'!$C$79,'20 DCF Valuation'!$H$19)</f>
        <v>0.11008580399526958</v>
      </c>
      <c r="P90" s="495">
        <f>IF(P$89&lt;='15 Assumptions'!$C$79,$P$19+('20 DCF Valuation'!$H$19-$P$19)*P$89/'15 Assumptions'!$C$79,'20 DCF Valuation'!$H$19)</f>
        <v>9.6738169996057985E-2</v>
      </c>
      <c r="Q90" s="495">
        <f>IF(Q$89&lt;='15 Assumptions'!$C$79,$P$19+('20 DCF Valuation'!$H$19-$P$19)*Q$89/'15 Assumptions'!$C$79,'20 DCF Valuation'!$H$19)</f>
        <v>8.3390535996846385E-2</v>
      </c>
      <c r="R90" s="495">
        <f>IF(R$89&lt;='15 Assumptions'!$C$79,$P$19+('20 DCF Valuation'!$H$19-$P$19)*R$89/'15 Assumptions'!$C$79,'20 DCF Valuation'!$H$19)</f>
        <v>7.0042901997634785E-2</v>
      </c>
      <c r="S90" s="495">
        <f>IF(S$89&lt;='15 Assumptions'!$C$79,$P$19+('20 DCF Valuation'!$H$19-$P$19)*S$89/'15 Assumptions'!$C$79,'20 DCF Valuation'!$H$19)</f>
        <v>5.6695267998423199E-2</v>
      </c>
      <c r="T90" s="495">
        <f>IF(T$89&lt;='15 Assumptions'!$C$79,$P$19+('20 DCF Valuation'!$H$19-$P$19)*T$89/'15 Assumptions'!$C$79,'20 DCF Valuation'!$H$19)</f>
        <v>4.3347633999211599E-2</v>
      </c>
      <c r="U90" s="495">
        <f>IF(U$89&lt;='15 Assumptions'!$C$79,$P$19+('20 DCF Valuation'!$H$19-$P$19)*U$89/'15 Assumptions'!$C$79,'20 DCF Valuation'!$H$19)</f>
        <v>0.03</v>
      </c>
    </row>
    <row r="91" spans="2:21" x14ac:dyDescent="0.3">
      <c r="C91" s="18" t="s">
        <v>37</v>
      </c>
      <c r="L91" s="496">
        <f>P23*(1+L90)</f>
        <v>1223785.3033816926</v>
      </c>
      <c r="M91" s="496">
        <f t="shared" ref="M91:U91" si="17">L91*(1+M90)</f>
        <v>1391175.969068367</v>
      </c>
      <c r="N91" s="496">
        <f t="shared" si="17"/>
        <v>1562893.6017857797</v>
      </c>
      <c r="O91" s="496">
        <f t="shared" si="17"/>
        <v>1734946.0004974301</v>
      </c>
      <c r="P91" s="496">
        <f t="shared" si="17"/>
        <v>1902781.5016275311</v>
      </c>
      <c r="Q91" s="496">
        <f t="shared" si="17"/>
        <v>2061455.4709331351</v>
      </c>
      <c r="R91" s="496">
        <f t="shared" si="17"/>
        <v>2205845.7944561928</v>
      </c>
      <c r="S91" s="496">
        <f t="shared" si="17"/>
        <v>2330906.8129360811</v>
      </c>
      <c r="T91" s="496">
        <f t="shared" si="17"/>
        <v>2431946.108349503</v>
      </c>
      <c r="U91" s="496">
        <f t="shared" si="17"/>
        <v>2504904.4915999882</v>
      </c>
    </row>
    <row r="92" spans="2:21" x14ac:dyDescent="0.3">
      <c r="C92" s="18" t="s">
        <v>2130</v>
      </c>
      <c r="L92" s="497">
        <f>IF('15 Assumptions'!$C$91=1,L91*($P$25+('DCF Best Drivers'!$C$33-$P$25)*MIN(L$89,'15 Assumptions'!$C$79)/'15 Assumptions'!$C$79)*(1-'15 Assumptions'!$C$10),P24*(1-'15 Assumptions'!$C$10)*(1+L90))</f>
        <v>349199.75095480972</v>
      </c>
      <c r="M92" s="497">
        <f>IF('15 Assumptions'!$C$91=1,M91*($P$25+('DCF Best Drivers'!$C$33-$P$25)*MIN(M$89,'15 Assumptions'!$C$79)/'15 Assumptions'!$C$79)*(1-'15 Assumptions'!$C$10),L92*(1+M90))</f>
        <v>390825.4842229404</v>
      </c>
      <c r="N92" s="497">
        <f>IF('15 Assumptions'!$C$91=1,N91*($P$25+('DCF Best Drivers'!$C$33-$P$25)*MIN(N$89,'15 Assumptions'!$C$79)/'15 Assumptions'!$C$79)*(1-'15 Assumptions'!$C$10),M92*(1+N90))</f>
        <v>432170.5773573945</v>
      </c>
      <c r="O92" s="497">
        <f>IF('15 Assumptions'!$C$91=1,O91*($P$25+('DCF Best Drivers'!$C$33-$P$25)*MIN(O$89,'15 Assumptions'!$C$79)/'15 Assumptions'!$C$79)*(1-'15 Assumptions'!$C$10),N92*(1+O90))</f>
        <v>472091.44869492122</v>
      </c>
      <c r="P92" s="497">
        <f>IF('15 Assumptions'!$C$91=1,P91*($P$25+('DCF Best Drivers'!$C$33-$P$25)*MIN(P$89,'15 Assumptions'!$C$79)/'15 Assumptions'!$C$79)*(1-'15 Assumptions'!$C$10),O92*(1+P90))</f>
        <v>509365.20918940724</v>
      </c>
      <c r="Q92" s="497">
        <f>IF('15 Assumptions'!$C$91=1,Q91*($P$25+('DCF Best Drivers'!$C$33-$P$25)*MIN(Q$89,'15 Assumptions'!$C$79)/'15 Assumptions'!$C$79)*(1-'15 Assumptions'!$C$10),P92*(1+Q90))</f>
        <v>542745.83924012736</v>
      </c>
      <c r="R92" s="497">
        <f>IF('15 Assumptions'!$C$91=1,R91*($P$25+('DCF Best Drivers'!$C$33-$P$25)*MIN(R$89,'15 Assumptions'!$C$79)/'15 Assumptions'!$C$79)*(1-'15 Assumptions'!$C$10),Q92*(1+R90))</f>
        <v>571028.64234285336</v>
      </c>
      <c r="S92" s="497">
        <f>IF('15 Assumptions'!$C$91=1,S91*($P$25+('DCF Best Drivers'!$C$33-$P$25)*MIN(S$89,'15 Assumptions'!$C$79)/'15 Assumptions'!$C$79)*(1-'15 Assumptions'!$C$10),R92*(1+S90))</f>
        <v>593118.77623281407</v>
      </c>
      <c r="T92" s="497">
        <f>IF('15 Assumptions'!$C$91=1,T91*($P$25+('DCF Best Drivers'!$C$33-$P$25)*MIN(T$89,'15 Assumptions'!$C$79)/'15 Assumptions'!$C$79)*(1-'15 Assumptions'!$C$10),S92*(1+T90))</f>
        <v>608098.77561790519</v>
      </c>
      <c r="U92" s="497">
        <f>IF('15 Assumptions'!$C$91=1,U91*($P$25+('DCF Best Drivers'!$C$33-$P$25)*MIN(U$89,'15 Assumptions'!$C$79)/'15 Assumptions'!$C$79)*(1-'15 Assumptions'!$C$10),T92*(1+U90))</f>
        <v>615289.53375397983</v>
      </c>
    </row>
    <row r="93" spans="2:21" x14ac:dyDescent="0.3">
      <c r="C93" s="18" t="s">
        <v>2007</v>
      </c>
      <c r="L93" s="496">
        <f t="shared" ref="L93:U93" si="18">L91*$P$71/$P$23</f>
        <v>63636.835775848012</v>
      </c>
      <c r="M93" s="496">
        <f t="shared" si="18"/>
        <v>72341.150391555071</v>
      </c>
      <c r="N93" s="496">
        <f t="shared" si="18"/>
        <v>81270.467292860543</v>
      </c>
      <c r="O93" s="496">
        <f t="shared" si="18"/>
        <v>90217.192025866374</v>
      </c>
      <c r="P93" s="496">
        <f t="shared" si="18"/>
        <v>98944.638084631617</v>
      </c>
      <c r="Q93" s="496">
        <f t="shared" si="18"/>
        <v>107195.68448852302</v>
      </c>
      <c r="R93" s="496">
        <f t="shared" si="18"/>
        <v>114703.98131172202</v>
      </c>
      <c r="S93" s="496">
        <f t="shared" si="18"/>
        <v>121207.15427267621</v>
      </c>
      <c r="T93" s="496">
        <f t="shared" si="18"/>
        <v>126461.19763417415</v>
      </c>
      <c r="U93" s="496">
        <f t="shared" si="18"/>
        <v>130255.03356319938</v>
      </c>
    </row>
    <row r="94" spans="2:21" x14ac:dyDescent="0.3">
      <c r="C94" s="18" t="s">
        <v>2131</v>
      </c>
      <c r="L94" s="496">
        <f t="shared" ref="L94:U94" si="19">L96*L92</f>
        <v>109435.14618111713</v>
      </c>
      <c r="M94" s="496">
        <f t="shared" si="19"/>
        <v>114082.26648008084</v>
      </c>
      <c r="N94" s="496">
        <f t="shared" si="19"/>
        <v>116864.62390706057</v>
      </c>
      <c r="O94" s="496">
        <f t="shared" si="19"/>
        <v>117515.64256886621</v>
      </c>
      <c r="P94" s="496">
        <f t="shared" si="19"/>
        <v>115849.00035443889</v>
      </c>
      <c r="Q94" s="496">
        <f t="shared" si="19"/>
        <v>111778.71920070139</v>
      </c>
      <c r="R94" s="496">
        <f t="shared" si="19"/>
        <v>105333.5394935416</v>
      </c>
      <c r="S94" s="496">
        <f t="shared" si="19"/>
        <v>96663.649273813135</v>
      </c>
      <c r="T94" s="496">
        <f t="shared" si="19"/>
        <v>86038.435347798018</v>
      </c>
      <c r="U94" s="496">
        <f t="shared" si="19"/>
        <v>73834.744050477573</v>
      </c>
    </row>
    <row r="95" spans="2:21" x14ac:dyDescent="0.3">
      <c r="C95" s="5" t="s">
        <v>2008</v>
      </c>
      <c r="L95" s="498">
        <f t="shared" ref="L95:U95" si="20">L92-L94</f>
        <v>239764.60477369258</v>
      </c>
      <c r="M95" s="498">
        <f t="shared" si="20"/>
        <v>276743.21774285956</v>
      </c>
      <c r="N95" s="498">
        <f t="shared" si="20"/>
        <v>315305.95345033391</v>
      </c>
      <c r="O95" s="498">
        <f t="shared" si="20"/>
        <v>354575.80612605502</v>
      </c>
      <c r="P95" s="498">
        <f t="shared" si="20"/>
        <v>393516.20883496833</v>
      </c>
      <c r="Q95" s="498">
        <f t="shared" si="20"/>
        <v>430967.12003942596</v>
      </c>
      <c r="R95" s="498">
        <f t="shared" si="20"/>
        <v>465695.10284931178</v>
      </c>
      <c r="S95" s="498">
        <f t="shared" si="20"/>
        <v>496455.12695900095</v>
      </c>
      <c r="T95" s="498">
        <f t="shared" si="20"/>
        <v>522060.34027010715</v>
      </c>
      <c r="U95" s="498">
        <f t="shared" si="20"/>
        <v>541454.78970350232</v>
      </c>
    </row>
    <row r="96" spans="2:21" x14ac:dyDescent="0.3">
      <c r="C96" s="18" t="s">
        <v>2132</v>
      </c>
      <c r="L96" s="495">
        <f>IF('15 Assumptions'!$C$90=1,IF(L$89&gt;='15 Assumptions'!$C$79,'20 DCF Valuation'!$H$19/'DCF Best Drivers'!$C$27,$L$97+('20 DCF Valuation'!$H$19/'DCF Best Drivers'!$C$27-$L$97)*(L$89-1)/MAX(1,'15 Assumptions'!$C$79-1)),L90/'DCF Best Drivers'!$C$27)</f>
        <v>0.31338838553547321</v>
      </c>
      <c r="M96" s="495">
        <f>IF('15 Assumptions'!$C$90=1,IF(M$89&gt;='15 Assumptions'!$C$79,'20 DCF Valuation'!$H$19/'DCF Best Drivers'!$C$27,$L$97+('20 DCF Valuation'!$H$19/'DCF Best Drivers'!$C$27-$L$97)*(M$89-1)/MAX(1,'15 Assumptions'!$C$79-1)),M90/'DCF Best Drivers'!$C$27)</f>
        <v>0.29190078714264284</v>
      </c>
      <c r="N96" s="495">
        <f>IF('15 Assumptions'!$C$90=1,IF(N$89&gt;='15 Assumptions'!$C$79,'20 DCF Valuation'!$H$19/'DCF Best Drivers'!$C$27,$L$97+('20 DCF Valuation'!$H$19/'DCF Best Drivers'!$C$27-$L$97)*(N$89-1)/MAX(1,'15 Assumptions'!$C$79-1)),N90/'DCF Best Drivers'!$C$27)</f>
        <v>0.27041318874981252</v>
      </c>
      <c r="O96" s="495">
        <f>IF('15 Assumptions'!$C$90=1,IF(O$89&gt;='15 Assumptions'!$C$79,'20 DCF Valuation'!$H$19/'DCF Best Drivers'!$C$27,$L$97+('20 DCF Valuation'!$H$19/'DCF Best Drivers'!$C$27-$L$97)*(O$89-1)/MAX(1,'15 Assumptions'!$C$79-1)),O90/'DCF Best Drivers'!$C$27)</f>
        <v>0.24892559035698214</v>
      </c>
      <c r="P96" s="495">
        <f>IF('15 Assumptions'!$C$90=1,IF(P$89&gt;='15 Assumptions'!$C$79,'20 DCF Valuation'!$H$19/'DCF Best Drivers'!$C$27,$L$97+('20 DCF Valuation'!$H$19/'DCF Best Drivers'!$C$27-$L$97)*(P$89-1)/MAX(1,'15 Assumptions'!$C$79-1)),P90/'DCF Best Drivers'!$C$27)</f>
        <v>0.22743799196415176</v>
      </c>
      <c r="Q96" s="495">
        <f>IF('15 Assumptions'!$C$90=1,IF(Q$89&gt;='15 Assumptions'!$C$79,'20 DCF Valuation'!$H$19/'DCF Best Drivers'!$C$27,$L$97+('20 DCF Valuation'!$H$19/'DCF Best Drivers'!$C$27-$L$97)*(Q$89-1)/MAX(1,'15 Assumptions'!$C$79-1)),Q90/'DCF Best Drivers'!$C$27)</f>
        <v>0.20595039357132144</v>
      </c>
      <c r="R96" s="495">
        <f>IF('15 Assumptions'!$C$90=1,IF(R$89&gt;='15 Assumptions'!$C$79,'20 DCF Valuation'!$H$19/'DCF Best Drivers'!$C$27,$L$97+('20 DCF Valuation'!$H$19/'DCF Best Drivers'!$C$27-$L$97)*(R$89-1)/MAX(1,'15 Assumptions'!$C$79-1)),R90/'DCF Best Drivers'!$C$27)</f>
        <v>0.18446279517849107</v>
      </c>
      <c r="S96" s="495">
        <f>IF('15 Assumptions'!$C$90=1,IF(S$89&gt;='15 Assumptions'!$C$79,'20 DCF Valuation'!$H$19/'DCF Best Drivers'!$C$27,$L$97+('20 DCF Valuation'!$H$19/'DCF Best Drivers'!$C$27-$L$97)*(S$89-1)/MAX(1,'15 Assumptions'!$C$79-1)),S90/'DCF Best Drivers'!$C$27)</f>
        <v>0.16297519678566072</v>
      </c>
      <c r="T96" s="495">
        <f>IF('15 Assumptions'!$C$90=1,IF(T$89&gt;='15 Assumptions'!$C$79,'20 DCF Valuation'!$H$19/'DCF Best Drivers'!$C$27,$L$97+('20 DCF Valuation'!$H$19/'DCF Best Drivers'!$C$27-$L$97)*(T$89-1)/MAX(1,'15 Assumptions'!$C$79-1)),T90/'DCF Best Drivers'!$C$27)</f>
        <v>0.14148759839283034</v>
      </c>
      <c r="U96" s="495">
        <f>IF('15 Assumptions'!$C$90=1,IF(U$89&gt;='15 Assumptions'!$C$79,'20 DCF Valuation'!$H$19/'DCF Best Drivers'!$C$27,$L$97+('20 DCF Valuation'!$H$19/'DCF Best Drivers'!$C$27-$L$97)*(U$89-1)/MAX(1,'15 Assumptions'!$C$79-1)),U90/'DCF Best Drivers'!$C$27)</f>
        <v>0.12</v>
      </c>
    </row>
    <row r="97" spans="2:21" x14ac:dyDescent="0.3">
      <c r="C97" s="18" t="s">
        <v>2133</v>
      </c>
      <c r="L97" s="495">
        <f>(-P75-P64-P23*'15 Assumptions'!$C$57)/(P24*(1-'15 Assumptions'!$C$10))</f>
        <v>0.31338838553547321</v>
      </c>
      <c r="M97" s="497"/>
      <c r="N97" s="497"/>
      <c r="O97" s="497"/>
      <c r="P97" s="497"/>
      <c r="Q97" s="497"/>
      <c r="R97" s="497"/>
      <c r="S97" s="497"/>
      <c r="T97" s="497"/>
      <c r="U97" s="497"/>
    </row>
    <row r="99" spans="2:21" ht="18" customHeight="1" x14ac:dyDescent="0.3">
      <c r="B99" s="73"/>
      <c r="C99" s="16" t="s">
        <v>1111</v>
      </c>
      <c r="D99" s="73"/>
      <c r="E99" s="73"/>
      <c r="F99" s="73"/>
      <c r="G99" s="73"/>
      <c r="H99" s="73"/>
      <c r="I99" s="73"/>
      <c r="J99" s="73"/>
      <c r="K99" s="73"/>
      <c r="L99" s="73"/>
      <c r="M99" s="73"/>
      <c r="N99" s="73"/>
      <c r="O99" s="73"/>
      <c r="P99" s="73"/>
    </row>
    <row r="100" spans="2:21" x14ac:dyDescent="0.3">
      <c r="C100" s="75" t="s">
        <v>1151</v>
      </c>
    </row>
    <row r="101" spans="2:21" x14ac:dyDescent="0.3">
      <c r="C101" s="76" t="s">
        <v>1112</v>
      </c>
    </row>
    <row r="102" spans="2:21" x14ac:dyDescent="0.3">
      <c r="C102" s="77" t="s">
        <v>1152</v>
      </c>
    </row>
    <row r="103" spans="2:21" ht="28.05" customHeight="1" x14ac:dyDescent="0.3">
      <c r="C103" s="320" t="s">
        <v>1113</v>
      </c>
    </row>
    <row r="106" spans="2:21" x14ac:dyDescent="0.3">
      <c r="B106" s="16" t="s">
        <v>2171</v>
      </c>
      <c r="C106" s="16"/>
      <c r="D106" s="16"/>
      <c r="E106" s="16"/>
      <c r="F106" s="16"/>
      <c r="G106" s="16"/>
      <c r="H106" s="16"/>
      <c r="I106" s="16"/>
      <c r="J106" s="16"/>
      <c r="K106" s="16"/>
      <c r="L106" s="16"/>
      <c r="M106" s="16"/>
      <c r="N106" s="16"/>
      <c r="O106" s="16"/>
      <c r="P106" s="16"/>
      <c r="Q106" s="16"/>
      <c r="R106" s="16"/>
      <c r="S106" s="16"/>
      <c r="T106" s="16"/>
      <c r="U106" s="16"/>
    </row>
    <row r="107" spans="2:21" ht="15" thickBot="1" x14ac:dyDescent="0.35">
      <c r="L107" s="52" t="s">
        <v>2172</v>
      </c>
      <c r="M107" s="52" t="s">
        <v>974</v>
      </c>
      <c r="N107" s="52" t="s">
        <v>2173</v>
      </c>
      <c r="O107" s="52" t="s">
        <v>2174</v>
      </c>
      <c r="P107" s="52"/>
      <c r="Q107" s="52"/>
      <c r="R107" s="52"/>
      <c r="S107" s="52"/>
      <c r="T107" s="52"/>
      <c r="U107" s="52"/>
    </row>
    <row r="108" spans="2:21" x14ac:dyDescent="0.3">
      <c r="C108" s="18" t="s">
        <v>2175</v>
      </c>
      <c r="L108" s="497">
        <f>L14-('03 Segments'!$G$13+'03 Segments'!$I$13)</f>
        <v>56763.649999999994</v>
      </c>
      <c r="M108" s="496">
        <f>M14</f>
        <v>167828.51750000002</v>
      </c>
      <c r="N108" s="496">
        <f>0.5*N14</f>
        <v>125367.95672344751</v>
      </c>
      <c r="O108" s="496">
        <f>SUM(L108:N108)</f>
        <v>349960.12422344752</v>
      </c>
      <c r="P108" s="497"/>
      <c r="Q108" s="497"/>
      <c r="R108" s="497"/>
      <c r="S108" s="497"/>
      <c r="T108" s="497"/>
      <c r="U108" s="497"/>
    </row>
    <row r="109" spans="2:21" x14ac:dyDescent="0.3">
      <c r="C109" s="18" t="s">
        <v>2176</v>
      </c>
      <c r="L109" s="497"/>
      <c r="M109" s="497"/>
      <c r="N109" s="497"/>
      <c r="O109" s="497">
        <f>'15 Assumptions'!$C$112*'15 Assumptions'!$C$113</f>
        <v>256950</v>
      </c>
      <c r="P109" s="497"/>
      <c r="Q109" s="497"/>
      <c r="R109" s="497"/>
      <c r="S109" s="497"/>
      <c r="T109" s="497"/>
      <c r="U109" s="497"/>
    </row>
    <row r="110" spans="2:21" x14ac:dyDescent="0.3">
      <c r="C110" s="18" t="s">
        <v>2177</v>
      </c>
      <c r="L110" s="497"/>
      <c r="M110" s="497"/>
      <c r="N110" s="497"/>
      <c r="O110" s="496">
        <f>O108-O109</f>
        <v>93010.124223447521</v>
      </c>
      <c r="P110" s="497"/>
      <c r="Q110" s="497"/>
      <c r="R110" s="497"/>
      <c r="S110" s="497"/>
      <c r="T110" s="497"/>
      <c r="U110" s="497"/>
    </row>
    <row r="111" spans="2:21" x14ac:dyDescent="0.3">
      <c r="C111" s="18" t="s">
        <v>2178</v>
      </c>
      <c r="L111" s="497"/>
      <c r="M111" s="497"/>
      <c r="N111" s="497"/>
      <c r="O111" s="549">
        <f>O110/O109</f>
        <v>0.3619775217880814</v>
      </c>
      <c r="P111" s="497"/>
      <c r="Q111" s="497"/>
      <c r="R111" s="497"/>
      <c r="S111" s="497"/>
      <c r="T111" s="497"/>
      <c r="U111" s="497"/>
    </row>
    <row r="112" spans="2:21" x14ac:dyDescent="0.3">
      <c r="C112" s="18" t="s">
        <v>2179</v>
      </c>
      <c r="L112" s="497"/>
      <c r="M112" s="497"/>
      <c r="N112" s="497"/>
      <c r="O112" s="497" t="str">
        <f>IF(O111&lt;'15 Assumptions'!$C$114,"WARNING: under "&amp;TEXT('15 Assumptions'!$C$114,"0%")&amp;" beyond backlog","OK")</f>
        <v>OK</v>
      </c>
      <c r="P112" s="497"/>
      <c r="Q112" s="497"/>
      <c r="R112" s="497"/>
      <c r="S112" s="497"/>
      <c r="T112" s="497"/>
      <c r="U112" s="497"/>
    </row>
    <row r="113" spans="3:16" ht="15" thickBot="1" x14ac:dyDescent="0.35">
      <c r="H113" s="53" t="str">
        <f t="shared" ref="H113:P113" si="21">H$7</f>
        <v>FY2023</v>
      </c>
      <c r="I113" s="53" t="str">
        <f t="shared" si="21"/>
        <v>FY2024</v>
      </c>
      <c r="J113" s="53" t="str">
        <f t="shared" si="21"/>
        <v>FY2025</v>
      </c>
      <c r="K113" s="53" t="str">
        <f t="shared" si="21"/>
        <v>TTM Jun'26</v>
      </c>
      <c r="L113" s="52" t="str">
        <f t="shared" si="21"/>
        <v>FY2026E</v>
      </c>
      <c r="M113" s="52" t="str">
        <f t="shared" si="21"/>
        <v>FY2027E</v>
      </c>
      <c r="N113" s="52" t="str">
        <f t="shared" si="21"/>
        <v>FY2028E</v>
      </c>
      <c r="O113" s="52" t="str">
        <f t="shared" si="21"/>
        <v>FY2029E</v>
      </c>
      <c r="P113" s="52" t="str">
        <f t="shared" si="21"/>
        <v>FY2030E</v>
      </c>
    </row>
    <row r="114" spans="3:16" x14ac:dyDescent="0.3">
      <c r="C114" s="18" t="s">
        <v>2180</v>
      </c>
      <c r="I114" s="550">
        <f>(I14-H14)/-H75*100</f>
        <v>31.443986232985022</v>
      </c>
      <c r="J114" s="550">
        <f>(J14-I14)/-I75*100</f>
        <v>29.458456267250405</v>
      </c>
      <c r="L114" s="551">
        <f>(L14-J14)/-J75*100</f>
        <v>46.862827648802032</v>
      </c>
      <c r="M114" s="551">
        <f>(M14-L14)/-L75*100</f>
        <v>33.000000000000007</v>
      </c>
      <c r="N114" s="551">
        <f>(N14-M14)/-M75*100</f>
        <v>34</v>
      </c>
      <c r="O114" s="551">
        <f>(O14-N14)/-N75*100</f>
        <v>35.499999999999986</v>
      </c>
      <c r="P114" s="551">
        <f>(P14-O14)/-O75*100</f>
        <v>37.4</v>
      </c>
    </row>
    <row r="115" spans="3:16" x14ac:dyDescent="0.3">
      <c r="C115" s="18" t="s">
        <v>2181</v>
      </c>
      <c r="L115" s="552">
        <f>L114-AVERAGE($I$114:$J$114)</f>
        <v>16.41160639868432</v>
      </c>
      <c r="M115" s="552">
        <f>M114-AVERAGE($I$114:$J$114)</f>
        <v>2.5487787498822954</v>
      </c>
      <c r="N115" s="552">
        <f>N114-AVERAGE($I$114:$J$114)</f>
        <v>3.5487787498822883</v>
      </c>
      <c r="O115" s="552">
        <f>O114-AVERAGE($I$114:$J$114)</f>
        <v>5.048778749882274</v>
      </c>
      <c r="P115" s="552">
        <f>P114-AVERAGE($I$114:$J$114)</f>
        <v>6.9487787498822868</v>
      </c>
    </row>
    <row r="117" spans="3:16" ht="15" thickBot="1" x14ac:dyDescent="0.35">
      <c r="H117" s="53" t="str">
        <f>H$7</f>
        <v>FY2023</v>
      </c>
      <c r="I117" s="53" t="str">
        <f>I$7</f>
        <v>FY2024</v>
      </c>
      <c r="J117" s="53" t="str">
        <f>J$7</f>
        <v>FY2025</v>
      </c>
      <c r="K117" s="53" t="s">
        <v>51</v>
      </c>
      <c r="L117" s="52" t="str">
        <f>L$7</f>
        <v>FY2026E</v>
      </c>
      <c r="M117" s="52" t="str">
        <f>M$7</f>
        <v>FY2027E</v>
      </c>
      <c r="N117" s="52" t="str">
        <f>N$7</f>
        <v>FY2028E</v>
      </c>
      <c r="O117" s="52" t="str">
        <f>O$7</f>
        <v>FY2029E</v>
      </c>
      <c r="P117" s="52" t="str">
        <f>P$7</f>
        <v>FY2030E</v>
      </c>
    </row>
    <row r="118" spans="3:16" x14ac:dyDescent="0.3">
      <c r="C118" s="18" t="s">
        <v>2204</v>
      </c>
      <c r="K118" s="86">
        <f>('03 Segments'!G12+'03 Segments'!I12)/('03 Segments'!G16+'03 Segments'!I16)</f>
        <v>0.80184333803528207</v>
      </c>
      <c r="L118" s="549">
        <f>SUM(L10:L13)/L18</f>
        <v>0.79439834972281664</v>
      </c>
      <c r="M118" s="549">
        <f>SUM(M10:M13)/M18</f>
        <v>0.72871200795419078</v>
      </c>
      <c r="N118" s="549">
        <f>SUM(N10:N13)/N18</f>
        <v>0.67021014102908805</v>
      </c>
      <c r="O118" s="549">
        <f>SUM(O10:O13)/O18</f>
        <v>0.62837709344269632</v>
      </c>
      <c r="P118" s="549">
        <f>SUM(P10:P13)/P18</f>
        <v>0.60007280847237254</v>
      </c>
    </row>
    <row r="119" spans="3:16" x14ac:dyDescent="0.3">
      <c r="C119" s="18" t="s">
        <v>2205</v>
      </c>
      <c r="K119" s="86">
        <f>('03 Segments'!G13+'03 Segments'!I13)/('03 Segments'!G16+'03 Segments'!I16)</f>
        <v>0.19502638315657489</v>
      </c>
      <c r="L119" s="549">
        <f>L14/L18</f>
        <v>0.20229519992928802</v>
      </c>
      <c r="M119" s="549">
        <f>M14/M18</f>
        <v>0.2684207019932755</v>
      </c>
      <c r="N119" s="549">
        <f>N14/N18</f>
        <v>0.32726274309031839</v>
      </c>
      <c r="O119" s="549">
        <f>O14/O18</f>
        <v>0.36933642524997579</v>
      </c>
      <c r="P119" s="549">
        <f>P14/P18</f>
        <v>0.39780475918669056</v>
      </c>
    </row>
    <row r="120" spans="3:16" x14ac:dyDescent="0.3">
      <c r="C120" s="18" t="s">
        <v>2206</v>
      </c>
      <c r="K120" s="86">
        <f>'15 Assumptions'!$C$123</f>
        <v>0.43508690010153278</v>
      </c>
      <c r="L120" s="495">
        <f>'15 Assumptions'!$C$123+'DCF Best Drivers'!$C$35*0/4</f>
        <v>0.43508690010153278</v>
      </c>
      <c r="M120" s="495">
        <f>'15 Assumptions'!$C$123+'DCF Best Drivers'!$C$35*1/4</f>
        <v>0.44008690010153279</v>
      </c>
      <c r="N120" s="495">
        <f>'15 Assumptions'!$C$123+'DCF Best Drivers'!$C$35*2/4</f>
        <v>0.44508690010153279</v>
      </c>
      <c r="O120" s="495">
        <f>'15 Assumptions'!$C$123+'DCF Best Drivers'!$C$35*3/4</f>
        <v>0.45008690010153279</v>
      </c>
      <c r="P120" s="495">
        <f>'15 Assumptions'!$C$123+'DCF Best Drivers'!$C$35*4/4</f>
        <v>0.4550869001015328</v>
      </c>
    </row>
    <row r="121" spans="3:16" x14ac:dyDescent="0.3">
      <c r="C121" s="18" t="s">
        <v>2207</v>
      </c>
      <c r="K121" s="86">
        <f>'15 Assumptions'!$C$124</f>
        <v>0.34404857576569337</v>
      </c>
      <c r="L121" s="495">
        <f>'15 Assumptions'!$C$124+'DCF Best Drivers'!$C$36*0/4</f>
        <v>0.34404857576569337</v>
      </c>
      <c r="M121" s="495">
        <f>'15 Assumptions'!$C$124+'DCF Best Drivers'!$C$36*1/4</f>
        <v>0.35654857576569338</v>
      </c>
      <c r="N121" s="495">
        <f>'15 Assumptions'!$C$124+'DCF Best Drivers'!$C$36*2/4</f>
        <v>0.36904857576569339</v>
      </c>
      <c r="O121" s="495">
        <f>'15 Assumptions'!$C$124+'DCF Best Drivers'!$C$36*3/4</f>
        <v>0.38154857576569334</v>
      </c>
      <c r="P121" s="495">
        <f>'15 Assumptions'!$C$124+'DCF Best Drivers'!$C$36*4/4</f>
        <v>0.39404857576569335</v>
      </c>
    </row>
    <row r="122" spans="3:16" x14ac:dyDescent="0.3">
      <c r="C122" s="18" t="s">
        <v>2208</v>
      </c>
      <c r="K122" s="86">
        <f>'15 Assumptions'!$C$125</f>
        <v>-6.5648781846995102E-2</v>
      </c>
      <c r="L122" s="495">
        <f>'15 Assumptions'!$C$125+'DCF Best Drivers'!$C$37*0/4</f>
        <v>-6.5648781846995102E-2</v>
      </c>
      <c r="M122" s="495">
        <f>'15 Assumptions'!$C$125+'DCF Best Drivers'!$C$37*1/4</f>
        <v>-6.5648781846995102E-2</v>
      </c>
      <c r="N122" s="495">
        <f>'15 Assumptions'!$C$125+'DCF Best Drivers'!$C$37*2/4</f>
        <v>-6.5648781846995102E-2</v>
      </c>
      <c r="O122" s="495">
        <f>'15 Assumptions'!$C$125+'DCF Best Drivers'!$C$37*3/4</f>
        <v>-6.5648781846995102E-2</v>
      </c>
      <c r="P122" s="495">
        <f>'15 Assumptions'!$C$125+'DCF Best Drivers'!$C$37*4/4</f>
        <v>-6.5648781846995102E-2</v>
      </c>
    </row>
    <row r="123" spans="3:16" x14ac:dyDescent="0.3">
      <c r="C123" s="18" t="s">
        <v>2209</v>
      </c>
      <c r="K123" s="86">
        <f>K118*K120+K119*K121+K122+'15 Assumptions'!$C$126</f>
        <v>0.35286786512904855</v>
      </c>
      <c r="L123" s="495">
        <f>L118*L120+L119*L121+L122+'15 Assumptions'!$C$126</f>
        <v>0.35212947430103947</v>
      </c>
      <c r="M123" s="495">
        <f>M118*M120+M119*M121+M122+'15 Assumptions'!$C$126</f>
        <v>0.35329941110351148</v>
      </c>
      <c r="N123" s="495">
        <f>N118*N120+N119*N121+N122+'15 Assumptions'!$C$126</f>
        <v>0.35597538678036211</v>
      </c>
      <c r="O123" s="495">
        <f>O118*O120+O119*O121+O122+'15 Assumptions'!$C$126</f>
        <v>0.36064186856941327</v>
      </c>
      <c r="P123" s="495">
        <f>P118*P120+P119*P121+P122+'15 Assumptions'!$C$126</f>
        <v>0.36673745648770106</v>
      </c>
    </row>
    <row r="124" spans="3:16" x14ac:dyDescent="0.3">
      <c r="C124" s="18" t="s">
        <v>2210</v>
      </c>
      <c r="L124" s="495">
        <f>CHOOSE('DCF Best Drivers'!$D$6,'15 Assumptions'!C27,'15 Assumptions'!C28,'15 Assumptions'!C29)</f>
        <v>0.35799999999999998</v>
      </c>
      <c r="M124" s="495">
        <f>CHOOSE('DCF Best Drivers'!$D$6,'15 Assumptions'!D27,'15 Assumptions'!D28,'15 Assumptions'!D29)</f>
        <v>0.36799999999999999</v>
      </c>
      <c r="N124" s="495">
        <f>CHOOSE('DCF Best Drivers'!$D$6,'15 Assumptions'!E27,'15 Assumptions'!E28,'15 Assumptions'!E29)</f>
        <v>0.378</v>
      </c>
      <c r="O124" s="495">
        <f>CHOOSE('DCF Best Drivers'!$D$6,'15 Assumptions'!F27,'15 Assumptions'!F28,'15 Assumptions'!F29)</f>
        <v>0.38800000000000001</v>
      </c>
      <c r="P124" s="495">
        <f>CHOOSE('DCF Best Drivers'!$D$6,'15 Assumptions'!G27,'15 Assumptions'!G28,'15 Assumptions'!G29)</f>
        <v>0.39800000000000002</v>
      </c>
    </row>
    <row r="125" spans="3:16" x14ac:dyDescent="0.3">
      <c r="C125" s="18" t="s">
        <v>2211</v>
      </c>
      <c r="L125" s="558">
        <f>L123-L124</f>
        <v>-5.8705256989605159E-3</v>
      </c>
      <c r="M125" s="558">
        <f>M123-M124</f>
        <v>-1.4700588896488509E-2</v>
      </c>
      <c r="N125" s="558">
        <f>N123-N124</f>
        <v>-2.202461321963789E-2</v>
      </c>
      <c r="O125" s="558">
        <f>O123-O124</f>
        <v>-2.7358131430586741E-2</v>
      </c>
      <c r="P125" s="558">
        <f>P123-P124</f>
        <v>-3.1262543512298957E-2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0257-C9B7-4D9E-B90F-DFDCEF86D170}">
  <sheetPr>
    <tabColor rgb="FF002F6C"/>
  </sheetPr>
  <dimension ref="A1:U125"/>
  <sheetViews>
    <sheetView showGridLines="0" workbookViewId="0">
      <pane ySplit="7" topLeftCell="A75" activePane="bottomLeft" state="frozen"/>
      <selection pane="bottomLeft" activeCell="L95" sqref="L95:U95"/>
    </sheetView>
  </sheetViews>
  <sheetFormatPr defaultRowHeight="14.4" x14ac:dyDescent="0.3"/>
  <cols>
    <col min="1" max="1" width="2.21875" style="1" customWidth="1"/>
    <col min="2" max="2" width="2.5546875" style="1" customWidth="1"/>
    <col min="3" max="3" width="53.6640625" style="1" customWidth="1"/>
    <col min="4" max="7" width="1.88671875" style="1" customWidth="1"/>
    <col min="8" max="16" width="15.5546875" style="1" customWidth="1"/>
    <col min="17" max="21" width="15.5546875" customWidth="1"/>
  </cols>
  <sheetData>
    <row r="1" spans="2:16" x14ac:dyDescent="0.3">
      <c r="O1" s="49" t="str">
        <f>"CURRENTLY RUNNING:  "&amp;'DCF Worst Drivers'!F6</f>
        <v>CURRENTLY RUNNING:  WORST CASE</v>
      </c>
    </row>
    <row r="2" spans="2:16" ht="23.4" thickBot="1" x14ac:dyDescent="0.45">
      <c r="B2" s="396" t="s">
        <v>1876</v>
      </c>
      <c r="C2" s="396"/>
      <c r="D2" s="396"/>
      <c r="E2" s="396"/>
      <c r="F2" s="396"/>
      <c r="G2" s="396"/>
      <c r="H2" s="396"/>
      <c r="I2" s="396"/>
      <c r="J2" s="396"/>
      <c r="K2" s="396"/>
      <c r="L2" s="396"/>
      <c r="M2" s="396"/>
      <c r="N2" s="396"/>
      <c r="O2" s="396"/>
      <c r="P2" s="396"/>
    </row>
    <row r="3" spans="2:16" ht="28.05" customHeight="1" x14ac:dyDescent="0.3">
      <c r="B3" s="313" t="s">
        <v>1567</v>
      </c>
    </row>
    <row r="4" spans="2:16" ht="15" thickBot="1" x14ac:dyDescent="0.35">
      <c r="B4" s="4"/>
      <c r="C4" s="4"/>
      <c r="D4" s="4"/>
      <c r="E4" s="4"/>
      <c r="F4" s="4"/>
      <c r="G4" s="4"/>
      <c r="H4" s="4"/>
      <c r="I4" s="4"/>
      <c r="J4" s="4"/>
      <c r="K4" s="4"/>
      <c r="L4" s="4"/>
      <c r="M4" s="4"/>
      <c r="N4" s="4"/>
      <c r="O4" s="4"/>
      <c r="P4" s="4"/>
    </row>
    <row r="6" spans="2:16" x14ac:dyDescent="0.3">
      <c r="L6" s="50" t="s">
        <v>1016</v>
      </c>
      <c r="M6" s="51"/>
      <c r="N6" s="51"/>
      <c r="O6" s="51"/>
      <c r="P6" s="51"/>
    </row>
    <row r="7" spans="2:16" ht="15" thickBot="1" x14ac:dyDescent="0.35">
      <c r="H7" s="53" t="s">
        <v>7</v>
      </c>
      <c r="I7" s="53" t="s">
        <v>8</v>
      </c>
      <c r="J7" s="53" t="s">
        <v>9</v>
      </c>
      <c r="K7" s="53" t="s">
        <v>11</v>
      </c>
      <c r="L7" s="52" t="s">
        <v>973</v>
      </c>
      <c r="M7" s="52" t="s">
        <v>974</v>
      </c>
      <c r="N7" s="52" t="s">
        <v>975</v>
      </c>
      <c r="O7" s="52" t="s">
        <v>976</v>
      </c>
      <c r="P7" s="52" t="s">
        <v>977</v>
      </c>
    </row>
    <row r="9" spans="2:16" ht="18" customHeight="1" x14ac:dyDescent="0.3">
      <c r="B9" s="16" t="s">
        <v>1017</v>
      </c>
      <c r="C9" s="16"/>
      <c r="D9" s="16"/>
      <c r="E9" s="16"/>
      <c r="F9" s="16"/>
      <c r="G9" s="16"/>
      <c r="H9" s="16"/>
      <c r="I9" s="16"/>
      <c r="J9" s="16"/>
      <c r="K9" s="16"/>
      <c r="L9" s="16"/>
      <c r="M9" s="16"/>
      <c r="N9" s="16"/>
      <c r="O9" s="16"/>
      <c r="P9" s="16"/>
    </row>
    <row r="10" spans="2:16" x14ac:dyDescent="0.3">
      <c r="C10" s="18" t="s">
        <v>70</v>
      </c>
      <c r="H10" s="47">
        <f>'03 Segments'!C7</f>
        <v>175033</v>
      </c>
      <c r="I10" s="47">
        <f>'03 Segments'!D7</f>
        <v>198084</v>
      </c>
      <c r="J10" s="47">
        <f>'03 Segments'!E7</f>
        <v>224532</v>
      </c>
      <c r="K10" s="47">
        <f>'03 Segments'!E7+'03 Segments'!G7+'03 Segments'!I7-'03 Segments'!F7-'03 Segments'!H7</f>
        <v>243310</v>
      </c>
      <c r="L10" s="429">
        <f>J10*(1+'DCF Worst Drivers'!C18)</f>
        <v>249230.51999999996</v>
      </c>
      <c r="M10" s="429">
        <f>L10*(1+'DCF Worst Drivers'!D18)</f>
        <v>269168.96159999998</v>
      </c>
      <c r="N10" s="429">
        <f>M10*(1+'DCF Worst Drivers'!E18)</f>
        <v>285319.09929599997</v>
      </c>
      <c r="O10" s="429">
        <f>N10*(1+'DCF Worst Drivers'!F18)</f>
        <v>299585.05426080001</v>
      </c>
      <c r="P10" s="429">
        <f>O10*(1+'DCF Worst Drivers'!G18)</f>
        <v>311568.45643123204</v>
      </c>
    </row>
    <row r="11" spans="2:16" x14ac:dyDescent="0.3">
      <c r="B11" s="61"/>
      <c r="C11" s="62" t="s">
        <v>71</v>
      </c>
      <c r="D11" s="61"/>
      <c r="E11" s="61"/>
      <c r="F11" s="61"/>
      <c r="G11" s="61"/>
      <c r="H11" s="430">
        <f>'03 Segments'!C8</f>
        <v>31510</v>
      </c>
      <c r="I11" s="430">
        <f>'03 Segments'!D8</f>
        <v>36147</v>
      </c>
      <c r="J11" s="430">
        <f>'03 Segments'!E8</f>
        <v>40367</v>
      </c>
      <c r="K11" s="430">
        <f>'03 Segments'!E8+'03 Segments'!G8+'03 Segments'!I8-'03 Segments'!F8-'03 Segments'!H8</f>
        <v>42582</v>
      </c>
      <c r="L11" s="431">
        <f>J11*(1+'DCF Worst Drivers'!C19)</f>
        <v>43798.195</v>
      </c>
      <c r="M11" s="431">
        <f>L11*(1+'DCF Worst Drivers'!D19)</f>
        <v>47083.059624999994</v>
      </c>
      <c r="N11" s="431">
        <f>M11*(1+'DCF Worst Drivers'!E19)</f>
        <v>50143.458500624991</v>
      </c>
      <c r="O11" s="431">
        <f>N11*(1+'DCF Worst Drivers'!F19)</f>
        <v>53152.066010662493</v>
      </c>
      <c r="P11" s="431">
        <f>O11*(1+'DCF Worst Drivers'!G19)</f>
        <v>56075.429641248928</v>
      </c>
    </row>
    <row r="12" spans="2:16" x14ac:dyDescent="0.3">
      <c r="B12" s="61"/>
      <c r="C12" s="62" t="s">
        <v>72</v>
      </c>
      <c r="D12" s="61"/>
      <c r="E12" s="61"/>
      <c r="F12" s="61"/>
      <c r="G12" s="61"/>
      <c r="H12" s="430">
        <f>'03 Segments'!C9</f>
        <v>31312</v>
      </c>
      <c r="I12" s="430">
        <f>'03 Segments'!D9</f>
        <v>30359</v>
      </c>
      <c r="J12" s="430">
        <f>'03 Segments'!E9</f>
        <v>29792</v>
      </c>
      <c r="K12" s="430">
        <f>'03 Segments'!E9+'03 Segments'!G9+'03 Segments'!I9-'03 Segments'!F9-'03 Segments'!H9</f>
        <v>29456</v>
      </c>
      <c r="L12" s="431">
        <f>J12*(1+'DCF Worst Drivers'!C20)</f>
        <v>28004.48</v>
      </c>
      <c r="M12" s="431">
        <f>L12*(1+'DCF Worst Drivers'!D20)</f>
        <v>26324.211199999998</v>
      </c>
      <c r="N12" s="431">
        <f>M12*(1+'DCF Worst Drivers'!E20)</f>
        <v>24744.758527999995</v>
      </c>
      <c r="O12" s="431">
        <f>N12*(1+'DCF Worst Drivers'!F20)</f>
        <v>23260.073016319995</v>
      </c>
      <c r="P12" s="431">
        <f>O12*(1+'DCF Worst Drivers'!G20)</f>
        <v>21864.468635340792</v>
      </c>
    </row>
    <row r="13" spans="2:16" x14ac:dyDescent="0.3">
      <c r="B13" s="61"/>
      <c r="C13" s="62" t="s">
        <v>74</v>
      </c>
      <c r="D13" s="61"/>
      <c r="E13" s="61"/>
      <c r="F13" s="61"/>
      <c r="G13" s="61"/>
      <c r="H13" s="430">
        <f>'03 Segments'!C11</f>
        <v>34688</v>
      </c>
      <c r="I13" s="430">
        <f>'03 Segments'!D11</f>
        <v>40340</v>
      </c>
      <c r="J13" s="430">
        <f>'03 Segments'!E11</f>
        <v>48030</v>
      </c>
      <c r="K13" s="430">
        <f>'03 Segments'!E11+'03 Segments'!G11+'03 Segments'!I11-'03 Segments'!F11-'03 Segments'!H11</f>
        <v>51743</v>
      </c>
      <c r="L13" s="431">
        <f>J13*(1+'DCF Worst Drivers'!C21)</f>
        <v>53793.600000000006</v>
      </c>
      <c r="M13" s="431">
        <f>L13*(1+'DCF Worst Drivers'!D21)</f>
        <v>59441.928000000007</v>
      </c>
      <c r="N13" s="431">
        <f>M13*(1+'DCF Worst Drivers'!E21)</f>
        <v>64791.70152000001</v>
      </c>
      <c r="O13" s="431">
        <f>N13*(1+'DCF Worst Drivers'!F21)</f>
        <v>69975.037641600022</v>
      </c>
      <c r="P13" s="431">
        <f>O13*(1+'DCF Worst Drivers'!G21)</f>
        <v>74873.290276512023</v>
      </c>
    </row>
    <row r="14" spans="2:16" x14ac:dyDescent="0.3">
      <c r="B14" s="61"/>
      <c r="C14" s="62" t="s">
        <v>76</v>
      </c>
      <c r="D14" s="61"/>
      <c r="E14" s="61"/>
      <c r="F14" s="61"/>
      <c r="G14" s="61"/>
      <c r="H14" s="430">
        <f>'03 Segments'!C13</f>
        <v>33088</v>
      </c>
      <c r="I14" s="430">
        <f>'03 Segments'!D13</f>
        <v>43229</v>
      </c>
      <c r="J14" s="430">
        <f>'03 Segments'!E13</f>
        <v>58705</v>
      </c>
      <c r="K14" s="430">
        <f>'03 Segments'!E13+'03 Segments'!G13+'03 Segments'!I13-'03 Segments'!F13-'03 Segments'!H13</f>
        <v>77617</v>
      </c>
      <c r="L14" s="431">
        <f>J14*(1+'DCF Worst Drivers'!C22)</f>
        <v>97450.299999999988</v>
      </c>
      <c r="M14" s="431">
        <f>L14-L75*'DCF Worst Drivers'!D24</f>
        <v>137450.98343529998</v>
      </c>
      <c r="N14" s="431">
        <f>M14-M75*'DCF Worst Drivers'!E24</f>
        <v>183244.35829440376</v>
      </c>
      <c r="O14" s="431">
        <f>N14-N75*'DCF Worst Drivers'!F24</f>
        <v>228371.55250382988</v>
      </c>
      <c r="P14" s="431">
        <f>O14-O75*'DCF Worst Drivers'!G24</f>
        <v>271868.49689593998</v>
      </c>
    </row>
    <row r="15" spans="2:16" x14ac:dyDescent="0.3">
      <c r="B15" s="61"/>
      <c r="C15" s="62" t="s">
        <v>77</v>
      </c>
      <c r="D15" s="61"/>
      <c r="E15" s="61"/>
      <c r="F15" s="61"/>
      <c r="G15" s="61"/>
      <c r="H15" s="430">
        <f>'03 Segments'!C14</f>
        <v>1527</v>
      </c>
      <c r="I15" s="430">
        <f>'03 Segments'!D14</f>
        <v>1648</v>
      </c>
      <c r="J15" s="430">
        <f>'03 Segments'!E14</f>
        <v>1537</v>
      </c>
      <c r="K15" s="430">
        <f>'03 Segments'!E14+'03 Segments'!G14+'03 Segments'!I14-'03 Segments'!F14-'03 Segments'!H14</f>
        <v>1507</v>
      </c>
      <c r="L15" s="431">
        <f>J15*(1+'DCF Worst Drivers'!C23)</f>
        <v>1552.3700000000001</v>
      </c>
      <c r="M15" s="431">
        <f>L15*(1+'DCF Worst Drivers'!D23)</f>
        <v>1567.8937000000001</v>
      </c>
      <c r="N15" s="431">
        <f>M15*(1+'DCF Worst Drivers'!E23)</f>
        <v>1583.572637</v>
      </c>
      <c r="O15" s="431">
        <f>N15*(1+'DCF Worst Drivers'!F23)</f>
        <v>1599.40836337</v>
      </c>
      <c r="P15" s="431">
        <f>O15*(1+'DCF Worst Drivers'!G23)</f>
        <v>1615.4024470037</v>
      </c>
    </row>
    <row r="16" spans="2:16" x14ac:dyDescent="0.3">
      <c r="B16" s="58"/>
      <c r="C16" s="59" t="s">
        <v>78</v>
      </c>
      <c r="D16" s="58"/>
      <c r="E16" s="58"/>
      <c r="F16" s="58"/>
      <c r="G16" s="58"/>
      <c r="H16" s="432">
        <f>'03 Segments'!C15</f>
        <v>236</v>
      </c>
      <c r="I16" s="432">
        <f>'03 Segments'!D15</f>
        <v>211</v>
      </c>
      <c r="J16" s="432">
        <f>'03 Segments'!E15</f>
        <v>-127</v>
      </c>
      <c r="K16" s="432">
        <f>'03 Segments'!E15+'03 Segments'!G15+'03 Segments'!I15-'03 Segments'!F15-'03 Segments'!H15</f>
        <v>-349</v>
      </c>
      <c r="L16" s="433">
        <f>'15 Assumptions'!$C$24</f>
        <v>0</v>
      </c>
      <c r="M16" s="433">
        <f>'15 Assumptions'!$C$24</f>
        <v>0</v>
      </c>
      <c r="N16" s="433">
        <f>'15 Assumptions'!$C$24</f>
        <v>0</v>
      </c>
      <c r="O16" s="433">
        <f>'15 Assumptions'!$C$24</f>
        <v>0</v>
      </c>
      <c r="P16" s="433">
        <f>'15 Assumptions'!$C$24</f>
        <v>0</v>
      </c>
    </row>
    <row r="17" spans="2:16" x14ac:dyDescent="0.3">
      <c r="C17" s="18"/>
      <c r="H17" s="38"/>
      <c r="I17" s="38"/>
      <c r="J17" s="38"/>
      <c r="K17" s="38"/>
      <c r="L17" s="67"/>
      <c r="M17" s="67"/>
      <c r="N17" s="67"/>
      <c r="O17" s="67"/>
      <c r="P17" s="67"/>
    </row>
    <row r="18" spans="2:16" x14ac:dyDescent="0.3">
      <c r="C18" s="54" t="s">
        <v>79</v>
      </c>
      <c r="D18" s="55"/>
      <c r="E18" s="55"/>
      <c r="F18" s="55"/>
      <c r="G18" s="55"/>
      <c r="H18" s="434">
        <f t="shared" ref="H18:P18" si="0">SUM(H10:H16)</f>
        <v>307394</v>
      </c>
      <c r="I18" s="434">
        <f t="shared" si="0"/>
        <v>350018</v>
      </c>
      <c r="J18" s="434">
        <f t="shared" si="0"/>
        <v>402836</v>
      </c>
      <c r="K18" s="434">
        <f t="shared" si="0"/>
        <v>445866</v>
      </c>
      <c r="L18" s="273">
        <f t="shared" si="0"/>
        <v>473829.46499999991</v>
      </c>
      <c r="M18" s="273">
        <f t="shared" si="0"/>
        <v>541037.03756029997</v>
      </c>
      <c r="N18" s="273">
        <f t="shared" si="0"/>
        <v>609826.9487760287</v>
      </c>
      <c r="O18" s="273">
        <f t="shared" si="0"/>
        <v>675943.19179658243</v>
      </c>
      <c r="P18" s="273">
        <f t="shared" si="0"/>
        <v>737865.54432727757</v>
      </c>
    </row>
    <row r="19" spans="2:16" x14ac:dyDescent="0.3">
      <c r="C19" s="18" t="s">
        <v>84</v>
      </c>
      <c r="H19" s="37"/>
      <c r="I19" s="376">
        <f>I18/H18-1</f>
        <v>0.13866243322901561</v>
      </c>
      <c r="J19" s="376">
        <f>J18/I18-1</f>
        <v>0.15090081081544371</v>
      </c>
      <c r="K19" s="37"/>
      <c r="L19" s="435">
        <f>L18/J18-1</f>
        <v>0.17623416228936817</v>
      </c>
      <c r="M19" s="435">
        <f>M18/L18-1</f>
        <v>0.14183915844131834</v>
      </c>
      <c r="N19" s="435">
        <f>N18/M18-1</f>
        <v>0.12714455100139399</v>
      </c>
      <c r="O19" s="435">
        <f>O18/N18-1</f>
        <v>0.10841804081183071</v>
      </c>
      <c r="P19" s="435">
        <f>P18/O18-1</f>
        <v>9.1608811631214593E-2</v>
      </c>
    </row>
    <row r="22" spans="2:16" ht="18" customHeight="1" x14ac:dyDescent="0.3">
      <c r="B22" s="16" t="s">
        <v>1018</v>
      </c>
      <c r="C22" s="16"/>
      <c r="D22" s="16"/>
      <c r="E22" s="16"/>
      <c r="F22" s="16"/>
      <c r="G22" s="16"/>
      <c r="H22" s="16"/>
      <c r="I22" s="16"/>
      <c r="J22" s="16"/>
      <c r="K22" s="16"/>
      <c r="L22" s="16"/>
      <c r="M22" s="16"/>
      <c r="N22" s="16"/>
      <c r="O22" s="16"/>
      <c r="P22" s="16"/>
    </row>
    <row r="23" spans="2:16" x14ac:dyDescent="0.3">
      <c r="C23" s="18" t="s">
        <v>13</v>
      </c>
      <c r="H23" s="274">
        <f t="shared" ref="H23:P23" si="1">H18</f>
        <v>307394</v>
      </c>
      <c r="I23" s="274">
        <f t="shared" si="1"/>
        <v>350018</v>
      </c>
      <c r="J23" s="274">
        <f t="shared" si="1"/>
        <v>402836</v>
      </c>
      <c r="K23" s="274">
        <f t="shared" si="1"/>
        <v>445866</v>
      </c>
      <c r="L23" s="436">
        <f t="shared" si="1"/>
        <v>473829.46499999991</v>
      </c>
      <c r="M23" s="436">
        <f t="shared" si="1"/>
        <v>541037.03756029997</v>
      </c>
      <c r="N23" s="436">
        <f t="shared" si="1"/>
        <v>609826.9487760287</v>
      </c>
      <c r="O23" s="436">
        <f t="shared" si="1"/>
        <v>675943.19179658243</v>
      </c>
      <c r="P23" s="436">
        <f t="shared" si="1"/>
        <v>737865.54432727757</v>
      </c>
    </row>
    <row r="24" spans="2:16" x14ac:dyDescent="0.3">
      <c r="C24" s="54" t="s">
        <v>20</v>
      </c>
      <c r="D24" s="55"/>
      <c r="E24" s="55"/>
      <c r="F24" s="55"/>
      <c r="G24" s="55"/>
      <c r="H24" s="437">
        <f>'01 Income Statement'!C12</f>
        <v>84293</v>
      </c>
      <c r="I24" s="437">
        <f>'01 Income Statement'!D12</f>
        <v>112390</v>
      </c>
      <c r="J24" s="437">
        <f>'01 Income Statement'!E12</f>
        <v>129039</v>
      </c>
      <c r="K24" s="437">
        <f>'01 Income Statement'!G12</f>
        <v>147628</v>
      </c>
      <c r="L24" s="438">
        <f>L23*'DCF Worst Drivers'!C25-L26</f>
        <v>160893.10593798201</v>
      </c>
      <c r="M24" s="438">
        <f>M23*'DCF Worst Drivers'!D25-M26</f>
        <v>163881.41126536293</v>
      </c>
      <c r="N24" s="438">
        <f>N23*'DCF Worst Drivers'!E25-N26</f>
        <v>155694.10872172407</v>
      </c>
      <c r="O24" s="438">
        <f>O23*'DCF Worst Drivers'!F25-O26</f>
        <v>143072.77908563308</v>
      </c>
      <c r="P24" s="438">
        <f>P23*'DCF Worst Drivers'!G25-P26</f>
        <v>130175.40797421661</v>
      </c>
    </row>
    <row r="25" spans="2:16" x14ac:dyDescent="0.3">
      <c r="B25" s="56"/>
      <c r="C25" s="57" t="s">
        <v>1405</v>
      </c>
      <c r="D25" s="56"/>
      <c r="E25" s="56"/>
      <c r="F25" s="56"/>
      <c r="G25" s="56"/>
      <c r="H25" s="439">
        <f t="shared" ref="H25:P25" si="2">H24/H23</f>
        <v>0.27421810445226646</v>
      </c>
      <c r="I25" s="439">
        <f t="shared" si="2"/>
        <v>0.32109777211457696</v>
      </c>
      <c r="J25" s="439">
        <f t="shared" si="2"/>
        <v>0.32032638592380025</v>
      </c>
      <c r="K25" s="439">
        <f t="shared" si="2"/>
        <v>0.33110396397123798</v>
      </c>
      <c r="L25" s="440">
        <f t="shared" si="2"/>
        <v>0.33955909841525378</v>
      </c>
      <c r="M25" s="440">
        <f t="shared" si="2"/>
        <v>0.30290238909401451</v>
      </c>
      <c r="N25" s="440">
        <f t="shared" si="2"/>
        <v>0.25530867245898947</v>
      </c>
      <c r="O25" s="440">
        <f t="shared" si="2"/>
        <v>0.21166391025459022</v>
      </c>
      <c r="P25" s="440">
        <f t="shared" si="2"/>
        <v>0.17642158381700743</v>
      </c>
    </row>
    <row r="26" spans="2:16" ht="14.4" customHeight="1" x14ac:dyDescent="0.3">
      <c r="C26" s="54" t="s">
        <v>1404</v>
      </c>
      <c r="L26" s="273">
        <f>L64-L23*($K$64/$K$23)</f>
        <v>2578.0594870179484</v>
      </c>
      <c r="M26" s="273">
        <f>M64-M23*($K$64/$K$23)</f>
        <v>20071.181505139077</v>
      </c>
      <c r="N26" s="273">
        <f>N64-N23*($K$64/$K$23)</f>
        <v>48597.919118245554</v>
      </c>
      <c r="O26" s="273">
        <f>O64-O23*($K$64/$K$23)</f>
        <v>79988.474207239138</v>
      </c>
      <c r="P26" s="273">
        <f>P64-P23*($K$64/$K$23)</f>
        <v>109630.89393214863</v>
      </c>
    </row>
    <row r="27" spans="2:16" x14ac:dyDescent="0.3">
      <c r="C27" s="18" t="s">
        <v>1019</v>
      </c>
      <c r="H27" s="274">
        <f>H29-H28</f>
        <v>1032</v>
      </c>
      <c r="I27" s="274">
        <f>I29-I28</f>
        <v>3711</v>
      </c>
      <c r="J27" s="274">
        <f>J29-J28</f>
        <v>5707</v>
      </c>
      <c r="K27" s="274">
        <f>K29-K28</f>
        <v>2659</v>
      </c>
      <c r="L27" s="429">
        <f>'15 Assumptions'!C46</f>
        <v>3000</v>
      </c>
      <c r="M27" s="429">
        <f>'15 Assumptions'!D46</f>
        <v>3200</v>
      </c>
      <c r="N27" s="429">
        <f>'15 Assumptions'!E46</f>
        <v>3400</v>
      </c>
      <c r="O27" s="429">
        <f>'15 Assumptions'!F46</f>
        <v>3600</v>
      </c>
      <c r="P27" s="429">
        <f>'15 Assumptions'!G46</f>
        <v>3800</v>
      </c>
    </row>
    <row r="28" spans="2:16" x14ac:dyDescent="0.3">
      <c r="B28" s="61"/>
      <c r="C28" s="62" t="s">
        <v>1020</v>
      </c>
      <c r="D28" s="61"/>
      <c r="E28" s="61"/>
      <c r="F28" s="61"/>
      <c r="G28" s="61"/>
      <c r="H28" s="430">
        <f>'06 Core EPS Bridge'!C7</f>
        <v>392</v>
      </c>
      <c r="I28" s="430">
        <f>'06 Core EPS Bridge'!D7</f>
        <v>3714</v>
      </c>
      <c r="J28" s="430">
        <f>'06 Core EPS Bridge'!E7</f>
        <v>24080</v>
      </c>
      <c r="K28" s="430">
        <f>'06 Core EPS Bridge'!E7+'06 Core EPS Bridge'!G7+'06 Core EPS Bridge'!I7-'06 Core EPS Bridge'!F7-'06 Core EPS Bridge'!H7</f>
        <v>148982</v>
      </c>
      <c r="L28" s="431">
        <f>'15 Assumptions'!C47</f>
        <v>135946</v>
      </c>
      <c r="M28" s="431">
        <f>'15 Assumptions'!D47</f>
        <v>0</v>
      </c>
      <c r="N28" s="431">
        <f>'15 Assumptions'!E47</f>
        <v>0</v>
      </c>
      <c r="O28" s="431">
        <f>'15 Assumptions'!F47</f>
        <v>0</v>
      </c>
      <c r="P28" s="431">
        <f>'15 Assumptions'!G47</f>
        <v>0</v>
      </c>
    </row>
    <row r="29" spans="2:16" x14ac:dyDescent="0.3">
      <c r="B29" s="58"/>
      <c r="C29" s="59" t="s">
        <v>1021</v>
      </c>
      <c r="D29" s="58"/>
      <c r="E29" s="58"/>
      <c r="F29" s="58"/>
      <c r="G29" s="58"/>
      <c r="H29" s="432">
        <f>'01 Income Statement'!C14</f>
        <v>1424</v>
      </c>
      <c r="I29" s="432">
        <f>'01 Income Statement'!D14</f>
        <v>7425</v>
      </c>
      <c r="J29" s="432">
        <f>'01 Income Statement'!E14</f>
        <v>29787</v>
      </c>
      <c r="K29" s="432">
        <f>'01 Income Statement'!G14</f>
        <v>151641</v>
      </c>
      <c r="L29" s="441">
        <f>L27+L28</f>
        <v>138946</v>
      </c>
      <c r="M29" s="441">
        <f>M27+M28</f>
        <v>3200</v>
      </c>
      <c r="N29" s="441">
        <f>N27+N28</f>
        <v>3400</v>
      </c>
      <c r="O29" s="441">
        <f>O27+O28</f>
        <v>3600</v>
      </c>
      <c r="P29" s="441">
        <f>P27+P28</f>
        <v>3800</v>
      </c>
    </row>
    <row r="31" spans="2:16" x14ac:dyDescent="0.3">
      <c r="C31" s="18" t="s">
        <v>1022</v>
      </c>
      <c r="H31" s="274">
        <f t="shared" ref="H31:P31" si="3">H24+H29</f>
        <v>85717</v>
      </c>
      <c r="I31" s="274">
        <f t="shared" si="3"/>
        <v>119815</v>
      </c>
      <c r="J31" s="274">
        <f t="shared" si="3"/>
        <v>158826</v>
      </c>
      <c r="K31" s="274">
        <f t="shared" si="3"/>
        <v>299269</v>
      </c>
      <c r="L31" s="436">
        <f t="shared" si="3"/>
        <v>299839.10593798198</v>
      </c>
      <c r="M31" s="436">
        <f t="shared" si="3"/>
        <v>167081.41126536293</v>
      </c>
      <c r="N31" s="436">
        <f t="shared" si="3"/>
        <v>159094.10872172407</v>
      </c>
      <c r="O31" s="436">
        <f t="shared" si="3"/>
        <v>146672.77908563308</v>
      </c>
      <c r="P31" s="436">
        <f t="shared" si="3"/>
        <v>133975.40797421662</v>
      </c>
    </row>
    <row r="32" spans="2:16" x14ac:dyDescent="0.3">
      <c r="B32" s="58"/>
      <c r="C32" s="59" t="s">
        <v>25</v>
      </c>
      <c r="D32" s="58"/>
      <c r="E32" s="58"/>
      <c r="F32" s="58"/>
      <c r="G32" s="58"/>
      <c r="H32" s="432">
        <f>'01 Income Statement'!C16</f>
        <v>11922</v>
      </c>
      <c r="I32" s="432">
        <f>'01 Income Statement'!D16</f>
        <v>19697</v>
      </c>
      <c r="J32" s="432">
        <f>'01 Income Statement'!E16</f>
        <v>26656</v>
      </c>
      <c r="K32" s="432">
        <f>'01 Income Statement'!G16</f>
        <v>55064</v>
      </c>
      <c r="L32" s="527">
        <f>L44*'15 Assumptions'!$C$10+L28*'15 Assumptions'!$C$85</f>
        <v>54955.133752736219</v>
      </c>
      <c r="M32" s="527">
        <f>M44*'15 Assumptions'!$C$10+M28*'15 Assumptions'!$C$85</f>
        <v>26920.173828534724</v>
      </c>
      <c r="N32" s="527">
        <f>N44*'15 Assumptions'!$C$10+N28*'15 Assumptions'!$C$85</f>
        <v>25633.258837408895</v>
      </c>
      <c r="O32" s="527">
        <f>O44*'15 Assumptions'!$C$10+O28*'15 Assumptions'!$C$85</f>
        <v>23631.932954100299</v>
      </c>
      <c r="P32" s="527">
        <f>P44*'15 Assumptions'!$C$10+P28*'15 Assumptions'!$C$85</f>
        <v>21586.131240456245</v>
      </c>
    </row>
    <row r="33" spans="2:16" x14ac:dyDescent="0.3">
      <c r="C33" s="5" t="s">
        <v>1023</v>
      </c>
      <c r="D33" s="2"/>
      <c r="E33" s="2"/>
      <c r="F33" s="2"/>
      <c r="G33" s="2"/>
      <c r="H33" s="442">
        <f t="shared" ref="H33:P33" si="4">H31-H32</f>
        <v>73795</v>
      </c>
      <c r="I33" s="442">
        <f t="shared" si="4"/>
        <v>100118</v>
      </c>
      <c r="J33" s="442">
        <f t="shared" si="4"/>
        <v>132170</v>
      </c>
      <c r="K33" s="442">
        <f t="shared" si="4"/>
        <v>244205</v>
      </c>
      <c r="L33" s="443">
        <f t="shared" si="4"/>
        <v>244883.97218524577</v>
      </c>
      <c r="M33" s="443">
        <f t="shared" si="4"/>
        <v>140161.2374368282</v>
      </c>
      <c r="N33" s="443">
        <f t="shared" si="4"/>
        <v>133460.84988431516</v>
      </c>
      <c r="O33" s="443">
        <f t="shared" si="4"/>
        <v>123040.84613153279</v>
      </c>
      <c r="P33" s="443">
        <f t="shared" si="4"/>
        <v>112389.27673376037</v>
      </c>
    </row>
    <row r="34" spans="2:16" x14ac:dyDescent="0.3">
      <c r="C34" s="18"/>
      <c r="L34" s="69"/>
      <c r="M34" s="69"/>
      <c r="N34" s="69"/>
      <c r="O34" s="69"/>
      <c r="P34" s="69"/>
    </row>
    <row r="35" spans="2:16" x14ac:dyDescent="0.3">
      <c r="C35" s="18" t="s">
        <v>1024</v>
      </c>
      <c r="H35" s="38"/>
      <c r="I35" s="38"/>
      <c r="J35" s="38"/>
      <c r="K35" s="38"/>
      <c r="L35" s="429">
        <f>'15 Assumptions'!$C$9</f>
        <v>1187.5</v>
      </c>
      <c r="M35" s="429">
        <f>'15 Assumptions'!$C$9</f>
        <v>1187.5</v>
      </c>
      <c r="N35" s="429">
        <f>'15 Assumptions'!$C$9</f>
        <v>1187.5</v>
      </c>
      <c r="O35" s="429">
        <f>'15 Assumptions'!$C$9</f>
        <v>1187.5</v>
      </c>
      <c r="P35" s="429">
        <f>'15 Assumptions'!$C$9</f>
        <v>1187.5</v>
      </c>
    </row>
    <row r="36" spans="2:16" x14ac:dyDescent="0.3">
      <c r="B36" s="61"/>
      <c r="C36" s="62" t="s">
        <v>1025</v>
      </c>
      <c r="D36" s="61"/>
      <c r="E36" s="61"/>
      <c r="F36" s="61"/>
      <c r="G36" s="61"/>
      <c r="H36" s="444">
        <f>H33</f>
        <v>73795</v>
      </c>
      <c r="I36" s="444">
        <f>I33</f>
        <v>100118</v>
      </c>
      <c r="J36" s="444">
        <f>J33</f>
        <v>132170</v>
      </c>
      <c r="K36" s="444">
        <f>K33</f>
        <v>244205</v>
      </c>
      <c r="L36" s="445">
        <f>L33-L35</f>
        <v>243696.47218524577</v>
      </c>
      <c r="M36" s="445">
        <f>M33-M35</f>
        <v>138973.7374368282</v>
      </c>
      <c r="N36" s="445">
        <f>N33-N35</f>
        <v>132273.34988431516</v>
      </c>
      <c r="O36" s="445">
        <f>O33-O35</f>
        <v>121853.34613153279</v>
      </c>
      <c r="P36" s="445">
        <f>P33-P35</f>
        <v>111201.77673376037</v>
      </c>
    </row>
    <row r="37" spans="2:16" x14ac:dyDescent="0.3">
      <c r="B37" s="58"/>
      <c r="C37" s="59" t="s">
        <v>44</v>
      </c>
      <c r="D37" s="58"/>
      <c r="E37" s="58"/>
      <c r="F37" s="58"/>
      <c r="G37" s="58"/>
      <c r="H37" s="432">
        <f>'01 Income Statement'!C20</f>
        <v>12722</v>
      </c>
      <c r="I37" s="432">
        <f>'01 Income Statement'!D20</f>
        <v>12447</v>
      </c>
      <c r="J37" s="432">
        <f>'01 Income Statement'!E20</f>
        <v>12230</v>
      </c>
      <c r="K37" s="432">
        <f>'01 Income Statement'!G20</f>
        <v>12259</v>
      </c>
      <c r="L37" s="433">
        <f>'15 Assumptions'!$C$8+0.25*L71/'15 Assumptions'!$C$7</f>
        <v>12294.868028935083</v>
      </c>
      <c r="M37" s="433">
        <f>L37+M71/'15 Assumptions'!$C$7</f>
        <v>12387.002701645666</v>
      </c>
      <c r="N37" s="433">
        <f>M37+N71/'15 Assumptions'!$C$7</f>
        <v>12487.270792697833</v>
      </c>
      <c r="O37" s="433">
        <f>N37+O71/'15 Assumptions'!$C$7</f>
        <v>12594.440505129247</v>
      </c>
      <c r="P37" s="433">
        <f>O37+P71/'15 Assumptions'!$C$7</f>
        <v>12707.095040802691</v>
      </c>
    </row>
    <row r="38" spans="2:16" ht="15" thickBot="1" x14ac:dyDescent="0.35">
      <c r="C38" s="65" t="s">
        <v>1026</v>
      </c>
      <c r="D38" s="66"/>
      <c r="E38" s="66"/>
      <c r="F38" s="66"/>
      <c r="G38" s="66"/>
      <c r="H38" s="446">
        <f t="shared" ref="H38:P38" si="5">H36/H37</f>
        <v>5.800581669548813</v>
      </c>
      <c r="I38" s="446">
        <f t="shared" si="5"/>
        <v>8.0435446292279256</v>
      </c>
      <c r="J38" s="446">
        <f t="shared" si="5"/>
        <v>10.807031888798038</v>
      </c>
      <c r="K38" s="446">
        <f t="shared" si="5"/>
        <v>19.920466595970307</v>
      </c>
      <c r="L38" s="447">
        <f t="shared" si="5"/>
        <v>19.820991295858057</v>
      </c>
      <c r="M38" s="447">
        <f t="shared" si="5"/>
        <v>11.219319215807142</v>
      </c>
      <c r="N38" s="447">
        <f t="shared" si="5"/>
        <v>10.592654878731748</v>
      </c>
      <c r="O38" s="447">
        <f t="shared" si="5"/>
        <v>9.6751694592472326</v>
      </c>
      <c r="P38" s="447">
        <f t="shared" si="5"/>
        <v>8.7511564505254462</v>
      </c>
    </row>
    <row r="39" spans="2:16" ht="15" thickTop="1" x14ac:dyDescent="0.3"/>
    <row r="41" spans="2:16" ht="18" customHeight="1" x14ac:dyDescent="0.3">
      <c r="B41" s="16" t="s">
        <v>1027</v>
      </c>
      <c r="C41" s="16"/>
      <c r="D41" s="16"/>
      <c r="E41" s="16"/>
      <c r="F41" s="16"/>
      <c r="G41" s="16"/>
      <c r="H41" s="16"/>
      <c r="I41" s="16"/>
      <c r="J41" s="16"/>
      <c r="K41" s="16"/>
      <c r="L41" s="16"/>
      <c r="M41" s="16"/>
      <c r="N41" s="16"/>
      <c r="O41" s="16"/>
      <c r="P41" s="16"/>
    </row>
    <row r="42" spans="2:16" x14ac:dyDescent="0.3">
      <c r="C42" s="18" t="s">
        <v>1022</v>
      </c>
      <c r="H42" s="274">
        <f t="shared" ref="H42:P42" si="6">H31</f>
        <v>85717</v>
      </c>
      <c r="I42" s="274">
        <f t="shared" si="6"/>
        <v>119815</v>
      </c>
      <c r="J42" s="274">
        <f t="shared" si="6"/>
        <v>158826</v>
      </c>
      <c r="K42" s="274">
        <f t="shared" si="6"/>
        <v>299269</v>
      </c>
      <c r="L42" s="436">
        <f t="shared" si="6"/>
        <v>299839.10593798198</v>
      </c>
      <c r="M42" s="436">
        <f t="shared" si="6"/>
        <v>167081.41126536293</v>
      </c>
      <c r="N42" s="436">
        <f t="shared" si="6"/>
        <v>159094.10872172407</v>
      </c>
      <c r="O42" s="436">
        <f t="shared" si="6"/>
        <v>146672.77908563308</v>
      </c>
      <c r="P42" s="436">
        <f t="shared" si="6"/>
        <v>133975.40797421662</v>
      </c>
    </row>
    <row r="43" spans="2:16" x14ac:dyDescent="0.3">
      <c r="B43" s="61"/>
      <c r="C43" s="62" t="s">
        <v>1028</v>
      </c>
      <c r="D43" s="61"/>
      <c r="E43" s="61"/>
      <c r="F43" s="61"/>
      <c r="G43" s="61"/>
      <c r="H43" s="444">
        <f>-H28</f>
        <v>-392</v>
      </c>
      <c r="I43" s="444">
        <f>-I28</f>
        <v>-3714</v>
      </c>
      <c r="J43" s="444">
        <f>-J28</f>
        <v>-24080</v>
      </c>
      <c r="K43" s="430">
        <f>-('06 Core EPS Bridge'!E7+'06 Core EPS Bridge'!G7+'06 Core EPS Bridge'!I7-'06 Core EPS Bridge'!F7-'06 Core EPS Bridge'!H7)</f>
        <v>-148982</v>
      </c>
      <c r="L43" s="445">
        <f>-L28</f>
        <v>-135946</v>
      </c>
      <c r="M43" s="445">
        <f>-M28</f>
        <v>0</v>
      </c>
      <c r="N43" s="445">
        <f>-N28</f>
        <v>0</v>
      </c>
      <c r="O43" s="445">
        <f>-O28</f>
        <v>0</v>
      </c>
      <c r="P43" s="445">
        <f>-P28</f>
        <v>0</v>
      </c>
    </row>
    <row r="44" spans="2:16" x14ac:dyDescent="0.3">
      <c r="B44" s="61"/>
      <c r="C44" s="62" t="s">
        <v>1029</v>
      </c>
      <c r="D44" s="61"/>
      <c r="E44" s="61"/>
      <c r="F44" s="61"/>
      <c r="G44" s="61"/>
      <c r="H44" s="444">
        <f t="shared" ref="H44:P44" si="7">H42+H43</f>
        <v>85325</v>
      </c>
      <c r="I44" s="444">
        <f t="shared" si="7"/>
        <v>116101</v>
      </c>
      <c r="J44" s="444">
        <f t="shared" si="7"/>
        <v>134746</v>
      </c>
      <c r="K44" s="444">
        <f t="shared" si="7"/>
        <v>150287</v>
      </c>
      <c r="L44" s="445">
        <f t="shared" si="7"/>
        <v>163893.10593798198</v>
      </c>
      <c r="M44" s="445">
        <f t="shared" si="7"/>
        <v>167081.41126536293</v>
      </c>
      <c r="N44" s="445">
        <f t="shared" si="7"/>
        <v>159094.10872172407</v>
      </c>
      <c r="O44" s="445">
        <f t="shared" si="7"/>
        <v>146672.77908563308</v>
      </c>
      <c r="P44" s="445">
        <f t="shared" si="7"/>
        <v>133975.40797421662</v>
      </c>
    </row>
    <row r="45" spans="2:16" x14ac:dyDescent="0.3">
      <c r="B45" s="58" t="s">
        <v>2086</v>
      </c>
      <c r="C45" s="59" t="s">
        <v>1030</v>
      </c>
      <c r="D45" s="58"/>
      <c r="E45" s="58"/>
      <c r="F45" s="58"/>
      <c r="G45" s="58"/>
      <c r="H45" s="526">
        <f>H32-H28*'15 Assumptions'!$C$85</f>
        <v>11839.68</v>
      </c>
      <c r="I45" s="526">
        <f>I32-I28*'15 Assumptions'!$C$85</f>
        <v>18917.060000000001</v>
      </c>
      <c r="J45" s="526">
        <f>J32-J28*'15 Assumptions'!$C$85</f>
        <v>21599.200000000001</v>
      </c>
      <c r="K45" s="526">
        <f>K32-K28*'15 Assumptions'!$C$85</f>
        <v>23777.780000000002</v>
      </c>
      <c r="L45" s="433">
        <f>L44*'15 Assumptions'!$C$10</f>
        <v>26406.473752736219</v>
      </c>
      <c r="M45" s="433">
        <f>M44*'15 Assumptions'!$C$10</f>
        <v>26920.173828534724</v>
      </c>
      <c r="N45" s="433">
        <f>N44*'15 Assumptions'!$C$10</f>
        <v>25633.258837408895</v>
      </c>
      <c r="O45" s="433">
        <f>O44*'15 Assumptions'!$C$10</f>
        <v>23631.932954100299</v>
      </c>
      <c r="P45" s="433">
        <f>P44*'15 Assumptions'!$C$10</f>
        <v>21586.131240456245</v>
      </c>
    </row>
    <row r="46" spans="2:16" x14ac:dyDescent="0.3">
      <c r="C46" s="5" t="s">
        <v>1031</v>
      </c>
      <c r="D46" s="2"/>
      <c r="E46" s="2"/>
      <c r="F46" s="2"/>
      <c r="G46" s="2"/>
      <c r="H46" s="442">
        <f t="shared" ref="H46:P46" si="8">H44-H45</f>
        <v>73485.320000000007</v>
      </c>
      <c r="I46" s="442">
        <f t="shared" si="8"/>
        <v>97183.94</v>
      </c>
      <c r="J46" s="442">
        <f t="shared" si="8"/>
        <v>113146.8</v>
      </c>
      <c r="K46" s="442">
        <f t="shared" si="8"/>
        <v>126509.22</v>
      </c>
      <c r="L46" s="443">
        <f t="shared" si="8"/>
        <v>137486.63218524575</v>
      </c>
      <c r="M46" s="443">
        <f t="shared" si="8"/>
        <v>140161.2374368282</v>
      </c>
      <c r="N46" s="443">
        <f t="shared" si="8"/>
        <v>133460.84988431516</v>
      </c>
      <c r="O46" s="443">
        <f t="shared" si="8"/>
        <v>123040.84613153279</v>
      </c>
      <c r="P46" s="443">
        <f t="shared" si="8"/>
        <v>112389.27673376037</v>
      </c>
    </row>
    <row r="47" spans="2:16" x14ac:dyDescent="0.3">
      <c r="B47" s="56"/>
      <c r="C47" s="57" t="s">
        <v>1032</v>
      </c>
      <c r="D47" s="56"/>
      <c r="E47" s="56"/>
      <c r="F47" s="56"/>
      <c r="G47" s="56"/>
      <c r="H47" s="448">
        <f>H46</f>
        <v>73485.320000000007</v>
      </c>
      <c r="I47" s="448">
        <f>I46</f>
        <v>97183.94</v>
      </c>
      <c r="J47" s="448">
        <f>J46</f>
        <v>113146.8</v>
      </c>
      <c r="K47" s="448">
        <f>K46</f>
        <v>126509.22</v>
      </c>
      <c r="L47" s="449">
        <f>L46-L35</f>
        <v>136299.13218524575</v>
      </c>
      <c r="M47" s="449">
        <f>M46-M35</f>
        <v>138973.7374368282</v>
      </c>
      <c r="N47" s="449">
        <f>N46-N35</f>
        <v>132273.34988431516</v>
      </c>
      <c r="O47" s="449">
        <f>O46-O35</f>
        <v>121853.34613153279</v>
      </c>
      <c r="P47" s="449">
        <f>P46-P35</f>
        <v>111201.77673376037</v>
      </c>
    </row>
    <row r="48" spans="2:16" ht="15" thickBot="1" x14ac:dyDescent="0.35">
      <c r="C48" s="65" t="s">
        <v>1033</v>
      </c>
      <c r="D48" s="66"/>
      <c r="E48" s="66"/>
      <c r="F48" s="66"/>
      <c r="G48" s="66"/>
      <c r="H48" s="446">
        <f t="shared" ref="H48:P48" si="9">H47/H37</f>
        <v>5.7762395849709174</v>
      </c>
      <c r="I48" s="446">
        <f t="shared" si="9"/>
        <v>7.8078203583192742</v>
      </c>
      <c r="J48" s="446">
        <f t="shared" si="9"/>
        <v>9.2515780866721187</v>
      </c>
      <c r="K48" s="446">
        <f t="shared" si="9"/>
        <v>10.319701443837181</v>
      </c>
      <c r="L48" s="447">
        <f t="shared" si="9"/>
        <v>11.085855648427913</v>
      </c>
      <c r="M48" s="447">
        <f t="shared" si="9"/>
        <v>11.219319215807142</v>
      </c>
      <c r="N48" s="447">
        <f t="shared" si="9"/>
        <v>10.592654878731748</v>
      </c>
      <c r="O48" s="447">
        <f t="shared" si="9"/>
        <v>9.6751694592472326</v>
      </c>
      <c r="P48" s="447">
        <f t="shared" si="9"/>
        <v>8.7511564505254462</v>
      </c>
    </row>
    <row r="49" spans="2:16" ht="15" thickTop="1" x14ac:dyDescent="0.3"/>
    <row r="51" spans="2:16" ht="18" customHeight="1" x14ac:dyDescent="0.3">
      <c r="B51" s="16" t="s">
        <v>1034</v>
      </c>
      <c r="C51" s="16"/>
      <c r="D51" s="16"/>
      <c r="E51" s="16"/>
      <c r="F51" s="16"/>
      <c r="G51" s="16"/>
      <c r="H51" s="16"/>
      <c r="I51" s="16"/>
      <c r="J51" s="16"/>
      <c r="K51" s="16"/>
      <c r="L51" s="16"/>
      <c r="M51" s="16"/>
      <c r="N51" s="16"/>
      <c r="O51" s="16"/>
      <c r="P51" s="16"/>
    </row>
    <row r="52" spans="2:16" x14ac:dyDescent="0.3">
      <c r="C52" s="18" t="s">
        <v>2043</v>
      </c>
      <c r="L52" s="450">
        <f>'DCF Worst Drivers'!$C$29</f>
        <v>6.9767441860465116</v>
      </c>
      <c r="M52" s="69"/>
      <c r="N52" s="69"/>
      <c r="O52" s="69"/>
      <c r="P52" s="69"/>
    </row>
    <row r="53" spans="2:16" x14ac:dyDescent="0.3">
      <c r="B53" s="61"/>
      <c r="C53" s="62" t="s">
        <v>1035</v>
      </c>
      <c r="D53" s="61"/>
      <c r="E53" s="61"/>
      <c r="F53" s="61"/>
      <c r="G53" s="61"/>
      <c r="H53" s="61"/>
      <c r="I53" s="61"/>
      <c r="J53" s="61"/>
      <c r="K53" s="61"/>
      <c r="L53" s="451">
        <f>'DCF Worst Drivers'!$C$28</f>
        <v>0.8</v>
      </c>
      <c r="M53" s="70"/>
      <c r="N53" s="70"/>
      <c r="O53" s="70"/>
      <c r="P53" s="70"/>
    </row>
    <row r="54" spans="2:16" x14ac:dyDescent="0.3">
      <c r="B54" s="61"/>
      <c r="C54" s="62"/>
      <c r="D54" s="61"/>
      <c r="E54" s="61"/>
      <c r="F54" s="61"/>
      <c r="G54" s="61"/>
      <c r="H54" s="61"/>
      <c r="I54" s="61"/>
      <c r="J54" s="61"/>
      <c r="K54" s="61"/>
      <c r="L54" s="70"/>
      <c r="M54" s="70"/>
      <c r="N54" s="70"/>
      <c r="O54" s="70"/>
      <c r="P54" s="70"/>
    </row>
    <row r="55" spans="2:16" x14ac:dyDescent="0.3">
      <c r="B55" s="61"/>
      <c r="C55" s="62" t="s">
        <v>1036</v>
      </c>
      <c r="D55" s="61"/>
      <c r="E55" s="61"/>
      <c r="F55" s="61"/>
      <c r="G55" s="61"/>
      <c r="H55" s="63"/>
      <c r="I55" s="63"/>
      <c r="J55" s="63"/>
      <c r="K55" s="63"/>
      <c r="L55" s="431">
        <f>'15 Assumptions'!$C$48</f>
        <v>27172</v>
      </c>
      <c r="M55" s="431">
        <f>'15 Assumptions'!$C$48</f>
        <v>27172</v>
      </c>
      <c r="N55" s="431">
        <f>'15 Assumptions'!$C$48</f>
        <v>27172</v>
      </c>
      <c r="O55" s="431">
        <f>'15 Assumptions'!$C$48</f>
        <v>27172</v>
      </c>
      <c r="P55" s="431">
        <f>'15 Assumptions'!$C$48</f>
        <v>27172</v>
      </c>
    </row>
    <row r="56" spans="2:16" x14ac:dyDescent="0.3">
      <c r="B56" s="61"/>
      <c r="C56" s="62" t="s">
        <v>2044</v>
      </c>
      <c r="D56" s="61"/>
      <c r="E56" s="61"/>
      <c r="F56" s="61"/>
      <c r="G56" s="61"/>
      <c r="H56" s="63"/>
      <c r="I56" s="63"/>
      <c r="J56" s="63"/>
      <c r="K56" s="63"/>
      <c r="L56" s="431">
        <f>'15 Assumptions'!$C$42*-L75</f>
        <v>179107.53776999997</v>
      </c>
      <c r="M56" s="431">
        <f>'15 Assumptions'!$C$42*-M75</f>
        <v>223989.33354996421</v>
      </c>
      <c r="N56" s="431">
        <f>'15 Assumptions'!$C$42*-N75</f>
        <v>219537.70155937035</v>
      </c>
      <c r="O56" s="431">
        <f>'15 Assumptions'!$C$42*-O75</f>
        <v>200755.12796358499</v>
      </c>
      <c r="P56" s="431">
        <f>'15 Assumptions'!$C$42*-P75</f>
        <v>179301.32727152848</v>
      </c>
    </row>
    <row r="57" spans="2:16" x14ac:dyDescent="0.3">
      <c r="B57" s="61"/>
      <c r="C57" s="62" t="s">
        <v>2045</v>
      </c>
      <c r="D57" s="61"/>
      <c r="E57" s="61"/>
      <c r="F57" s="61"/>
      <c r="G57" s="61"/>
      <c r="H57" s="63"/>
      <c r="I57" s="63"/>
      <c r="J57" s="63"/>
      <c r="K57" s="63"/>
      <c r="L57" s="431">
        <f>L56-'15 Assumptions'!$C$36</f>
        <v>56293.537769999966</v>
      </c>
      <c r="M57" s="445">
        <f>M56-L56</f>
        <v>44881.795779964246</v>
      </c>
      <c r="N57" s="445">
        <f>N56-M56</f>
        <v>-4451.6319905938581</v>
      </c>
      <c r="O57" s="445">
        <f>O56-N56</f>
        <v>-18782.573595785361</v>
      </c>
      <c r="P57" s="445">
        <f>P56-O56</f>
        <v>-21453.800692056509</v>
      </c>
    </row>
    <row r="58" spans="2:16" x14ac:dyDescent="0.3">
      <c r="B58" s="61"/>
      <c r="C58" s="62" t="s">
        <v>2046</v>
      </c>
      <c r="D58" s="61"/>
      <c r="E58" s="61"/>
      <c r="F58" s="61"/>
      <c r="G58" s="61"/>
      <c r="H58" s="63"/>
      <c r="I58" s="63"/>
      <c r="J58" s="63"/>
      <c r="K58" s="63"/>
      <c r="L58" s="445">
        <v>0</v>
      </c>
      <c r="M58" s="445">
        <v>0</v>
      </c>
      <c r="N58" s="445">
        <v>0</v>
      </c>
      <c r="O58" s="445">
        <v>0</v>
      </c>
      <c r="P58" s="445">
        <v>0</v>
      </c>
    </row>
    <row r="59" spans="2:16" x14ac:dyDescent="0.3">
      <c r="B59" s="61"/>
      <c r="C59" s="62"/>
      <c r="D59" s="61"/>
      <c r="E59" s="61"/>
      <c r="F59" s="61"/>
      <c r="G59" s="61"/>
      <c r="H59" s="63"/>
      <c r="I59" s="63"/>
      <c r="J59" s="63"/>
      <c r="K59" s="63"/>
      <c r="L59" s="68"/>
      <c r="M59" s="68"/>
      <c r="N59" s="68"/>
      <c r="O59" s="68"/>
      <c r="P59" s="68"/>
    </row>
    <row r="60" spans="2:16" x14ac:dyDescent="0.3">
      <c r="B60" s="61"/>
      <c r="C60" s="62" t="s">
        <v>2047</v>
      </c>
      <c r="D60" s="61"/>
      <c r="E60" s="61"/>
      <c r="F60" s="61"/>
      <c r="G60" s="61"/>
      <c r="H60" s="63"/>
      <c r="I60" s="63"/>
      <c r="J60" s="63"/>
      <c r="K60" s="63"/>
      <c r="L60" s="445">
        <f>-L75-'15 Assumptions'!$C$56-L57</f>
        <v>62116.83752999999</v>
      </c>
      <c r="M60" s="445">
        <f>-M75-M57</f>
        <v>203995.24149777376</v>
      </c>
      <c r="N60" s="445">
        <f>-N75-N57</f>
        <v>248382.41150100535</v>
      </c>
      <c r="O60" s="445">
        <f>-O75-O57</f>
        <v>241843.82688865758</v>
      </c>
      <c r="P60" s="445">
        <f>-P75-P57</f>
        <v>220677.49766042148</v>
      </c>
    </row>
    <row r="61" spans="2:16" x14ac:dyDescent="0.3">
      <c r="B61" s="61"/>
      <c r="C61" s="62" t="s">
        <v>2048</v>
      </c>
      <c r="D61" s="61"/>
      <c r="E61" s="61"/>
      <c r="F61" s="61"/>
      <c r="G61" s="61"/>
      <c r="H61" s="63"/>
      <c r="I61" s="63"/>
      <c r="J61" s="63"/>
      <c r="K61" s="63"/>
      <c r="L61" s="445">
        <f>L60</f>
        <v>62116.83752999999</v>
      </c>
      <c r="M61" s="445">
        <f>L61+M60</f>
        <v>266112.07902777375</v>
      </c>
      <c r="N61" s="445">
        <f>M61+N60</f>
        <v>514494.4905287791</v>
      </c>
      <c r="O61" s="445">
        <f>N61+O60</f>
        <v>756338.31741743675</v>
      </c>
      <c r="P61" s="445">
        <f>O61+P60</f>
        <v>977015.81507785828</v>
      </c>
    </row>
    <row r="62" spans="2:16" x14ac:dyDescent="0.3">
      <c r="B62" s="58"/>
      <c r="C62" s="59" t="s">
        <v>2049</v>
      </c>
      <c r="D62" s="58"/>
      <c r="E62" s="58"/>
      <c r="F62" s="58"/>
      <c r="G62" s="58"/>
      <c r="H62" s="60"/>
      <c r="I62" s="60"/>
      <c r="J62" s="60"/>
      <c r="K62" s="60"/>
      <c r="L62" s="433">
        <f>L60*'15 Assumptions'!$C$58/'DCF Worst Drivers'!$C$29</f>
        <v>2225.8533448249996</v>
      </c>
      <c r="M62" s="433">
        <f>(L61+M60/2)/'DCF Worst Drivers'!$C$29</f>
        <v>23523.072353307118</v>
      </c>
      <c r="N62" s="433">
        <f>(M61+N60/2)/'DCF Worst Drivers'!$C$29</f>
        <v>55943.470818219626</v>
      </c>
      <c r="O62" s="433">
        <f>(N61+O60/2)/'DCF Worst Drivers'!$C$29</f>
        <v>91076.351236145463</v>
      </c>
      <c r="P62" s="433">
        <f>(O61+P60/2)/'DCF Worst Drivers'!$C$29</f>
        <v>124223.71282882948</v>
      </c>
    </row>
    <row r="63" spans="2:16" x14ac:dyDescent="0.3">
      <c r="C63" s="18"/>
      <c r="H63" s="38"/>
      <c r="I63" s="38"/>
      <c r="J63" s="38"/>
      <c r="K63" s="38"/>
      <c r="L63" s="67"/>
      <c r="M63" s="67"/>
      <c r="N63" s="67"/>
      <c r="O63" s="67"/>
      <c r="P63" s="67"/>
    </row>
    <row r="64" spans="2:16" x14ac:dyDescent="0.3">
      <c r="C64" s="54" t="s">
        <v>1037</v>
      </c>
      <c r="D64" s="55"/>
      <c r="E64" s="55"/>
      <c r="F64" s="55"/>
      <c r="G64" s="55"/>
      <c r="H64" s="437">
        <f>'09 Cash Flow'!C7</f>
        <v>11946</v>
      </c>
      <c r="I64" s="437">
        <f>'09 Cash Flow'!D7</f>
        <v>15311</v>
      </c>
      <c r="J64" s="437">
        <f>'09 Cash Flow'!E7</f>
        <v>21136</v>
      </c>
      <c r="K64" s="437">
        <f>'09 Cash Flow'!G7</f>
        <v>25237</v>
      </c>
      <c r="L64" s="273">
        <f>L55+L58+L62</f>
        <v>29397.853344824998</v>
      </c>
      <c r="M64" s="273">
        <f>M55+M58+M62</f>
        <v>50695.072353307114</v>
      </c>
      <c r="N64" s="273">
        <f>N55+N58+N62</f>
        <v>83115.470818219619</v>
      </c>
      <c r="O64" s="273">
        <f>O55+O58+O62</f>
        <v>118248.35123614546</v>
      </c>
      <c r="P64" s="273">
        <f>P55+P58+P62</f>
        <v>151395.71282882948</v>
      </c>
    </row>
    <row r="65" spans="2:16" x14ac:dyDescent="0.3">
      <c r="B65" s="56"/>
      <c r="C65" s="57" t="s">
        <v>1038</v>
      </c>
      <c r="D65" s="56"/>
      <c r="E65" s="56"/>
      <c r="F65" s="56"/>
      <c r="G65" s="56"/>
      <c r="H65" s="64"/>
      <c r="I65" s="64"/>
      <c r="J65" s="64"/>
      <c r="K65" s="64"/>
      <c r="L65" s="452">
        <f>L64/'15 Assumptions'!$C$48-1</f>
        <v>8.1917170058332101E-2</v>
      </c>
      <c r="M65" s="452">
        <f>M64/'15 Assumptions'!$C$48-1</f>
        <v>0.86571000858630631</v>
      </c>
      <c r="N65" s="452">
        <f>N64/'15 Assumptions'!$C$48-1</f>
        <v>2.0588646701832629</v>
      </c>
      <c r="O65" s="452">
        <f>O64/'15 Assumptions'!$C$48-1</f>
        <v>3.3518456954271114</v>
      </c>
      <c r="P65" s="452">
        <f>P64/'15 Assumptions'!$C$48-1</f>
        <v>4.5717544836165711</v>
      </c>
    </row>
    <row r="68" spans="2:16" ht="18" customHeight="1" x14ac:dyDescent="0.3">
      <c r="B68" s="16" t="s">
        <v>114</v>
      </c>
      <c r="C68" s="16"/>
      <c r="D68" s="16"/>
      <c r="E68" s="16"/>
      <c r="F68" s="16"/>
      <c r="G68" s="16"/>
      <c r="H68" s="16"/>
      <c r="I68" s="16"/>
      <c r="J68" s="16"/>
      <c r="K68" s="16"/>
      <c r="L68" s="16"/>
      <c r="M68" s="16"/>
      <c r="N68" s="16"/>
      <c r="O68" s="16"/>
      <c r="P68" s="16"/>
    </row>
    <row r="69" spans="2:16" x14ac:dyDescent="0.3">
      <c r="C69" s="18" t="s">
        <v>1039</v>
      </c>
      <c r="H69" s="274">
        <f t="shared" ref="H69:P69" si="10">H33</f>
        <v>73795</v>
      </c>
      <c r="I69" s="274">
        <f t="shared" si="10"/>
        <v>100118</v>
      </c>
      <c r="J69" s="274">
        <f t="shared" si="10"/>
        <v>132170</v>
      </c>
      <c r="K69" s="274">
        <f t="shared" si="10"/>
        <v>244205</v>
      </c>
      <c r="L69" s="436">
        <f t="shared" si="10"/>
        <v>244883.97218524577</v>
      </c>
      <c r="M69" s="436">
        <f t="shared" si="10"/>
        <v>140161.2374368282</v>
      </c>
      <c r="N69" s="436">
        <f t="shared" si="10"/>
        <v>133460.84988431516</v>
      </c>
      <c r="O69" s="436">
        <f t="shared" si="10"/>
        <v>123040.84613153279</v>
      </c>
      <c r="P69" s="436">
        <f t="shared" si="10"/>
        <v>112389.27673376037</v>
      </c>
    </row>
    <row r="70" spans="2:16" x14ac:dyDescent="0.3">
      <c r="B70" s="61"/>
      <c r="C70" s="62" t="s">
        <v>1040</v>
      </c>
      <c r="D70" s="61"/>
      <c r="E70" s="61"/>
      <c r="F70" s="61"/>
      <c r="G70" s="61"/>
      <c r="H70" s="444">
        <f t="shared" ref="H70:P70" si="11">H64</f>
        <v>11946</v>
      </c>
      <c r="I70" s="444">
        <f t="shared" si="11"/>
        <v>15311</v>
      </c>
      <c r="J70" s="444">
        <f t="shared" si="11"/>
        <v>21136</v>
      </c>
      <c r="K70" s="444">
        <f t="shared" si="11"/>
        <v>25237</v>
      </c>
      <c r="L70" s="445">
        <f t="shared" si="11"/>
        <v>29397.853344824998</v>
      </c>
      <c r="M70" s="445">
        <f t="shared" si="11"/>
        <v>50695.072353307114</v>
      </c>
      <c r="N70" s="445">
        <f t="shared" si="11"/>
        <v>83115.470818219619</v>
      </c>
      <c r="O70" s="445">
        <f t="shared" si="11"/>
        <v>118248.35123614546</v>
      </c>
      <c r="P70" s="445">
        <f t="shared" si="11"/>
        <v>151395.71282882948</v>
      </c>
    </row>
    <row r="71" spans="2:16" x14ac:dyDescent="0.3">
      <c r="B71" s="61"/>
      <c r="C71" s="62" t="s">
        <v>1041</v>
      </c>
      <c r="D71" s="61"/>
      <c r="E71" s="61"/>
      <c r="F71" s="61"/>
      <c r="G71" s="61"/>
      <c r="H71" s="430">
        <f>'09 Cash Flow'!C8</f>
        <v>22460</v>
      </c>
      <c r="I71" s="430">
        <f>'09 Cash Flow'!D8</f>
        <v>22785</v>
      </c>
      <c r="J71" s="430">
        <f>'09 Cash Flow'!E8</f>
        <v>24953</v>
      </c>
      <c r="K71" s="430">
        <f>'09 Cash Flow'!G8</f>
        <v>28147</v>
      </c>
      <c r="L71" s="431">
        <f>L23*'15 Assumptions'!C45</f>
        <v>28429.767899999995</v>
      </c>
      <c r="M71" s="431">
        <f>M23*'15 Assumptions'!D45</f>
        <v>31380.148178497398</v>
      </c>
      <c r="N71" s="431">
        <f>N23*'15 Assumptions'!E45</f>
        <v>34150.309131457609</v>
      </c>
      <c r="O71" s="431">
        <f>O23*'15 Assumptions'!F45</f>
        <v>36500.932357015452</v>
      </c>
      <c r="P71" s="431">
        <f>P23*'15 Assumptions'!G45</f>
        <v>38369.008305018433</v>
      </c>
    </row>
    <row r="72" spans="2:16" x14ac:dyDescent="0.3">
      <c r="B72" s="58"/>
      <c r="C72" s="59" t="s">
        <v>1042</v>
      </c>
      <c r="D72" s="58"/>
      <c r="E72" s="58"/>
      <c r="F72" s="58"/>
      <c r="G72" s="58"/>
      <c r="H72" s="453">
        <f>-H28</f>
        <v>-392</v>
      </c>
      <c r="I72" s="453">
        <f>-I28</f>
        <v>-3714</v>
      </c>
      <c r="J72" s="453">
        <f>-J28</f>
        <v>-24080</v>
      </c>
      <c r="K72" s="432">
        <f>-('06 Core EPS Bridge'!E7+'06 Core EPS Bridge'!G7+'06 Core EPS Bridge'!I7-'06 Core EPS Bridge'!F7-'06 Core EPS Bridge'!H7)</f>
        <v>-148982</v>
      </c>
      <c r="L72" s="441">
        <f>-L28</f>
        <v>-135946</v>
      </c>
      <c r="M72" s="441">
        <f>-M28</f>
        <v>0</v>
      </c>
      <c r="N72" s="441">
        <f>-N28</f>
        <v>0</v>
      </c>
      <c r="O72" s="441">
        <f>-O28</f>
        <v>0</v>
      </c>
      <c r="P72" s="441">
        <f>-P28</f>
        <v>0</v>
      </c>
    </row>
    <row r="73" spans="2:16" x14ac:dyDescent="0.3">
      <c r="C73" s="18" t="s">
        <v>1407</v>
      </c>
      <c r="H73" s="274">
        <f>H74-H69-H70-H71-H72</f>
        <v>-6063</v>
      </c>
      <c r="I73" s="274">
        <f>I74-I69-I70-I71-I72</f>
        <v>-9201</v>
      </c>
      <c r="J73" s="274">
        <f>J74-J69-J70-J71-J72</f>
        <v>10534</v>
      </c>
      <c r="K73" s="274">
        <f>K74-K69-K70-K71-K72</f>
        <v>37068</v>
      </c>
      <c r="L73" s="497">
        <f>L23*'15 Assumptions'!$C$57+L28*'15 Assumptions'!$C$85+'15 Assumptions'!$C$59</f>
        <v>23348.66</v>
      </c>
      <c r="M73" s="497">
        <f>M23*'15 Assumptions'!$C$57+M28*'15 Assumptions'!$C$85</f>
        <v>0</v>
      </c>
      <c r="N73" s="497">
        <f>N23*'15 Assumptions'!$C$57+N28*'15 Assumptions'!$C$85</f>
        <v>0</v>
      </c>
      <c r="O73" s="497">
        <f>O23*'15 Assumptions'!$C$57+O28*'15 Assumptions'!$C$85</f>
        <v>0</v>
      </c>
      <c r="P73" s="497">
        <f>P23*'15 Assumptions'!$C$57+P28*'15 Assumptions'!$C$85</f>
        <v>0</v>
      </c>
    </row>
    <row r="74" spans="2:16" x14ac:dyDescent="0.3">
      <c r="C74" s="5" t="s">
        <v>1043</v>
      </c>
      <c r="D74" s="2"/>
      <c r="E74" s="2"/>
      <c r="F74" s="2"/>
      <c r="G74" s="2"/>
      <c r="H74" s="48">
        <f>'09 Cash Flow'!C9</f>
        <v>101746</v>
      </c>
      <c r="I74" s="48">
        <f>'09 Cash Flow'!D9</f>
        <v>125299</v>
      </c>
      <c r="J74" s="48">
        <f>'09 Cash Flow'!E9</f>
        <v>164713</v>
      </c>
      <c r="K74" s="48">
        <f>'09 Cash Flow'!G9</f>
        <v>185675</v>
      </c>
      <c r="L74" s="443">
        <f>SUM(L69:L73)</f>
        <v>190114.25343007073</v>
      </c>
      <c r="M74" s="443">
        <f>SUM(M69:M73)</f>
        <v>222236.45796863269</v>
      </c>
      <c r="N74" s="443">
        <f>SUM(N69:N73)</f>
        <v>250726.6298339924</v>
      </c>
      <c r="O74" s="443">
        <f>SUM(O69:O73)</f>
        <v>277790.12972469372</v>
      </c>
      <c r="P74" s="443">
        <f>SUM(P69:P73)</f>
        <v>302153.99786760827</v>
      </c>
    </row>
    <row r="75" spans="2:16" x14ac:dyDescent="0.3">
      <c r="B75" s="56"/>
      <c r="C75" s="57" t="s">
        <v>1903</v>
      </c>
      <c r="D75" s="56"/>
      <c r="E75" s="56"/>
      <c r="F75" s="56"/>
      <c r="G75" s="56"/>
      <c r="H75" s="454">
        <f>'09 Cash Flow'!C10</f>
        <v>-32251</v>
      </c>
      <c r="I75" s="454">
        <f>'09 Cash Flow'!D10</f>
        <v>-52535</v>
      </c>
      <c r="J75" s="454">
        <f>'09 Cash Flow'!E10</f>
        <v>-91447</v>
      </c>
      <c r="K75" s="454">
        <f>'09 Cash Flow'!G10</f>
        <v>-132402</v>
      </c>
      <c r="L75" s="482">
        <f>-L18*'DCF Worst Drivers'!C26</f>
        <v>-199008.37529999996</v>
      </c>
      <c r="M75" s="482">
        <f>-M18*'DCF Worst Drivers'!D26</f>
        <v>-248877.03727773801</v>
      </c>
      <c r="N75" s="482">
        <f>-N18*'DCF Worst Drivers'!E26</f>
        <v>-243930.77951041149</v>
      </c>
      <c r="O75" s="482">
        <f>-O18*'DCF Worst Drivers'!F26</f>
        <v>-223061.25329287222</v>
      </c>
      <c r="P75" s="482">
        <f>-P18*'DCF Worst Drivers'!G26</f>
        <v>-199223.69696836497</v>
      </c>
    </row>
    <row r="76" spans="2:16" x14ac:dyDescent="0.3">
      <c r="C76" s="5" t="s">
        <v>114</v>
      </c>
      <c r="D76" s="2"/>
      <c r="E76" s="2"/>
      <c r="F76" s="2"/>
      <c r="G76" s="2"/>
      <c r="H76" s="442">
        <f t="shared" ref="H76:P76" si="12">H74+H75</f>
        <v>69495</v>
      </c>
      <c r="I76" s="442">
        <f t="shared" si="12"/>
        <v>72764</v>
      </c>
      <c r="J76" s="442">
        <f t="shared" si="12"/>
        <v>73266</v>
      </c>
      <c r="K76" s="442">
        <f t="shared" si="12"/>
        <v>53273</v>
      </c>
      <c r="L76" s="443">
        <f t="shared" si="12"/>
        <v>-8894.1218699292222</v>
      </c>
      <c r="M76" s="443">
        <f t="shared" si="12"/>
        <v>-26640.57930910532</v>
      </c>
      <c r="N76" s="443">
        <f t="shared" si="12"/>
        <v>6795.8503235809039</v>
      </c>
      <c r="O76" s="443">
        <f t="shared" si="12"/>
        <v>54728.876431821496</v>
      </c>
      <c r="P76" s="443">
        <f t="shared" si="12"/>
        <v>102930.3008992433</v>
      </c>
    </row>
    <row r="77" spans="2:16" x14ac:dyDescent="0.3">
      <c r="B77" s="56"/>
      <c r="C77" s="57" t="s">
        <v>115</v>
      </c>
      <c r="D77" s="56"/>
      <c r="E77" s="56"/>
      <c r="F77" s="56"/>
      <c r="G77" s="56"/>
      <c r="H77" s="439">
        <f t="shared" ref="H77:P77" si="13">H76/H23</f>
        <v>0.22607793255561268</v>
      </c>
      <c r="I77" s="439">
        <f t="shared" si="13"/>
        <v>0.20788645155392008</v>
      </c>
      <c r="J77" s="439">
        <f t="shared" si="13"/>
        <v>0.18187550268595656</v>
      </c>
      <c r="K77" s="439">
        <f t="shared" si="13"/>
        <v>0.11948208654618203</v>
      </c>
      <c r="L77" s="440">
        <f t="shared" si="13"/>
        <v>-1.8770723492109599E-2</v>
      </c>
      <c r="M77" s="440">
        <f t="shared" si="13"/>
        <v>-4.923984396564747E-2</v>
      </c>
      <c r="N77" s="440">
        <f t="shared" si="13"/>
        <v>1.1143899654189958E-2</v>
      </c>
      <c r="O77" s="440">
        <f t="shared" si="13"/>
        <v>8.0966680478515032E-2</v>
      </c>
      <c r="P77" s="440">
        <f t="shared" si="13"/>
        <v>0.1394973673599115</v>
      </c>
    </row>
    <row r="80" spans="2:16" ht="18" customHeight="1" x14ac:dyDescent="0.3">
      <c r="B80" s="16" t="s">
        <v>1044</v>
      </c>
      <c r="C80" s="16"/>
      <c r="D80" s="16"/>
      <c r="E80" s="16"/>
      <c r="F80" s="16"/>
      <c r="G80" s="16"/>
      <c r="H80" s="16"/>
      <c r="I80" s="16"/>
      <c r="J80" s="16"/>
      <c r="K80" s="16"/>
      <c r="L80" s="16"/>
      <c r="M80" s="16"/>
      <c r="N80" s="16"/>
      <c r="O80" s="16"/>
      <c r="P80" s="16"/>
    </row>
    <row r="81" spans="2:21" x14ac:dyDescent="0.3">
      <c r="C81" s="18" t="s">
        <v>194</v>
      </c>
      <c r="H81" s="291">
        <f>'11 Valuation'!C43</f>
        <v>138.46</v>
      </c>
      <c r="I81" s="291">
        <f>'11 Valuation'!D43</f>
        <v>188.2</v>
      </c>
      <c r="J81" s="291">
        <f>'11 Valuation'!E43</f>
        <v>312.39</v>
      </c>
      <c r="K81" s="455">
        <f>'15 Assumptions'!$C$7</f>
        <v>340.59</v>
      </c>
      <c r="L81" s="456">
        <f>'15 Assumptions'!$C$7</f>
        <v>340.59</v>
      </c>
      <c r="M81" s="456">
        <f>'15 Assumptions'!$C$7</f>
        <v>340.59</v>
      </c>
      <c r="N81" s="456">
        <f>'15 Assumptions'!$C$7</f>
        <v>340.59</v>
      </c>
      <c r="O81" s="456">
        <f>'15 Assumptions'!$C$7</f>
        <v>340.59</v>
      </c>
      <c r="P81" s="456">
        <f>'15 Assumptions'!$C$7</f>
        <v>340.59</v>
      </c>
    </row>
    <row r="82" spans="2:21" x14ac:dyDescent="0.3">
      <c r="B82" s="61"/>
      <c r="C82" s="62" t="s">
        <v>1045</v>
      </c>
      <c r="D82" s="61"/>
      <c r="E82" s="61"/>
      <c r="F82" s="61"/>
      <c r="G82" s="61"/>
      <c r="H82" s="292">
        <f t="shared" ref="H82:P82" si="14">H81*H37</f>
        <v>1761488.12</v>
      </c>
      <c r="I82" s="292">
        <f t="shared" si="14"/>
        <v>2342525.4</v>
      </c>
      <c r="J82" s="292">
        <f t="shared" si="14"/>
        <v>3820529.6999999997</v>
      </c>
      <c r="K82" s="444">
        <f t="shared" si="14"/>
        <v>4175292.8099999996</v>
      </c>
      <c r="L82" s="445">
        <f t="shared" si="14"/>
        <v>4187509.1019749995</v>
      </c>
      <c r="M82" s="445">
        <f t="shared" si="14"/>
        <v>4218889.2501534969</v>
      </c>
      <c r="N82" s="445">
        <f t="shared" si="14"/>
        <v>4253039.5592849543</v>
      </c>
      <c r="O82" s="445">
        <f t="shared" si="14"/>
        <v>4289540.4916419704</v>
      </c>
      <c r="P82" s="445">
        <f t="shared" si="14"/>
        <v>4327909.4999469882</v>
      </c>
    </row>
    <row r="83" spans="2:21" x14ac:dyDescent="0.3">
      <c r="B83" s="61"/>
      <c r="C83" s="62" t="s">
        <v>1046</v>
      </c>
      <c r="D83" s="61"/>
      <c r="E83" s="61"/>
      <c r="F83" s="61"/>
      <c r="G83" s="61"/>
      <c r="H83" s="293">
        <f t="shared" ref="H83:P83" si="15">H81/H38</f>
        <v>23.870019920048787</v>
      </c>
      <c r="I83" s="293">
        <f t="shared" si="15"/>
        <v>23.39764477916059</v>
      </c>
      <c r="J83" s="293">
        <f t="shared" si="15"/>
        <v>28.906179163198907</v>
      </c>
      <c r="K83" s="457">
        <f t="shared" si="15"/>
        <v>17.097491083311152</v>
      </c>
      <c r="L83" s="458">
        <f t="shared" si="15"/>
        <v>17.183297995351637</v>
      </c>
      <c r="M83" s="458">
        <f t="shared" si="15"/>
        <v>30.357456940893112</v>
      </c>
      <c r="N83" s="458">
        <f t="shared" si="15"/>
        <v>32.153412331392659</v>
      </c>
      <c r="O83" s="458">
        <f t="shared" si="15"/>
        <v>35.202484197780578</v>
      </c>
      <c r="P83" s="458">
        <f t="shared" si="15"/>
        <v>38.919427612284309</v>
      </c>
    </row>
    <row r="84" spans="2:21" x14ac:dyDescent="0.3">
      <c r="B84" s="61"/>
      <c r="C84" s="71" t="s">
        <v>1047</v>
      </c>
      <c r="D84" s="72"/>
      <c r="E84" s="72"/>
      <c r="F84" s="72"/>
      <c r="G84" s="72"/>
      <c r="H84" s="294">
        <f t="shared" ref="H84:P84" si="16">H81/H48</f>
        <v>23.970612361761503</v>
      </c>
      <c r="I84" s="294">
        <f t="shared" si="16"/>
        <v>24.104038177501341</v>
      </c>
      <c r="J84" s="294">
        <f t="shared" si="16"/>
        <v>33.766131256031983</v>
      </c>
      <c r="K84" s="459">
        <f t="shared" si="16"/>
        <v>33.003861773869126</v>
      </c>
      <c r="L84" s="459">
        <f t="shared" si="16"/>
        <v>30.722932969842443</v>
      </c>
      <c r="M84" s="459">
        <f t="shared" si="16"/>
        <v>30.357456940893112</v>
      </c>
      <c r="N84" s="459">
        <f t="shared" si="16"/>
        <v>32.153412331392659</v>
      </c>
      <c r="O84" s="459">
        <f t="shared" si="16"/>
        <v>35.202484197780578</v>
      </c>
      <c r="P84" s="459">
        <f t="shared" si="16"/>
        <v>38.919427612284309</v>
      </c>
    </row>
    <row r="85" spans="2:21" x14ac:dyDescent="0.3">
      <c r="B85" s="58"/>
      <c r="C85" s="57" t="s">
        <v>219</v>
      </c>
      <c r="D85" s="56"/>
      <c r="E85" s="56"/>
      <c r="F85" s="56"/>
      <c r="G85" s="56"/>
      <c r="H85" s="295">
        <f>IF(H76&lt;=0,NA(),H82/H76)</f>
        <v>25.346976329232319</v>
      </c>
      <c r="I85" s="295">
        <f>IF(I76&lt;=0,NA(),I82/I76)</f>
        <v>32.193466549392554</v>
      </c>
      <c r="J85" s="295">
        <f>IF(J76&lt;=0,NA(),J82/J76)</f>
        <v>52.146011792645972</v>
      </c>
      <c r="K85" s="460">
        <f>IF(K76&lt;=0,NA(),K82/K76)</f>
        <v>78.375402361421351</v>
      </c>
      <c r="L85" s="461" t="str">
        <f>IF(L76&lt;=0,"",L82/L76)</f>
        <v/>
      </c>
      <c r="M85" s="461" t="str">
        <f>IF(M76&lt;=0,"",M82/M76)</f>
        <v/>
      </c>
      <c r="N85" s="461">
        <f>IF(N76&lt;=0,"",N82/N76)</f>
        <v>625.82890393088019</v>
      </c>
      <c r="O85" s="461">
        <f>IF(O76&lt;=0,"",O82/O76)</f>
        <v>78.378011231158126</v>
      </c>
      <c r="P85" s="461">
        <f>IF(P76&lt;=0,"",P82/P76)</f>
        <v>42.046991625755609</v>
      </c>
    </row>
    <row r="87" spans="2:21" x14ac:dyDescent="0.3">
      <c r="B87" s="16" t="s">
        <v>2129</v>
      </c>
      <c r="C87" s="16"/>
      <c r="D87" s="16"/>
      <c r="E87" s="16"/>
      <c r="F87" s="16"/>
      <c r="G87" s="16"/>
      <c r="H87" s="16"/>
      <c r="I87" s="16"/>
      <c r="J87" s="16"/>
      <c r="K87" s="16"/>
      <c r="L87" s="16"/>
      <c r="M87" s="16"/>
      <c r="N87" s="16"/>
      <c r="O87" s="16"/>
      <c r="P87" s="16"/>
      <c r="Q87" s="16"/>
      <c r="R87" s="16"/>
      <c r="S87" s="16"/>
      <c r="T87" s="16"/>
      <c r="U87" s="16"/>
    </row>
    <row r="88" spans="2:21" ht="15" thickBot="1" x14ac:dyDescent="0.35">
      <c r="L88" s="52" t="s">
        <v>1958</v>
      </c>
      <c r="M88" s="52" t="s">
        <v>1959</v>
      </c>
      <c r="N88" s="52" t="s">
        <v>1960</v>
      </c>
      <c r="O88" s="52" t="s">
        <v>1961</v>
      </c>
      <c r="P88" s="52" t="s">
        <v>1962</v>
      </c>
      <c r="Q88" s="52" t="s">
        <v>1963</v>
      </c>
      <c r="R88" s="52" t="s">
        <v>1964</v>
      </c>
      <c r="S88" s="52" t="s">
        <v>1965</v>
      </c>
      <c r="T88" s="52" t="s">
        <v>1966</v>
      </c>
      <c r="U88" s="52" t="s">
        <v>1967</v>
      </c>
    </row>
    <row r="89" spans="2:21" x14ac:dyDescent="0.3">
      <c r="C89" s="18" t="s">
        <v>1968</v>
      </c>
      <c r="L89" s="494">
        <v>1</v>
      </c>
      <c r="M89" s="494">
        <v>2</v>
      </c>
      <c r="N89" s="494">
        <v>3</v>
      </c>
      <c r="O89" s="494">
        <v>4</v>
      </c>
      <c r="P89" s="494">
        <v>5</v>
      </c>
      <c r="Q89" s="494">
        <v>6</v>
      </c>
      <c r="R89" s="494">
        <v>7</v>
      </c>
      <c r="S89" s="494">
        <v>8</v>
      </c>
      <c r="T89" s="494">
        <v>9</v>
      </c>
      <c r="U89" s="494">
        <v>10</v>
      </c>
    </row>
    <row r="90" spans="2:21" x14ac:dyDescent="0.3">
      <c r="C90" s="18" t="s">
        <v>1969</v>
      </c>
      <c r="L90" s="495">
        <f>IF(L$89&lt;='15 Assumptions'!$C$79,$P$19+('20 DCF Valuation'!$H$19-$P$19)*L$89/'15 Assumptions'!$C$79,'20 DCF Valuation'!$H$19)</f>
        <v>8.5447930468093139E-2</v>
      </c>
      <c r="M90" s="495">
        <f>IF(M$89&lt;='15 Assumptions'!$C$79,$P$19+('20 DCF Valuation'!$H$19-$P$19)*M$89/'15 Assumptions'!$C$79,'20 DCF Valuation'!$H$19)</f>
        <v>7.9287049304971671E-2</v>
      </c>
      <c r="N90" s="495">
        <f>IF(N$89&lt;='15 Assumptions'!$C$79,$P$19+('20 DCF Valuation'!$H$19-$P$19)*N$89/'15 Assumptions'!$C$79,'20 DCF Valuation'!$H$19)</f>
        <v>7.3126168141850217E-2</v>
      </c>
      <c r="O90" s="495">
        <f>IF(O$89&lt;='15 Assumptions'!$C$79,$P$19+('20 DCF Valuation'!$H$19-$P$19)*O$89/'15 Assumptions'!$C$79,'20 DCF Valuation'!$H$19)</f>
        <v>6.696528697872875E-2</v>
      </c>
      <c r="P90" s="495">
        <f>IF(P$89&lt;='15 Assumptions'!$C$79,$P$19+('20 DCF Valuation'!$H$19-$P$19)*P$89/'15 Assumptions'!$C$79,'20 DCF Valuation'!$H$19)</f>
        <v>6.0804405815607296E-2</v>
      </c>
      <c r="Q90" s="495">
        <f>IF(Q$89&lt;='15 Assumptions'!$C$79,$P$19+('20 DCF Valuation'!$H$19-$P$19)*Q$89/'15 Assumptions'!$C$79,'20 DCF Valuation'!$H$19)</f>
        <v>5.4643524652485835E-2</v>
      </c>
      <c r="R90" s="495">
        <f>IF(R$89&lt;='15 Assumptions'!$C$79,$P$19+('20 DCF Valuation'!$H$19-$P$19)*R$89/'15 Assumptions'!$C$79,'20 DCF Valuation'!$H$19)</f>
        <v>4.8482643489364374E-2</v>
      </c>
      <c r="S90" s="495">
        <f>IF(S$89&lt;='15 Assumptions'!$C$79,$P$19+('20 DCF Valuation'!$H$19-$P$19)*S$89/'15 Assumptions'!$C$79,'20 DCF Valuation'!$H$19)</f>
        <v>4.232176232624292E-2</v>
      </c>
      <c r="T90" s="495">
        <f>IF(T$89&lt;='15 Assumptions'!$C$79,$P$19+('20 DCF Valuation'!$H$19-$P$19)*T$89/'15 Assumptions'!$C$79,'20 DCF Valuation'!$H$19)</f>
        <v>3.616088116312146E-2</v>
      </c>
      <c r="U90" s="495">
        <f>IF(U$89&lt;='15 Assumptions'!$C$79,$P$19+('20 DCF Valuation'!$H$19-$P$19)*U$89/'15 Assumptions'!$C$79,'20 DCF Valuation'!$H$19)</f>
        <v>3.0000000000000006E-2</v>
      </c>
    </row>
    <row r="91" spans="2:21" x14ac:dyDescent="0.3">
      <c r="C91" s="18" t="s">
        <v>37</v>
      </c>
      <c r="L91" s="496">
        <f>P23*(1+L90)</f>
        <v>800914.62805375643</v>
      </c>
      <c r="M91" s="496">
        <f t="shared" ref="M91:U91" si="17">L91*(1+M90)</f>
        <v>864416.78565732774</v>
      </c>
      <c r="N91" s="496">
        <f t="shared" si="17"/>
        <v>927628.27286994318</v>
      </c>
      <c r="O91" s="496">
        <f t="shared" si="17"/>
        <v>989747.16637226136</v>
      </c>
      <c r="P91" s="496">
        <f t="shared" si="17"/>
        <v>1049928.1547312075</v>
      </c>
      <c r="Q91" s="496">
        <f t="shared" si="17"/>
        <v>1107299.9297376012</v>
      </c>
      <c r="R91" s="496">
        <f t="shared" si="17"/>
        <v>1160984.7574668676</v>
      </c>
      <c r="S91" s="496">
        <f t="shared" si="17"/>
        <v>1210119.678436771</v>
      </c>
      <c r="T91" s="496">
        <f t="shared" si="17"/>
        <v>1253878.6723218779</v>
      </c>
      <c r="U91" s="496">
        <f t="shared" si="17"/>
        <v>1291495.0324915342</v>
      </c>
    </row>
    <row r="92" spans="2:21" x14ac:dyDescent="0.3">
      <c r="C92" s="18" t="s">
        <v>2130</v>
      </c>
      <c r="L92" s="497">
        <f>IF('15 Assumptions'!$C$91=1,L91*($P$25+('DCF Worst Drivers'!$C$33-$P$25)*MIN(L$89,'15 Assumptions'!$C$79)/'15 Assumptions'!$C$79)*(1-'15 Assumptions'!$C$10),P24*(1-'15 Assumptions'!$C$10)*(1+L90))</f>
        <v>115696.62713678893</v>
      </c>
      <c r="M92" s="497">
        <f>IF('15 Assumptions'!$C$91=1,M91*($P$25+('DCF Worst Drivers'!$C$33-$P$25)*MIN(M$89,'15 Assumptions'!$C$79)/'15 Assumptions'!$C$79)*(1-'15 Assumptions'!$C$10),L92*(1+M90))</f>
        <v>121809.06614224589</v>
      </c>
      <c r="N92" s="497">
        <f>IF('15 Assumptions'!$C$91=1,N91*($P$25+('DCF Worst Drivers'!$C$33-$P$25)*MIN(N$89,'15 Assumptions'!$C$79)/'15 Assumptions'!$C$79)*(1-'15 Assumptions'!$C$10),M92*(1+N90))</f>
        <v>127431.86626555024</v>
      </c>
      <c r="O92" s="497">
        <f>IF('15 Assumptions'!$C$91=1,O91*($P$25+('DCF Worst Drivers'!$C$33-$P$25)*MIN(O$89,'15 Assumptions'!$C$79)/'15 Assumptions'!$C$79)*(1-'15 Assumptions'!$C$10),N92*(1+O90))</f>
        <v>132460.79143246083</v>
      </c>
      <c r="P92" s="497">
        <f>IF('15 Assumptions'!$C$91=1,P91*($P$25+('DCF Worst Drivers'!$C$33-$P$25)*MIN(P$89,'15 Assumptions'!$C$79)/'15 Assumptions'!$C$79)*(1-'15 Assumptions'!$C$10),O92*(1+P90))</f>
        <v>136797.31053228851</v>
      </c>
      <c r="Q92" s="497">
        <f>IF('15 Assumptions'!$C$91=1,Q91*($P$25+('DCF Worst Drivers'!$C$33-$P$25)*MIN(Q$89,'15 Assumptions'!$C$79)/'15 Assumptions'!$C$79)*(1-'15 Assumptions'!$C$10),P92*(1+Q90))</f>
        <v>140351.56995321531</v>
      </c>
      <c r="R92" s="497">
        <f>IF('15 Assumptions'!$C$91=1,R91*($P$25+('DCF Worst Drivers'!$C$33-$P$25)*MIN(R$89,'15 Assumptions'!$C$79)/'15 Assumptions'!$C$79)*(1-'15 Assumptions'!$C$10),Q92*(1+R90))</f>
        <v>143045.26519698818</v>
      </c>
      <c r="S92" s="497">
        <f>IF('15 Assumptions'!$C$91=1,S91*($P$25+('DCF Worst Drivers'!$C$33-$P$25)*MIN(S$89,'15 Assumptions'!$C$79)/'15 Assumptions'!$C$79)*(1-'15 Assumptions'!$C$10),R92*(1+S90))</f>
        <v>144814.29165277418</v>
      </c>
      <c r="T92" s="497">
        <f>IF('15 Assumptions'!$C$91=1,T91*($P$25+('DCF Worst Drivers'!$C$33-$P$25)*MIN(T$89,'15 Assumptions'!$C$79)/'15 Assumptions'!$C$79)*(1-'15 Assumptions'!$C$10),S92*(1+T90))</f>
        <v>145611.05697892598</v>
      </c>
      <c r="U92" s="497">
        <f>IF('15 Assumptions'!$C$91=1,U91*($P$25+('DCF Worst Drivers'!$C$33-$P$25)*MIN(U$89,'15 Assumptions'!$C$79)/'15 Assumptions'!$C$79)*(1-'15 Assumptions'!$C$10),T92*(1+U90))</f>
        <v>145406.34621131723</v>
      </c>
    </row>
    <row r="93" spans="2:21" x14ac:dyDescent="0.3">
      <c r="C93" s="18" t="s">
        <v>2007</v>
      </c>
      <c r="L93" s="496">
        <f t="shared" ref="L93:U93" si="18">L91*$P$71/$P$23</f>
        <v>41647.560658795337</v>
      </c>
      <c r="M93" s="496">
        <f t="shared" si="18"/>
        <v>44949.672854181044</v>
      </c>
      <c r="N93" s="496">
        <f t="shared" si="18"/>
        <v>48236.67018923704</v>
      </c>
      <c r="O93" s="496">
        <f t="shared" si="18"/>
        <v>51466.852651357585</v>
      </c>
      <c r="P93" s="496">
        <f t="shared" si="18"/>
        <v>54596.264046022792</v>
      </c>
      <c r="Q93" s="496">
        <f t="shared" si="18"/>
        <v>57579.596346355254</v>
      </c>
      <c r="R93" s="496">
        <f t="shared" si="18"/>
        <v>60371.207388277115</v>
      </c>
      <c r="S93" s="496">
        <f t="shared" si="18"/>
        <v>62926.223278712096</v>
      </c>
      <c r="T93" s="496">
        <f t="shared" si="18"/>
        <v>65201.690960737651</v>
      </c>
      <c r="U93" s="496">
        <f t="shared" si="18"/>
        <v>67157.741689559785</v>
      </c>
    </row>
    <row r="94" spans="2:21" x14ac:dyDescent="0.3">
      <c r="C94" s="18" t="s">
        <v>2131</v>
      </c>
      <c r="L94" s="496">
        <f t="shared" ref="L94:U94" si="19">L96*L92</f>
        <v>50672.699272209778</v>
      </c>
      <c r="M94" s="496">
        <f t="shared" si="19"/>
        <v>51482.364003633884</v>
      </c>
      <c r="N94" s="496">
        <f t="shared" si="19"/>
        <v>51905.170796280101</v>
      </c>
      <c r="O94" s="496">
        <f t="shared" si="19"/>
        <v>51922.780534492762</v>
      </c>
      <c r="P94" s="496">
        <f t="shared" si="19"/>
        <v>51525.395081338669</v>
      </c>
      <c r="Q94" s="496">
        <f t="shared" si="19"/>
        <v>50712.394012878445</v>
      </c>
      <c r="R94" s="496">
        <f t="shared" si="19"/>
        <v>49492.66300286568</v>
      </c>
      <c r="S94" s="496">
        <f t="shared" si="19"/>
        <v>47884.585035318116</v>
      </c>
      <c r="T94" s="496">
        <f t="shared" si="19"/>
        <v>45915.68107739195</v>
      </c>
      <c r="U94" s="496">
        <f t="shared" si="19"/>
        <v>43621.903863395164</v>
      </c>
    </row>
    <row r="95" spans="2:21" x14ac:dyDescent="0.3">
      <c r="C95" s="5" t="s">
        <v>2008</v>
      </c>
      <c r="L95" s="498">
        <f t="shared" ref="L95:U95" si="20">L92-L94</f>
        <v>65023.927864579149</v>
      </c>
      <c r="M95" s="498">
        <f t="shared" si="20"/>
        <v>70326.702138612018</v>
      </c>
      <c r="N95" s="498">
        <f t="shared" si="20"/>
        <v>75526.69546927014</v>
      </c>
      <c r="O95" s="498">
        <f t="shared" si="20"/>
        <v>80538.010897968066</v>
      </c>
      <c r="P95" s="498">
        <f t="shared" si="20"/>
        <v>85271.915450949833</v>
      </c>
      <c r="Q95" s="498">
        <f t="shared" si="20"/>
        <v>89639.175940336863</v>
      </c>
      <c r="R95" s="498">
        <f t="shared" si="20"/>
        <v>93552.602194122504</v>
      </c>
      <c r="S95" s="498">
        <f t="shared" si="20"/>
        <v>96929.70661745606</v>
      </c>
      <c r="T95" s="498">
        <f t="shared" si="20"/>
        <v>99695.375901534018</v>
      </c>
      <c r="U95" s="498">
        <f t="shared" si="20"/>
        <v>101784.44234792207</v>
      </c>
    </row>
    <row r="96" spans="2:21" x14ac:dyDescent="0.3">
      <c r="C96" s="18" t="s">
        <v>2132</v>
      </c>
      <c r="L96" s="495">
        <f>IF('15 Assumptions'!$C$90=1,IF(L$89&gt;='15 Assumptions'!$C$79,'20 DCF Valuation'!$H$19/'DCF Worst Drivers'!$C$27,$L$97+('20 DCF Valuation'!$H$19/'DCF Worst Drivers'!$C$27-$L$97)*(L$89-1)/MAX(1,'15 Assumptions'!$C$79-1)),L90/'DCF Worst Drivers'!$C$27)</f>
        <v>0.43797905372210283</v>
      </c>
      <c r="M96" s="495">
        <f>IF('15 Assumptions'!$C$90=1,IF(M$89&gt;='15 Assumptions'!$C$79,'20 DCF Valuation'!$H$19/'DCF Worst Drivers'!$C$27,$L$97+('20 DCF Valuation'!$H$19/'DCF Worst Drivers'!$C$27-$L$97)*(M$89-1)/MAX(1,'15 Assumptions'!$C$79-1)),M90/'DCF Worst Drivers'!$C$27)</f>
        <v>0.42264804775298032</v>
      </c>
      <c r="N96" s="495">
        <f>IF('15 Assumptions'!$C$90=1,IF(N$89&gt;='15 Assumptions'!$C$79,'20 DCF Valuation'!$H$19/'DCF Worst Drivers'!$C$27,$L$97+('20 DCF Valuation'!$H$19/'DCF Worst Drivers'!$C$27-$L$97)*(N$89-1)/MAX(1,'15 Assumptions'!$C$79-1)),N90/'DCF Worst Drivers'!$C$27)</f>
        <v>0.40731704178385775</v>
      </c>
      <c r="O96" s="495">
        <f>IF('15 Assumptions'!$C$90=1,IF(O$89&gt;='15 Assumptions'!$C$79,'20 DCF Valuation'!$H$19/'DCF Worst Drivers'!$C$27,$L$97+('20 DCF Valuation'!$H$19/'DCF Worst Drivers'!$C$27-$L$97)*(O$89-1)/MAX(1,'15 Assumptions'!$C$79-1)),O90/'DCF Worst Drivers'!$C$27)</f>
        <v>0.39198603581473523</v>
      </c>
      <c r="P96" s="495">
        <f>IF('15 Assumptions'!$C$90=1,IF(P$89&gt;='15 Assumptions'!$C$79,'20 DCF Valuation'!$H$19/'DCF Worst Drivers'!$C$27,$L$97+('20 DCF Valuation'!$H$19/'DCF Worst Drivers'!$C$27-$L$97)*(P$89-1)/MAX(1,'15 Assumptions'!$C$79-1)),P90/'DCF Worst Drivers'!$C$27)</f>
        <v>0.37665502984561267</v>
      </c>
      <c r="Q96" s="495">
        <f>IF('15 Assumptions'!$C$90=1,IF(Q$89&gt;='15 Assumptions'!$C$79,'20 DCF Valuation'!$H$19/'DCF Worst Drivers'!$C$27,$L$97+('20 DCF Valuation'!$H$19/'DCF Worst Drivers'!$C$27-$L$97)*(Q$89-1)/MAX(1,'15 Assumptions'!$C$79-1)),Q90/'DCF Worst Drivers'!$C$27)</f>
        <v>0.36132402387649015</v>
      </c>
      <c r="R96" s="495">
        <f>IF('15 Assumptions'!$C$90=1,IF(R$89&gt;='15 Assumptions'!$C$79,'20 DCF Valuation'!$H$19/'DCF Worst Drivers'!$C$27,$L$97+('20 DCF Valuation'!$H$19/'DCF Worst Drivers'!$C$27-$L$97)*(R$89-1)/MAX(1,'15 Assumptions'!$C$79-1)),R90/'DCF Worst Drivers'!$C$27)</f>
        <v>0.34599301790736758</v>
      </c>
      <c r="S96" s="495">
        <f>IF('15 Assumptions'!$C$90=1,IF(S$89&gt;='15 Assumptions'!$C$79,'20 DCF Valuation'!$H$19/'DCF Worst Drivers'!$C$27,$L$97+('20 DCF Valuation'!$H$19/'DCF Worst Drivers'!$C$27-$L$97)*(S$89-1)/MAX(1,'15 Assumptions'!$C$79-1)),S90/'DCF Worst Drivers'!$C$27)</f>
        <v>0.33066201193824507</v>
      </c>
      <c r="T96" s="495">
        <f>IF('15 Assumptions'!$C$90=1,IF(T$89&gt;='15 Assumptions'!$C$79,'20 DCF Valuation'!$H$19/'DCF Worst Drivers'!$C$27,$L$97+('20 DCF Valuation'!$H$19/'DCF Worst Drivers'!$C$27-$L$97)*(T$89-1)/MAX(1,'15 Assumptions'!$C$79-1)),T90/'DCF Worst Drivers'!$C$27)</f>
        <v>0.31533100596912256</v>
      </c>
      <c r="U96" s="495">
        <f>IF('15 Assumptions'!$C$90=1,IF(U$89&gt;='15 Assumptions'!$C$79,'20 DCF Valuation'!$H$19/'DCF Worst Drivers'!$C$27,$L$97+('20 DCF Valuation'!$H$19/'DCF Worst Drivers'!$C$27-$L$97)*(U$89-1)/MAX(1,'15 Assumptions'!$C$79-1)),U90/'DCF Worst Drivers'!$C$27)</f>
        <v>0.3</v>
      </c>
    </row>
    <row r="97" spans="2:21" x14ac:dyDescent="0.3">
      <c r="C97" s="18" t="s">
        <v>2133</v>
      </c>
      <c r="L97" s="495">
        <f>(-P75-P64-P23*'15 Assumptions'!$C$57)/(P24*(1-'15 Assumptions'!$C$10))</f>
        <v>0.43797905372210283</v>
      </c>
      <c r="M97" s="497"/>
      <c r="N97" s="497"/>
      <c r="O97" s="497"/>
      <c r="P97" s="497"/>
      <c r="Q97" s="497"/>
      <c r="R97" s="497"/>
      <c r="S97" s="497"/>
      <c r="T97" s="497"/>
      <c r="U97" s="497"/>
    </row>
    <row r="99" spans="2:21" ht="18" customHeight="1" x14ac:dyDescent="0.3">
      <c r="B99" s="73"/>
      <c r="C99" s="16" t="s">
        <v>1111</v>
      </c>
      <c r="D99" s="73"/>
      <c r="E99" s="73"/>
      <c r="F99" s="73"/>
      <c r="G99" s="73"/>
      <c r="H99" s="73"/>
      <c r="I99" s="73"/>
      <c r="J99" s="73"/>
      <c r="K99" s="73"/>
      <c r="L99" s="73"/>
      <c r="M99" s="73"/>
      <c r="N99" s="73"/>
      <c r="O99" s="73"/>
      <c r="P99" s="73"/>
    </row>
    <row r="100" spans="2:21" x14ac:dyDescent="0.3">
      <c r="C100" s="75" t="s">
        <v>1151</v>
      </c>
    </row>
    <row r="101" spans="2:21" x14ac:dyDescent="0.3">
      <c r="C101" s="76" t="s">
        <v>1112</v>
      </c>
    </row>
    <row r="102" spans="2:21" x14ac:dyDescent="0.3">
      <c r="C102" s="77" t="s">
        <v>1152</v>
      </c>
    </row>
    <row r="103" spans="2:21" ht="28.05" customHeight="1" x14ac:dyDescent="0.3">
      <c r="C103" s="320" t="s">
        <v>1113</v>
      </c>
    </row>
    <row r="106" spans="2:21" x14ac:dyDescent="0.3">
      <c r="B106" s="16" t="s">
        <v>2171</v>
      </c>
      <c r="C106" s="16"/>
      <c r="D106" s="16"/>
      <c r="E106" s="16"/>
      <c r="F106" s="16"/>
      <c r="G106" s="16"/>
      <c r="H106" s="16"/>
      <c r="I106" s="16"/>
      <c r="J106" s="16"/>
      <c r="K106" s="16"/>
      <c r="L106" s="16"/>
      <c r="M106" s="16"/>
      <c r="N106" s="16"/>
      <c r="O106" s="16"/>
      <c r="P106" s="16"/>
      <c r="Q106" s="16"/>
      <c r="R106" s="16"/>
      <c r="S106" s="16"/>
      <c r="T106" s="16"/>
      <c r="U106" s="16"/>
    </row>
    <row r="107" spans="2:21" ht="15" thickBot="1" x14ac:dyDescent="0.35">
      <c r="L107" s="52" t="s">
        <v>2172</v>
      </c>
      <c r="M107" s="52" t="s">
        <v>974</v>
      </c>
      <c r="N107" s="52" t="s">
        <v>2173</v>
      </c>
      <c r="O107" s="52" t="s">
        <v>2174</v>
      </c>
      <c r="P107" s="52"/>
      <c r="Q107" s="52"/>
      <c r="R107" s="52"/>
      <c r="S107" s="52"/>
      <c r="T107" s="52"/>
      <c r="U107" s="52"/>
    </row>
    <row r="108" spans="2:21" x14ac:dyDescent="0.3">
      <c r="C108" s="18" t="s">
        <v>2175</v>
      </c>
      <c r="L108" s="497">
        <f>L14-('03 Segments'!$G$13+'03 Segments'!$I$13)</f>
        <v>52654.299999999988</v>
      </c>
      <c r="M108" s="496">
        <f>M14</f>
        <v>137450.98343529998</v>
      </c>
      <c r="N108" s="496">
        <f>0.5*N14</f>
        <v>91622.179147201881</v>
      </c>
      <c r="O108" s="496">
        <f>SUM(L108:N108)</f>
        <v>281727.46258250182</v>
      </c>
      <c r="P108" s="497"/>
      <c r="Q108" s="497"/>
      <c r="R108" s="497"/>
      <c r="S108" s="497"/>
      <c r="T108" s="497"/>
      <c r="U108" s="497"/>
    </row>
    <row r="109" spans="2:21" x14ac:dyDescent="0.3">
      <c r="C109" s="18" t="s">
        <v>2176</v>
      </c>
      <c r="L109" s="497"/>
      <c r="M109" s="497"/>
      <c r="N109" s="497"/>
      <c r="O109" s="497">
        <f>'15 Assumptions'!$C$112*'15 Assumptions'!$C$113</f>
        <v>256950</v>
      </c>
      <c r="P109" s="497"/>
      <c r="Q109" s="497"/>
      <c r="R109" s="497"/>
      <c r="S109" s="497"/>
      <c r="T109" s="497"/>
      <c r="U109" s="497"/>
    </row>
    <row r="110" spans="2:21" x14ac:dyDescent="0.3">
      <c r="C110" s="18" t="s">
        <v>2177</v>
      </c>
      <c r="L110" s="497"/>
      <c r="M110" s="497"/>
      <c r="N110" s="497"/>
      <c r="O110" s="496">
        <f>O108-O109</f>
        <v>24777.462582501816</v>
      </c>
      <c r="P110" s="497"/>
      <c r="Q110" s="497"/>
      <c r="R110" s="497"/>
      <c r="S110" s="497"/>
      <c r="T110" s="497"/>
      <c r="U110" s="497"/>
    </row>
    <row r="111" spans="2:21" x14ac:dyDescent="0.3">
      <c r="C111" s="18" t="s">
        <v>2178</v>
      </c>
      <c r="L111" s="497"/>
      <c r="M111" s="497"/>
      <c r="N111" s="497"/>
      <c r="O111" s="549">
        <f>O110/O109</f>
        <v>9.6429120772530907E-2</v>
      </c>
      <c r="P111" s="497"/>
      <c r="Q111" s="497"/>
      <c r="R111" s="497"/>
      <c r="S111" s="497"/>
      <c r="T111" s="497"/>
      <c r="U111" s="497"/>
    </row>
    <row r="112" spans="2:21" x14ac:dyDescent="0.3">
      <c r="C112" s="18" t="s">
        <v>2179</v>
      </c>
      <c r="L112" s="497"/>
      <c r="M112" s="497"/>
      <c r="N112" s="497"/>
      <c r="O112" s="497" t="str">
        <f>IF(O111&lt;'15 Assumptions'!$C$114,"WARNING: under "&amp;TEXT('15 Assumptions'!$C$114,"0%")&amp;" beyond backlog","OK")</f>
        <v>WARNING: under 10% beyond backlog</v>
      </c>
      <c r="P112" s="497"/>
      <c r="Q112" s="497"/>
      <c r="R112" s="497"/>
      <c r="S112" s="497"/>
      <c r="T112" s="497"/>
      <c r="U112" s="497"/>
    </row>
    <row r="113" spans="3:16" ht="15" thickBot="1" x14ac:dyDescent="0.35">
      <c r="H113" s="53" t="str">
        <f t="shared" ref="H113:P113" si="21">H$7</f>
        <v>FY2023</v>
      </c>
      <c r="I113" s="53" t="str">
        <f t="shared" si="21"/>
        <v>FY2024</v>
      </c>
      <c r="J113" s="53" t="str">
        <f t="shared" si="21"/>
        <v>FY2025</v>
      </c>
      <c r="K113" s="53" t="str">
        <f t="shared" si="21"/>
        <v>TTM Jun'26</v>
      </c>
      <c r="L113" s="52" t="str">
        <f t="shared" si="21"/>
        <v>FY2026E</v>
      </c>
      <c r="M113" s="52" t="str">
        <f t="shared" si="21"/>
        <v>FY2027E</v>
      </c>
      <c r="N113" s="52" t="str">
        <f t="shared" si="21"/>
        <v>FY2028E</v>
      </c>
      <c r="O113" s="52" t="str">
        <f t="shared" si="21"/>
        <v>FY2029E</v>
      </c>
      <c r="P113" s="52" t="str">
        <f t="shared" si="21"/>
        <v>FY2030E</v>
      </c>
    </row>
    <row r="114" spans="3:16" x14ac:dyDescent="0.3">
      <c r="C114" s="18" t="s">
        <v>2180</v>
      </c>
      <c r="I114" s="550">
        <f>(I14-H14)/-H75*100</f>
        <v>31.443986232985022</v>
      </c>
      <c r="J114" s="550">
        <f>(J14-I14)/-I75*100</f>
        <v>29.458456267250405</v>
      </c>
      <c r="L114" s="551">
        <f>(L14-J14)/-J75*100</f>
        <v>42.369131846862103</v>
      </c>
      <c r="M114" s="551">
        <f>(M14-L14)/-L75*100</f>
        <v>20.099999999999998</v>
      </c>
      <c r="N114" s="551">
        <f>(N14-M14)/-M75*100</f>
        <v>18.399999999999999</v>
      </c>
      <c r="O114" s="551">
        <f>(O14-N14)/-N75*100</f>
        <v>18.499999999999996</v>
      </c>
      <c r="P114" s="551">
        <f>(P14-O14)/-O75*100</f>
        <v>19.500000000000011</v>
      </c>
    </row>
    <row r="115" spans="3:16" x14ac:dyDescent="0.3">
      <c r="C115" s="18" t="s">
        <v>2181</v>
      </c>
      <c r="L115" s="552">
        <f>L114-AVERAGE($I$114:$J$114)</f>
        <v>11.917910596744392</v>
      </c>
      <c r="M115" s="552">
        <f>M114-AVERAGE($I$114:$J$114)</f>
        <v>-10.351221250117714</v>
      </c>
      <c r="N115" s="552">
        <f>N114-AVERAGE($I$114:$J$114)</f>
        <v>-12.051221250117713</v>
      </c>
      <c r="O115" s="552">
        <f>O114-AVERAGE($I$114:$J$114)</f>
        <v>-11.951221250117715</v>
      </c>
      <c r="P115" s="552">
        <f>P114-AVERAGE($I$114:$J$114)</f>
        <v>-10.951221250117701</v>
      </c>
    </row>
    <row r="117" spans="3:16" ht="15" thickBot="1" x14ac:dyDescent="0.35">
      <c r="H117" s="53" t="str">
        <f>H$7</f>
        <v>FY2023</v>
      </c>
      <c r="I117" s="53" t="str">
        <f>I$7</f>
        <v>FY2024</v>
      </c>
      <c r="J117" s="53" t="str">
        <f>J$7</f>
        <v>FY2025</v>
      </c>
      <c r="K117" s="53" t="s">
        <v>51</v>
      </c>
      <c r="L117" s="52" t="str">
        <f>L$7</f>
        <v>FY2026E</v>
      </c>
      <c r="M117" s="52" t="str">
        <f>M$7</f>
        <v>FY2027E</v>
      </c>
      <c r="N117" s="52" t="str">
        <f>N$7</f>
        <v>FY2028E</v>
      </c>
      <c r="O117" s="52" t="str">
        <f>O$7</f>
        <v>FY2029E</v>
      </c>
      <c r="P117" s="52" t="str">
        <f>P$7</f>
        <v>FY2030E</v>
      </c>
    </row>
    <row r="118" spans="3:16" x14ac:dyDescent="0.3">
      <c r="C118" s="18" t="s">
        <v>2204</v>
      </c>
      <c r="K118" s="86">
        <f>('03 Segments'!G12+'03 Segments'!I12)/('03 Segments'!G16+'03 Segments'!I16)</f>
        <v>0.80184333803528207</v>
      </c>
      <c r="L118" s="549">
        <f>SUM(L10:L13)/L18</f>
        <v>0.79105843491603034</v>
      </c>
      <c r="M118" s="549">
        <f>SUM(M10:M13)/M18</f>
        <v>0.74305108988068869</v>
      </c>
      <c r="N118" s="549">
        <f>SUM(N10:N13)/N18</f>
        <v>0.69691741025487941</v>
      </c>
      <c r="O118" s="549">
        <f>SUM(O10:O13)/O18</f>
        <v>0.65977768005035675</v>
      </c>
      <c r="P118" s="549">
        <f>SUM(P10:P13)/P18</f>
        <v>0.62935808367053803</v>
      </c>
    </row>
    <row r="119" spans="3:16" x14ac:dyDescent="0.3">
      <c r="C119" s="18" t="s">
        <v>2205</v>
      </c>
      <c r="K119" s="86">
        <f>('03 Segments'!G13+'03 Segments'!I13)/('03 Segments'!G16+'03 Segments'!I16)</f>
        <v>0.19502638315657489</v>
      </c>
      <c r="L119" s="549">
        <f>L14/L18</f>
        <v>0.20566534417609511</v>
      </c>
      <c r="M119" s="549">
        <f>M14/M18</f>
        <v>0.25405096859007681</v>
      </c>
      <c r="N119" s="549">
        <f>N14/N18</f>
        <v>0.3004858323532435</v>
      </c>
      <c r="O119" s="549">
        <f>O14/O18</f>
        <v>0.33785613240196044</v>
      </c>
      <c r="P119" s="549">
        <f>P14/P18</f>
        <v>0.36845262525953332</v>
      </c>
    </row>
    <row r="120" spans="3:16" x14ac:dyDescent="0.3">
      <c r="C120" s="18" t="s">
        <v>2206</v>
      </c>
      <c r="K120" s="86">
        <f>'15 Assumptions'!$C$123</f>
        <v>0.43508690010153278</v>
      </c>
      <c r="L120" s="495">
        <f>'15 Assumptions'!$C$123+'DCF Worst Drivers'!$C$35*0/4</f>
        <v>0.43508690010153278</v>
      </c>
      <c r="M120" s="495">
        <f>'15 Assumptions'!$C$123+'DCF Worst Drivers'!$C$35*1/4</f>
        <v>0.43008690010153278</v>
      </c>
      <c r="N120" s="495">
        <f>'15 Assumptions'!$C$123+'DCF Worst Drivers'!$C$35*2/4</f>
        <v>0.42508690010153277</v>
      </c>
      <c r="O120" s="495">
        <f>'15 Assumptions'!$C$123+'DCF Worst Drivers'!$C$35*3/4</f>
        <v>0.42008690010153277</v>
      </c>
      <c r="P120" s="495">
        <f>'15 Assumptions'!$C$123+'DCF Worst Drivers'!$C$35*4/4</f>
        <v>0.41508690010153276</v>
      </c>
    </row>
    <row r="121" spans="3:16" x14ac:dyDescent="0.3">
      <c r="C121" s="18" t="s">
        <v>2207</v>
      </c>
      <c r="K121" s="86">
        <f>'15 Assumptions'!$C$124</f>
        <v>0.34404857576569337</v>
      </c>
      <c r="L121" s="495">
        <f>'15 Assumptions'!$C$124+'DCF Worst Drivers'!$C$36*0/4</f>
        <v>0.34404857576569337</v>
      </c>
      <c r="M121" s="495">
        <f>'15 Assumptions'!$C$124+'DCF Worst Drivers'!$C$36*1/4</f>
        <v>0.33154857576569335</v>
      </c>
      <c r="N121" s="495">
        <f>'15 Assumptions'!$C$124+'DCF Worst Drivers'!$C$36*2/4</f>
        <v>0.31904857576569334</v>
      </c>
      <c r="O121" s="495">
        <f>'15 Assumptions'!$C$124+'DCF Worst Drivers'!$C$36*3/4</f>
        <v>0.30654857576569339</v>
      </c>
      <c r="P121" s="495">
        <f>'15 Assumptions'!$C$124+'DCF Worst Drivers'!$C$36*4/4</f>
        <v>0.29404857576569338</v>
      </c>
    </row>
    <row r="122" spans="3:16" x14ac:dyDescent="0.3">
      <c r="C122" s="18" t="s">
        <v>2208</v>
      </c>
      <c r="K122" s="86">
        <f>'15 Assumptions'!$C$125</f>
        <v>-6.5648781846995102E-2</v>
      </c>
      <c r="L122" s="495">
        <f>'15 Assumptions'!$C$125+'DCF Worst Drivers'!$C$37*0/4</f>
        <v>-6.5648781846995102E-2</v>
      </c>
      <c r="M122" s="495">
        <f>'15 Assumptions'!$C$125+'DCF Worst Drivers'!$C$37*1/4</f>
        <v>-6.5648781846995102E-2</v>
      </c>
      <c r="N122" s="495">
        <f>'15 Assumptions'!$C$125+'DCF Worst Drivers'!$C$37*2/4</f>
        <v>-6.5648781846995102E-2</v>
      </c>
      <c r="O122" s="495">
        <f>'15 Assumptions'!$C$125+'DCF Worst Drivers'!$C$37*3/4</f>
        <v>-6.5648781846995102E-2</v>
      </c>
      <c r="P122" s="495">
        <f>'15 Assumptions'!$C$125+'DCF Worst Drivers'!$C$37*4/4</f>
        <v>-6.5648781846995102E-2</v>
      </c>
    </row>
    <row r="123" spans="3:16" x14ac:dyDescent="0.3">
      <c r="C123" s="18" t="s">
        <v>2209</v>
      </c>
      <c r="K123" s="86">
        <f>K118*K120+K119*K121+K122+'15 Assumptions'!$C$126</f>
        <v>0.35286786512904855</v>
      </c>
      <c r="L123" s="495">
        <f>L118*L120+L119*L121+L122+'15 Assumptions'!$C$126</f>
        <v>0.3518358144493906</v>
      </c>
      <c r="M123" s="495">
        <f>M118*M120+M119*M121+M122+'15 Assumptions'!$C$126</f>
        <v>0.34070456012624384</v>
      </c>
      <c r="N123" s="495">
        <f>N118*N120+N119*N121+N122+'15 Assumptions'!$C$126</f>
        <v>0.32901782185656425</v>
      </c>
      <c r="O123" s="495">
        <f>O118*O120+O119*O121+O122+'15 Assumptions'!$C$126</f>
        <v>0.31763106002451991</v>
      </c>
      <c r="P123" s="495">
        <f>P118*P120+P119*P121+P122+'15 Assumptions'!$C$126</f>
        <v>0.30647904915379942</v>
      </c>
    </row>
    <row r="124" spans="3:16" x14ac:dyDescent="0.3">
      <c r="C124" s="18" t="s">
        <v>2210</v>
      </c>
      <c r="L124" s="495">
        <f>CHOOSE('DCF Worst Drivers'!$D$6,'15 Assumptions'!C27,'15 Assumptions'!C28,'15 Assumptions'!C29)</f>
        <v>0.34499999999999997</v>
      </c>
      <c r="M124" s="495">
        <f>CHOOSE('DCF Worst Drivers'!$D$6,'15 Assumptions'!D27,'15 Assumptions'!D28,'15 Assumptions'!D29)</f>
        <v>0.34</v>
      </c>
      <c r="N124" s="495">
        <f>CHOOSE('DCF Worst Drivers'!$D$6,'15 Assumptions'!E27,'15 Assumptions'!E28,'15 Assumptions'!E29)</f>
        <v>0.33500000000000002</v>
      </c>
      <c r="O124" s="495">
        <f>CHOOSE('DCF Worst Drivers'!$D$6,'15 Assumptions'!F27,'15 Assumptions'!F28,'15 Assumptions'!F29)</f>
        <v>0.33</v>
      </c>
      <c r="P124" s="495">
        <f>CHOOSE('DCF Worst Drivers'!$D$6,'15 Assumptions'!G27,'15 Assumptions'!G28,'15 Assumptions'!G29)</f>
        <v>0.32500000000000001</v>
      </c>
    </row>
    <row r="125" spans="3:16" x14ac:dyDescent="0.3">
      <c r="C125" s="18" t="s">
        <v>2211</v>
      </c>
      <c r="L125" s="558">
        <f>L123-L124</f>
        <v>6.8358144493906314E-3</v>
      </c>
      <c r="M125" s="558">
        <f>M123-M124</f>
        <v>7.0456012624381392E-4</v>
      </c>
      <c r="N125" s="558">
        <f>N123-N124</f>
        <v>-5.9821781434357679E-3</v>
      </c>
      <c r="O125" s="558">
        <f>O123-O124</f>
        <v>-1.2368939975480109E-2</v>
      </c>
      <c r="P125" s="558">
        <f>P123-P124</f>
        <v>-1.852095084620059E-2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A3F19-24D3-4197-A21F-FF652C9EA9ED}">
  <sheetPr>
    <tabColor rgb="FF002F6C"/>
    <pageSetUpPr fitToPage="1"/>
  </sheetPr>
  <dimension ref="B2:I61"/>
  <sheetViews>
    <sheetView showGridLines="0" tabSelected="1" workbookViewId="0">
      <pane xSplit="2" ySplit="5" topLeftCell="C23" activePane="bottomRight" state="frozen"/>
      <selection pane="topRight" activeCell="C1" sqref="C1"/>
      <selection pane="bottomLeft" activeCell="A6" sqref="A6"/>
      <selection pane="bottomRight" activeCell="E17" sqref="E17"/>
    </sheetView>
  </sheetViews>
  <sheetFormatPr defaultRowHeight="14.4" x14ac:dyDescent="0.3"/>
  <cols>
    <col min="2" max="2" width="38.88671875" customWidth="1"/>
    <col min="3" max="8" width="15.21875" customWidth="1"/>
    <col min="9" max="9" width="15.77734375" customWidth="1"/>
  </cols>
  <sheetData>
    <row r="2" spans="2:9" ht="28.05" customHeight="1" thickBot="1" x14ac:dyDescent="0.45">
      <c r="B2" s="648" t="s">
        <v>1820</v>
      </c>
      <c r="C2" s="648"/>
      <c r="D2" s="648"/>
      <c r="E2" s="648"/>
      <c r="F2" s="648"/>
      <c r="G2" s="648"/>
      <c r="H2" s="648"/>
      <c r="I2" s="396"/>
    </row>
    <row r="3" spans="2:9" ht="22.05" customHeight="1" x14ac:dyDescent="0.3">
      <c r="B3" s="649" t="str">
        <f>"Live forecast following "&amp;'16 Scenarios'!F6&amp;" | $ millions except per-share | Jun'26 opening balance"</f>
        <v>Live forecast following BASE CASE | $ millions except per-share | Jun'26 opening balance</v>
      </c>
      <c r="C3" s="649"/>
      <c r="D3" s="649"/>
      <c r="E3" s="649"/>
      <c r="F3" s="649"/>
      <c r="G3" s="649"/>
      <c r="H3" s="649"/>
      <c r="I3" s="1"/>
    </row>
    <row r="4" spans="2:9" ht="15" customHeight="1" x14ac:dyDescent="0.3">
      <c r="B4" s="1"/>
      <c r="C4" s="1"/>
      <c r="D4" s="1"/>
      <c r="E4" s="1"/>
      <c r="F4" s="1"/>
      <c r="G4" s="1"/>
      <c r="H4" s="1"/>
      <c r="I4" s="1"/>
    </row>
    <row r="5" spans="2:9" ht="15" customHeight="1" x14ac:dyDescent="0.3">
      <c r="B5" s="365" t="s">
        <v>6</v>
      </c>
      <c r="C5" s="365" t="s">
        <v>1712</v>
      </c>
      <c r="D5" s="365" t="s">
        <v>973</v>
      </c>
      <c r="E5" s="365" t="s">
        <v>974</v>
      </c>
      <c r="F5" s="365" t="s">
        <v>975</v>
      </c>
      <c r="G5" s="365" t="s">
        <v>976</v>
      </c>
      <c r="H5" s="365" t="s">
        <v>977</v>
      </c>
      <c r="I5" s="1"/>
    </row>
    <row r="6" spans="2:9" ht="15" customHeight="1" x14ac:dyDescent="0.3">
      <c r="B6" s="1"/>
      <c r="C6" s="1"/>
      <c r="D6" s="1"/>
      <c r="E6" s="1"/>
      <c r="F6" s="1"/>
      <c r="G6" s="1"/>
      <c r="H6" s="1"/>
      <c r="I6" s="1"/>
    </row>
    <row r="7" spans="2:9" ht="15" customHeight="1" x14ac:dyDescent="0.3">
      <c r="B7" s="385" t="s">
        <v>1713</v>
      </c>
      <c r="C7" s="385"/>
      <c r="D7" s="385"/>
      <c r="E7" s="385"/>
      <c r="F7" s="385"/>
      <c r="G7" s="385"/>
      <c r="H7" s="385"/>
      <c r="I7" s="1"/>
    </row>
    <row r="8" spans="2:9" ht="15" customHeight="1" x14ac:dyDescent="0.3">
      <c r="B8" s="1" t="s">
        <v>1714</v>
      </c>
      <c r="C8" s="371">
        <f>'04 Balance Sheet'!G8</f>
        <v>242474</v>
      </c>
      <c r="D8" s="372">
        <f>D33</f>
        <v>231119.45750325089</v>
      </c>
      <c r="E8" s="372">
        <f>E33</f>
        <v>212692.79668645834</v>
      </c>
      <c r="F8" s="372">
        <f>F33</f>
        <v>241578.34928761565</v>
      </c>
      <c r="G8" s="372">
        <f>G33</f>
        <v>331477.56074429263</v>
      </c>
      <c r="H8" s="372">
        <f>H33</f>
        <v>497131.89872505533</v>
      </c>
      <c r="I8" s="1"/>
    </row>
    <row r="9" spans="2:9" ht="15" customHeight="1" x14ac:dyDescent="0.3">
      <c r="B9" s="1" t="s">
        <v>96</v>
      </c>
      <c r="C9" s="371">
        <f>'04 Balance Sheet'!G9</f>
        <v>69175</v>
      </c>
      <c r="D9" s="371">
        <f>'17 Model'!L23*'15 Assumptions'!C62</f>
        <v>76014.210238894637</v>
      </c>
      <c r="E9" s="371">
        <f>'17 Model'!M23*'15 Assumptions'!D62</f>
        <v>92156.829953077817</v>
      </c>
      <c r="F9" s="371">
        <f>'17 Model'!N23*'15 Assumptions'!E62</f>
        <v>110650.72378576655</v>
      </c>
      <c r="G9" s="371">
        <f>'17 Model'!O23*'15 Assumptions'!F62</f>
        <v>129511.87355657414</v>
      </c>
      <c r="H9" s="371">
        <f>'17 Model'!P23*'15 Assumptions'!G62</f>
        <v>148074.48602854405</v>
      </c>
      <c r="I9" s="1"/>
    </row>
    <row r="10" spans="2:9" ht="15" customHeight="1" x14ac:dyDescent="0.3">
      <c r="B10" s="1" t="s">
        <v>1715</v>
      </c>
      <c r="C10" s="371">
        <f>'04 Balance Sheet'!G10-'04 Balance Sheet'!G8-'04 Balance Sheet'!G9</f>
        <v>31875</v>
      </c>
      <c r="D10" s="371">
        <f>'17 Model'!L23*'15 Assumptions'!C63</f>
        <v>35026.425028764243</v>
      </c>
      <c r="E10" s="371">
        <f>'17 Model'!M23*'15 Assumptions'!D63</f>
        <v>42464.748171367617</v>
      </c>
      <c r="F10" s="371">
        <f>'17 Model'!N23*'15 Assumptions'!E63</f>
        <v>50986.509875985663</v>
      </c>
      <c r="G10" s="371">
        <f>'17 Model'!O23*'15 Assumptions'!F63</f>
        <v>59677.498657257682</v>
      </c>
      <c r="H10" s="371">
        <f>'17 Model'!P23*'15 Assumptions'!G63</f>
        <v>68230.92507639814</v>
      </c>
      <c r="I10" s="1"/>
    </row>
    <row r="11" spans="2:9" ht="15" customHeight="1" x14ac:dyDescent="0.3">
      <c r="B11" s="2" t="s">
        <v>1716</v>
      </c>
      <c r="C11" s="386">
        <f>'04 Balance Sheet'!G10</f>
        <v>343524</v>
      </c>
      <c r="D11" s="387">
        <f>SUM(D8:D10)</f>
        <v>342160.09277090977</v>
      </c>
      <c r="E11" s="387">
        <f t="shared" ref="E11:H11" si="0">SUM(E8:E10)</f>
        <v>347314.3748109038</v>
      </c>
      <c r="F11" s="387">
        <f t="shared" si="0"/>
        <v>403215.58294936788</v>
      </c>
      <c r="G11" s="387">
        <f t="shared" si="0"/>
        <v>520666.9329581245</v>
      </c>
      <c r="H11" s="387">
        <f t="shared" si="0"/>
        <v>713437.3098299976</v>
      </c>
      <c r="I11" s="1"/>
    </row>
    <row r="12" spans="2:9" ht="15" customHeight="1" x14ac:dyDescent="0.3">
      <c r="B12" s="1" t="s">
        <v>1717</v>
      </c>
      <c r="C12" s="371">
        <f>'04 Balance Sheet'!G12</f>
        <v>321212</v>
      </c>
      <c r="D12" s="371">
        <f>C12-'17 Model'!L75+'09 Cash Flow'!G20-('17 Model'!L64-'09 Cash Flow'!G22)</f>
        <v>426037.55782844999</v>
      </c>
      <c r="E12" s="371">
        <f>D12-'17 Model'!M75-'17 Model'!M64</f>
        <v>636198.2379081801</v>
      </c>
      <c r="F12" s="371">
        <f>E12-'17 Model'!N75-'17 Model'!N64</f>
        <v>825179.24698918336</v>
      </c>
      <c r="G12" s="371">
        <f>F12-'17 Model'!O75-'17 Model'!O64</f>
        <v>977780.45130230871</v>
      </c>
      <c r="H12" s="371">
        <f>G12-'17 Model'!P75-'17 Model'!P64</f>
        <v>1078998.9856742064</v>
      </c>
      <c r="I12" s="1"/>
    </row>
    <row r="13" spans="2:9" ht="15" customHeight="1" x14ac:dyDescent="0.3">
      <c r="B13" s="1" t="s">
        <v>100</v>
      </c>
      <c r="C13" s="371">
        <f>'04 Balance Sheet'!G13</f>
        <v>57828</v>
      </c>
      <c r="D13" s="371">
        <f>'15 Assumptions'!C66</f>
        <v>57828</v>
      </c>
      <c r="E13" s="371">
        <f>'15 Assumptions'!D66</f>
        <v>57828</v>
      </c>
      <c r="F13" s="371">
        <f>'15 Assumptions'!E66</f>
        <v>57828</v>
      </c>
      <c r="G13" s="371">
        <f>'15 Assumptions'!F66</f>
        <v>57828</v>
      </c>
      <c r="H13" s="371">
        <f>'15 Assumptions'!G66</f>
        <v>57828</v>
      </c>
      <c r="I13" s="1"/>
    </row>
    <row r="14" spans="2:9" ht="15" customHeight="1" x14ac:dyDescent="0.3">
      <c r="B14" s="1" t="s">
        <v>1718</v>
      </c>
      <c r="C14" s="371">
        <f>'04 Balance Sheet'!G14-'04 Balance Sheet'!G10-'04 Balance Sheet'!G12-'04 Balance Sheet'!G13</f>
        <v>199419</v>
      </c>
      <c r="D14" s="371">
        <f>'15 Assumptions'!C67</f>
        <v>199419</v>
      </c>
      <c r="E14" s="371">
        <f>'15 Assumptions'!D67</f>
        <v>199419</v>
      </c>
      <c r="F14" s="371">
        <f>'15 Assumptions'!E67</f>
        <v>199419</v>
      </c>
      <c r="G14" s="371">
        <f>'15 Assumptions'!F67</f>
        <v>199419</v>
      </c>
      <c r="H14" s="371">
        <f>'15 Assumptions'!G67</f>
        <v>199419</v>
      </c>
      <c r="I14" s="1"/>
    </row>
    <row r="15" spans="2:9" ht="15" customHeight="1" x14ac:dyDescent="0.3">
      <c r="B15" s="2" t="s">
        <v>1719</v>
      </c>
      <c r="C15" s="386">
        <f>'04 Balance Sheet'!G14</f>
        <v>921983</v>
      </c>
      <c r="D15" s="387">
        <f>SUM(D11:D14)</f>
        <v>1025444.6505993598</v>
      </c>
      <c r="E15" s="387">
        <f t="shared" ref="E15:H15" si="1">SUM(E11:E14)</f>
        <v>1240759.6127190839</v>
      </c>
      <c r="F15" s="387">
        <f t="shared" si="1"/>
        <v>1485641.8299385512</v>
      </c>
      <c r="G15" s="387">
        <f t="shared" si="1"/>
        <v>1755694.3842604333</v>
      </c>
      <c r="H15" s="387">
        <f t="shared" si="1"/>
        <v>2049683.295504204</v>
      </c>
      <c r="I15" s="1"/>
    </row>
    <row r="16" spans="2:9" ht="15" customHeight="1" x14ac:dyDescent="0.3">
      <c r="B16" s="1"/>
      <c r="C16" s="371"/>
      <c r="D16" s="388"/>
      <c r="E16" s="388"/>
      <c r="F16" s="388"/>
      <c r="G16" s="388"/>
      <c r="H16" s="388"/>
      <c r="I16" s="1"/>
    </row>
    <row r="17" spans="2:9" ht="15" customHeight="1" x14ac:dyDescent="0.3">
      <c r="B17" s="385" t="s">
        <v>1720</v>
      </c>
      <c r="C17" s="389"/>
      <c r="D17" s="390"/>
      <c r="E17" s="390"/>
      <c r="F17" s="390"/>
      <c r="G17" s="390"/>
      <c r="H17" s="390"/>
      <c r="I17" s="1"/>
    </row>
    <row r="18" spans="2:9" ht="15" customHeight="1" x14ac:dyDescent="0.3">
      <c r="B18" s="1" t="s">
        <v>1721</v>
      </c>
      <c r="C18" s="371">
        <f>'04 Balance Sheet'!G15</f>
        <v>126111</v>
      </c>
      <c r="D18" s="371">
        <f>'17 Model'!L23*'15 Assumptions'!C64</f>
        <v>138579.37213497999</v>
      </c>
      <c r="E18" s="371">
        <f>'17 Model'!M23*'15 Assumptions'!D64</f>
        <v>168008.52883574407</v>
      </c>
      <c r="F18" s="371">
        <f>'17 Model'!N23*'15 Assumptions'!E64</f>
        <v>201724.22735593503</v>
      </c>
      <c r="G18" s="371">
        <f>'17 Model'!O23*'15 Assumptions'!F64</f>
        <v>236109.45986401333</v>
      </c>
      <c r="H18" s="371">
        <f>'17 Model'!P23*'15 Assumptions'!G64</f>
        <v>269950.43740579288</v>
      </c>
      <c r="I18" s="1"/>
    </row>
    <row r="19" spans="2:9" ht="15" customHeight="1" x14ac:dyDescent="0.3">
      <c r="B19" s="1" t="s">
        <v>104</v>
      </c>
      <c r="C19" s="371">
        <f>'04 Balance Sheet'!G17</f>
        <v>102754</v>
      </c>
      <c r="D19" s="372">
        <f>D38</f>
        <v>102754</v>
      </c>
      <c r="E19" s="372">
        <f>E38</f>
        <v>102754</v>
      </c>
      <c r="F19" s="372">
        <f>F38</f>
        <v>102754</v>
      </c>
      <c r="G19" s="372">
        <f>G38</f>
        <v>102754</v>
      </c>
      <c r="H19" s="372">
        <f>H38</f>
        <v>102754</v>
      </c>
      <c r="I19" s="1"/>
    </row>
    <row r="20" spans="2:9" ht="15" customHeight="1" x14ac:dyDescent="0.3">
      <c r="B20" s="1" t="s">
        <v>1722</v>
      </c>
      <c r="C20" s="371">
        <f>'04 Balance Sheet'!G18-'04 Balance Sheet'!G15-'04 Balance Sheet'!G17</f>
        <v>52638</v>
      </c>
      <c r="D20" s="371">
        <f>'17 Model'!L23*'15 Assumptions'!C65</f>
        <v>57842.226216912699</v>
      </c>
      <c r="E20" s="371">
        <f>'17 Model'!M23*'15 Assumptions'!D65</f>
        <v>70125.785544923885</v>
      </c>
      <c r="F20" s="371">
        <f>'17 Model'!N23*'15 Assumptions'!E65</f>
        <v>84198.522567910084</v>
      </c>
      <c r="G20" s="371">
        <f>'17 Model'!O23*'15 Assumptions'!F65</f>
        <v>98550.719194375852</v>
      </c>
      <c r="H20" s="371">
        <f>'17 Model'!P23*'15 Assumptions'!G65</f>
        <v>112675.7469543983</v>
      </c>
      <c r="I20" s="1"/>
    </row>
    <row r="21" spans="2:9" ht="15" customHeight="1" x14ac:dyDescent="0.3">
      <c r="B21" s="2" t="s">
        <v>1723</v>
      </c>
      <c r="C21" s="386">
        <f>'04 Balance Sheet'!G18</f>
        <v>281503</v>
      </c>
      <c r="D21" s="387">
        <f>SUM(D18:D20)</f>
        <v>299175.59835189267</v>
      </c>
      <c r="E21" s="387">
        <f t="shared" ref="E21:H21" si="2">SUM(E18:E20)</f>
        <v>340888.31438066799</v>
      </c>
      <c r="F21" s="387">
        <f t="shared" si="2"/>
        <v>388676.74992384511</v>
      </c>
      <c r="G21" s="387">
        <f t="shared" si="2"/>
        <v>437414.17905838921</v>
      </c>
      <c r="H21" s="387">
        <f t="shared" si="2"/>
        <v>485380.18436019117</v>
      </c>
      <c r="I21" s="1"/>
    </row>
    <row r="22" spans="2:9" ht="15" customHeight="1" x14ac:dyDescent="0.3">
      <c r="B22" s="1" t="s">
        <v>1724</v>
      </c>
      <c r="C22" s="371">
        <f>'04 Balance Sheet'!G19</f>
        <v>640480</v>
      </c>
      <c r="D22" s="372">
        <f>D15-D21</f>
        <v>726269.0522474671</v>
      </c>
      <c r="E22" s="372">
        <f t="shared" ref="E22:H22" si="3">E15-E21</f>
        <v>899871.29833841592</v>
      </c>
      <c r="F22" s="372">
        <f t="shared" si="3"/>
        <v>1096965.0800147061</v>
      </c>
      <c r="G22" s="372">
        <f t="shared" si="3"/>
        <v>1318280.205202044</v>
      </c>
      <c r="H22" s="372">
        <f t="shared" si="3"/>
        <v>1564303.1111440128</v>
      </c>
      <c r="I22" s="1"/>
    </row>
    <row r="23" spans="2:9" ht="15" customHeight="1" x14ac:dyDescent="0.3">
      <c r="B23" s="2" t="s">
        <v>1725</v>
      </c>
      <c r="C23" s="387">
        <f>C21+C22</f>
        <v>921983</v>
      </c>
      <c r="D23" s="387">
        <f>D21+D22</f>
        <v>1025444.6505993598</v>
      </c>
      <c r="E23" s="387">
        <f t="shared" ref="E23:H23" si="4">E21+E22</f>
        <v>1240759.6127190839</v>
      </c>
      <c r="F23" s="387">
        <f t="shared" si="4"/>
        <v>1485641.8299385512</v>
      </c>
      <c r="G23" s="387">
        <f t="shared" si="4"/>
        <v>1755694.3842604333</v>
      </c>
      <c r="H23" s="387">
        <f t="shared" si="4"/>
        <v>2049683.295504204</v>
      </c>
      <c r="I23" s="1"/>
    </row>
    <row r="24" spans="2:9" ht="15" customHeight="1" x14ac:dyDescent="0.3">
      <c r="B24" s="2" t="s">
        <v>1726</v>
      </c>
      <c r="C24" s="387">
        <f>C15-C23</f>
        <v>0</v>
      </c>
      <c r="D24" s="387">
        <f>D15-D23</f>
        <v>0</v>
      </c>
      <c r="E24" s="387">
        <f t="shared" ref="E24:H24" si="5">E15-E23</f>
        <v>0</v>
      </c>
      <c r="F24" s="387">
        <f t="shared" si="5"/>
        <v>0</v>
      </c>
      <c r="G24" s="387">
        <f t="shared" si="5"/>
        <v>0</v>
      </c>
      <c r="H24" s="387">
        <f t="shared" si="5"/>
        <v>0</v>
      </c>
      <c r="I24" s="1"/>
    </row>
    <row r="25" spans="2:9" ht="15" customHeight="1" x14ac:dyDescent="0.3">
      <c r="B25" s="1"/>
      <c r="C25" s="388"/>
      <c r="D25" s="388"/>
      <c r="E25" s="388"/>
      <c r="F25" s="388"/>
      <c r="G25" s="388"/>
      <c r="H25" s="388"/>
      <c r="I25" s="1"/>
    </row>
    <row r="26" spans="2:9" ht="15" customHeight="1" x14ac:dyDescent="0.3">
      <c r="B26" s="650" t="s">
        <v>1727</v>
      </c>
      <c r="C26" s="651"/>
      <c r="D26" s="651"/>
      <c r="E26" s="651"/>
      <c r="F26" s="651"/>
      <c r="G26" s="651"/>
      <c r="H26" s="651"/>
      <c r="I26" s="1"/>
    </row>
    <row r="27" spans="2:9" ht="15" customHeight="1" x14ac:dyDescent="0.3">
      <c r="B27" s="1" t="s">
        <v>1728</v>
      </c>
      <c r="C27" s="388"/>
      <c r="D27" s="372">
        <f>C33</f>
        <v>242474</v>
      </c>
      <c r="E27" s="372">
        <f>D33</f>
        <v>231119.45750325089</v>
      </c>
      <c r="F27" s="372">
        <f>E33</f>
        <v>212692.79668645834</v>
      </c>
      <c r="G27" s="372">
        <f>F33</f>
        <v>241578.34928761565</v>
      </c>
      <c r="H27" s="372">
        <f>G33</f>
        <v>331477.56074429263</v>
      </c>
      <c r="I27" s="1"/>
    </row>
    <row r="28" spans="2:9" ht="15" customHeight="1" x14ac:dyDescent="0.3">
      <c r="B28" s="1" t="s">
        <v>1729</v>
      </c>
      <c r="C28" s="388"/>
      <c r="D28" s="371">
        <f>'17 Model'!L76-'09 Cash Flow'!G21</f>
        <v>-5397.4614131651761</v>
      </c>
      <c r="E28" s="371">
        <f>'17 Model'!M76</f>
        <v>-5892.4330060421489</v>
      </c>
      <c r="F28" s="371">
        <f>'17 Model'!N76</f>
        <v>42018.912377588626</v>
      </c>
      <c r="G28" s="371">
        <f>'17 Model'!O76</f>
        <v>103762.5234209029</v>
      </c>
      <c r="H28" s="371">
        <f>'17 Model'!P76</f>
        <v>180304.7987074666</v>
      </c>
      <c r="I28" s="1"/>
    </row>
    <row r="29" spans="2:9" ht="15" customHeight="1" x14ac:dyDescent="0.3">
      <c r="B29" s="1" t="s">
        <v>1730</v>
      </c>
      <c r="C29" s="388"/>
      <c r="D29" s="371">
        <f>-'15 Assumptions'!C68*'17 Model'!L37/2</f>
        <v>-5363.3310835839429</v>
      </c>
      <c r="E29" s="371">
        <f>-'15 Assumptions'!D68*'17 Model'!M37</f>
        <v>-11346.727810750397</v>
      </c>
      <c r="F29" s="371">
        <f>-'15 Assumptions'!E68*'17 Model'!N37</f>
        <v>-11945.859776431313</v>
      </c>
      <c r="G29" s="371">
        <f>-'15 Assumptions'!F68*'17 Model'!O37</f>
        <v>-12675.811964225881</v>
      </c>
      <c r="H29" s="371">
        <f>-'15 Assumptions'!G68*'17 Model'!P37</f>
        <v>-13462.960726703932</v>
      </c>
      <c r="I29" s="1"/>
    </row>
    <row r="30" spans="2:9" ht="15" customHeight="1" x14ac:dyDescent="0.3">
      <c r="B30" s="1" t="s">
        <v>1731</v>
      </c>
      <c r="C30" s="388"/>
      <c r="D30" s="371">
        <f>-'15 Assumptions'!C9/2</f>
        <v>-593.75</v>
      </c>
      <c r="E30" s="371">
        <f>-'15 Assumptions'!C9</f>
        <v>-1187.5</v>
      </c>
      <c r="F30" s="371">
        <f>-'15 Assumptions'!C9</f>
        <v>-1187.5</v>
      </c>
      <c r="G30" s="371">
        <f>-'15 Assumptions'!C9</f>
        <v>-1187.5</v>
      </c>
      <c r="H30" s="371">
        <f>-'15 Assumptions'!C9</f>
        <v>-1187.5</v>
      </c>
      <c r="I30" s="1"/>
    </row>
    <row r="31" spans="2:9" ht="15" customHeight="1" x14ac:dyDescent="0.3">
      <c r="B31" s="1" t="s">
        <v>1701</v>
      </c>
      <c r="C31" s="388"/>
      <c r="D31" s="371">
        <f>'15 Assumptions'!C69</f>
        <v>0</v>
      </c>
      <c r="E31" s="371">
        <f>'15 Assumptions'!D69</f>
        <v>0</v>
      </c>
      <c r="F31" s="371">
        <f>'15 Assumptions'!E69</f>
        <v>0</v>
      </c>
      <c r="G31" s="371">
        <f>'15 Assumptions'!F69</f>
        <v>0</v>
      </c>
      <c r="H31" s="371">
        <f>'15 Assumptions'!G69</f>
        <v>0</v>
      </c>
      <c r="I31" s="1"/>
    </row>
    <row r="32" spans="2:9" ht="15" customHeight="1" x14ac:dyDescent="0.3">
      <c r="B32" s="1" t="s">
        <v>1732</v>
      </c>
      <c r="C32" s="388"/>
      <c r="D32" s="371">
        <f>-'15 Assumptions'!C70</f>
        <v>0</v>
      </c>
      <c r="E32" s="371">
        <f>-'15 Assumptions'!D70</f>
        <v>0</v>
      </c>
      <c r="F32" s="371">
        <f>-'15 Assumptions'!E70</f>
        <v>0</v>
      </c>
      <c r="G32" s="371">
        <f>-'15 Assumptions'!F70</f>
        <v>0</v>
      </c>
      <c r="H32" s="371">
        <f>-'15 Assumptions'!G70</f>
        <v>0</v>
      </c>
      <c r="I32" s="1"/>
    </row>
    <row r="33" spans="2:9" ht="15" customHeight="1" x14ac:dyDescent="0.3">
      <c r="B33" s="2" t="s">
        <v>1733</v>
      </c>
      <c r="C33" s="386">
        <f>'04 Balance Sheet'!G8</f>
        <v>242474</v>
      </c>
      <c r="D33" s="387">
        <f>SUM(D27:D32)</f>
        <v>231119.45750325089</v>
      </c>
      <c r="E33" s="387">
        <f t="shared" ref="E33:H33" si="6">SUM(E27:E32)</f>
        <v>212692.79668645834</v>
      </c>
      <c r="F33" s="387">
        <f t="shared" si="6"/>
        <v>241578.34928761565</v>
      </c>
      <c r="G33" s="387">
        <f t="shared" si="6"/>
        <v>331477.56074429263</v>
      </c>
      <c r="H33" s="387">
        <f t="shared" si="6"/>
        <v>497131.89872505533</v>
      </c>
      <c r="I33" s="1"/>
    </row>
    <row r="34" spans="2:9" ht="15" customHeight="1" x14ac:dyDescent="0.3">
      <c r="B34" s="1"/>
      <c r="C34" s="388"/>
      <c r="D34" s="372"/>
      <c r="E34" s="372"/>
      <c r="F34" s="372"/>
      <c r="G34" s="372"/>
      <c r="H34" s="372"/>
      <c r="I34" s="1"/>
    </row>
    <row r="35" spans="2:9" ht="15" customHeight="1" x14ac:dyDescent="0.3">
      <c r="B35" s="1" t="s">
        <v>1734</v>
      </c>
      <c r="C35" s="388"/>
      <c r="D35" s="372">
        <f>C38</f>
        <v>102754</v>
      </c>
      <c r="E35" s="372">
        <f>D38</f>
        <v>102754</v>
      </c>
      <c r="F35" s="372">
        <f>E38</f>
        <v>102754</v>
      </c>
      <c r="G35" s="372">
        <f>F38</f>
        <v>102754</v>
      </c>
      <c r="H35" s="372">
        <f>G38</f>
        <v>102754</v>
      </c>
      <c r="I35" s="1"/>
    </row>
    <row r="36" spans="2:9" ht="15" customHeight="1" x14ac:dyDescent="0.3">
      <c r="B36" s="1" t="s">
        <v>1701</v>
      </c>
      <c r="C36" s="388"/>
      <c r="D36" s="372">
        <f t="shared" ref="D36:H37" si="7">D31</f>
        <v>0</v>
      </c>
      <c r="E36" s="372">
        <f t="shared" si="7"/>
        <v>0</v>
      </c>
      <c r="F36" s="372">
        <f t="shared" si="7"/>
        <v>0</v>
      </c>
      <c r="G36" s="372">
        <f t="shared" si="7"/>
        <v>0</v>
      </c>
      <c r="H36" s="372">
        <f t="shared" si="7"/>
        <v>0</v>
      </c>
      <c r="I36" s="1"/>
    </row>
    <row r="37" spans="2:9" ht="15" customHeight="1" x14ac:dyDescent="0.3">
      <c r="B37" s="1" t="s">
        <v>1732</v>
      </c>
      <c r="C37" s="388"/>
      <c r="D37" s="372">
        <f t="shared" si="7"/>
        <v>0</v>
      </c>
      <c r="E37" s="372">
        <f t="shared" si="7"/>
        <v>0</v>
      </c>
      <c r="F37" s="372">
        <f t="shared" si="7"/>
        <v>0</v>
      </c>
      <c r="G37" s="372">
        <f t="shared" si="7"/>
        <v>0</v>
      </c>
      <c r="H37" s="372">
        <f t="shared" si="7"/>
        <v>0</v>
      </c>
      <c r="I37" s="1"/>
    </row>
    <row r="38" spans="2:9" ht="15" customHeight="1" x14ac:dyDescent="0.3">
      <c r="B38" s="2" t="s">
        <v>1735</v>
      </c>
      <c r="C38" s="386">
        <f>'04 Balance Sheet'!G17</f>
        <v>102754</v>
      </c>
      <c r="D38" s="387">
        <f>SUM(D35:D37)</f>
        <v>102754</v>
      </c>
      <c r="E38" s="387">
        <f t="shared" ref="E38:H38" si="8">SUM(E35:E37)</f>
        <v>102754</v>
      </c>
      <c r="F38" s="387">
        <f t="shared" si="8"/>
        <v>102754</v>
      </c>
      <c r="G38" s="387">
        <f t="shared" si="8"/>
        <v>102754</v>
      </c>
      <c r="H38" s="387">
        <f t="shared" si="8"/>
        <v>102754</v>
      </c>
      <c r="I38" s="1"/>
    </row>
    <row r="39" spans="2:9" ht="15" customHeight="1" x14ac:dyDescent="0.3">
      <c r="B39" s="2" t="s">
        <v>1736</v>
      </c>
      <c r="C39" s="391"/>
      <c r="D39" s="386">
        <f>AVERAGE(C38,D38)*'11 Valuation'!C67</f>
        <v>5702.8469999999998</v>
      </c>
      <c r="E39" s="386">
        <f>AVERAGE(D38,E38)*'11 Valuation'!C67</f>
        <v>5702.8469999999998</v>
      </c>
      <c r="F39" s="386">
        <f>AVERAGE(E38,F38)*'11 Valuation'!C67</f>
        <v>5702.8469999999998</v>
      </c>
      <c r="G39" s="386">
        <f>AVERAGE(F38,G38)*'11 Valuation'!C67</f>
        <v>5702.8469999999998</v>
      </c>
      <c r="H39" s="386">
        <f>AVERAGE(G38,H38)*'11 Valuation'!C67</f>
        <v>5702.8469999999998</v>
      </c>
      <c r="I39" s="1"/>
    </row>
    <row r="40" spans="2:9" ht="15" customHeight="1" x14ac:dyDescent="0.3">
      <c r="B40" s="2" t="s">
        <v>1737</v>
      </c>
      <c r="C40" s="387">
        <f t="shared" ref="C40:H40" si="9">C33-C38</f>
        <v>139720</v>
      </c>
      <c r="D40" s="387">
        <f t="shared" si="9"/>
        <v>128365.45750325089</v>
      </c>
      <c r="E40" s="387">
        <f t="shared" si="9"/>
        <v>109938.79668645834</v>
      </c>
      <c r="F40" s="387">
        <f t="shared" si="9"/>
        <v>138824.34928761565</v>
      </c>
      <c r="G40" s="387">
        <f t="shared" si="9"/>
        <v>228723.56074429263</v>
      </c>
      <c r="H40" s="387">
        <f t="shared" si="9"/>
        <v>394377.89872505533</v>
      </c>
      <c r="I40" s="1"/>
    </row>
    <row r="41" spans="2:9" ht="15" customHeight="1" x14ac:dyDescent="0.3">
      <c r="B41" s="1" t="s">
        <v>1738</v>
      </c>
      <c r="C41" s="1"/>
      <c r="D41" s="392">
        <f>D38/('17 Model'!L24+'17 Model'!L64)</f>
        <v>0.51201946591070735</v>
      </c>
      <c r="E41" s="392">
        <f>E38/('17 Model'!M24+'17 Model'!M64)</f>
        <v>0.41723853427382579</v>
      </c>
      <c r="F41" s="392">
        <f>F38/('17 Model'!N24+'17 Model'!N64)</f>
        <v>0.3433614427458585</v>
      </c>
      <c r="G41" s="392">
        <f>G38/('17 Model'!O24+'17 Model'!O64)</f>
        <v>0.28990233591565728</v>
      </c>
      <c r="H41" s="392">
        <f>H38/('17 Model'!P24+'17 Model'!P64)</f>
        <v>0.25060908471108606</v>
      </c>
      <c r="I41" s="1"/>
    </row>
    <row r="42" spans="2:9" ht="15" customHeight="1" x14ac:dyDescent="0.3">
      <c r="B42" s="1"/>
      <c r="C42" s="1"/>
      <c r="D42" s="1"/>
      <c r="E42" s="1"/>
      <c r="F42" s="1"/>
      <c r="G42" s="1"/>
      <c r="H42" s="1"/>
      <c r="I42" s="1"/>
    </row>
    <row r="43" spans="2:9" ht="15" customHeight="1" x14ac:dyDescent="0.3">
      <c r="B43" s="650" t="s">
        <v>1739</v>
      </c>
      <c r="C43" s="650"/>
      <c r="D43" s="650"/>
      <c r="E43" s="650"/>
      <c r="F43" s="650"/>
      <c r="G43" s="650"/>
      <c r="H43" s="650"/>
      <c r="I43" s="1"/>
    </row>
    <row r="44" spans="2:9" ht="15" customHeight="1" x14ac:dyDescent="0.3">
      <c r="B44" s="1" t="s">
        <v>1740</v>
      </c>
      <c r="C44" s="388"/>
      <c r="D44" s="372">
        <f>C49</f>
        <v>640480</v>
      </c>
      <c r="E44" s="372">
        <f>D49</f>
        <v>726269.0522474671</v>
      </c>
      <c r="F44" s="372">
        <f>E49</f>
        <v>899871.29833841592</v>
      </c>
      <c r="G44" s="372">
        <f>F49</f>
        <v>1096965.0800147061</v>
      </c>
      <c r="H44" s="372">
        <f>G49</f>
        <v>1318280.205202044</v>
      </c>
      <c r="I44" s="1"/>
    </row>
    <row r="45" spans="2:9" ht="15" customHeight="1" x14ac:dyDescent="0.3">
      <c r="B45" s="1" t="s">
        <v>27</v>
      </c>
      <c r="C45" s="388"/>
      <c r="D45" s="371">
        <f>'17 Model'!L33-174771</f>
        <v>79130.557315284736</v>
      </c>
      <c r="E45" s="371">
        <f>'17 Model'!M33</f>
        <v>169816.54292704797</v>
      </c>
      <c r="F45" s="371">
        <f>'17 Model'!N33</f>
        <v>191060.89501490523</v>
      </c>
      <c r="G45" s="371">
        <f>'17 Model'!O33</f>
        <v>211286.36141932677</v>
      </c>
      <c r="H45" s="371">
        <f>'17 Model'!P33</f>
        <v>231893.96268608133</v>
      </c>
      <c r="I45" s="1"/>
    </row>
    <row r="46" spans="2:9" ht="15" customHeight="1" x14ac:dyDescent="0.3">
      <c r="B46" s="1" t="s">
        <v>1730</v>
      </c>
      <c r="C46" s="388"/>
      <c r="D46" s="372">
        <f t="shared" ref="D46:H47" si="10">D29</f>
        <v>-5363.3310835839429</v>
      </c>
      <c r="E46" s="372">
        <f t="shared" si="10"/>
        <v>-11346.727810750397</v>
      </c>
      <c r="F46" s="372">
        <f t="shared" si="10"/>
        <v>-11945.859776431313</v>
      </c>
      <c r="G46" s="372">
        <f t="shared" si="10"/>
        <v>-12675.811964225881</v>
      </c>
      <c r="H46" s="372">
        <f t="shared" si="10"/>
        <v>-13462.960726703932</v>
      </c>
      <c r="I46" s="1"/>
    </row>
    <row r="47" spans="2:9" ht="15" customHeight="1" x14ac:dyDescent="0.3">
      <c r="B47" s="1" t="s">
        <v>1731</v>
      </c>
      <c r="C47" s="388"/>
      <c r="D47" s="372">
        <f t="shared" si="10"/>
        <v>-593.75</v>
      </c>
      <c r="E47" s="372">
        <f t="shared" si="10"/>
        <v>-1187.5</v>
      </c>
      <c r="F47" s="372">
        <f t="shared" si="10"/>
        <v>-1187.5</v>
      </c>
      <c r="G47" s="372">
        <f t="shared" si="10"/>
        <v>-1187.5</v>
      </c>
      <c r="H47" s="372">
        <f t="shared" si="10"/>
        <v>-1187.5</v>
      </c>
      <c r="I47" s="1"/>
    </row>
    <row r="48" spans="2:9" ht="15" customHeight="1" x14ac:dyDescent="0.3">
      <c r="B48" s="1" t="s">
        <v>1741</v>
      </c>
      <c r="C48" s="388"/>
      <c r="D48" s="372">
        <f>D22-SUM(D44:D47)</f>
        <v>12615.576015766361</v>
      </c>
      <c r="E48" s="372">
        <f t="shared" ref="E48:H48" si="11">E22-SUM(E44:E47)</f>
        <v>16319.930974651244</v>
      </c>
      <c r="F48" s="372">
        <f t="shared" si="11"/>
        <v>19166.246437816182</v>
      </c>
      <c r="G48" s="372">
        <f t="shared" si="11"/>
        <v>23892.075732236961</v>
      </c>
      <c r="H48" s="372">
        <f t="shared" si="11"/>
        <v>28779.40398259135</v>
      </c>
      <c r="I48" s="1"/>
    </row>
    <row r="49" spans="2:9" ht="15" customHeight="1" x14ac:dyDescent="0.3">
      <c r="B49" s="2" t="s">
        <v>1742</v>
      </c>
      <c r="C49" s="462">
        <v>640480</v>
      </c>
      <c r="D49" s="387">
        <f>SUM(D44:D48)</f>
        <v>726269.0522474671</v>
      </c>
      <c r="E49" s="387">
        <f t="shared" ref="E49:H49" si="12">SUM(E44:E48)</f>
        <v>899871.29833841592</v>
      </c>
      <c r="F49" s="387">
        <f t="shared" si="12"/>
        <v>1096965.0800147061</v>
      </c>
      <c r="G49" s="387">
        <f t="shared" si="12"/>
        <v>1318280.205202044</v>
      </c>
      <c r="H49" s="387">
        <f t="shared" si="12"/>
        <v>1564303.1111440128</v>
      </c>
      <c r="I49" s="1"/>
    </row>
    <row r="50" spans="2:9" ht="15" customHeight="1" x14ac:dyDescent="0.3">
      <c r="B50" s="1"/>
      <c r="C50" s="1"/>
      <c r="D50" s="1"/>
      <c r="E50" s="1"/>
      <c r="F50" s="1"/>
      <c r="G50" s="1"/>
      <c r="H50" s="1"/>
      <c r="I50" s="1"/>
    </row>
    <row r="51" spans="2:9" ht="15" customHeight="1" x14ac:dyDescent="0.3">
      <c r="B51" s="650" t="s">
        <v>1743</v>
      </c>
      <c r="C51" s="650"/>
      <c r="D51" s="650"/>
      <c r="E51" s="650"/>
      <c r="F51" s="650"/>
      <c r="G51" s="650"/>
      <c r="H51" s="650"/>
      <c r="I51" s="385" t="s">
        <v>825</v>
      </c>
    </row>
    <row r="52" spans="2:9" ht="15" customHeight="1" x14ac:dyDescent="0.3">
      <c r="B52" s="1" t="s">
        <v>1744</v>
      </c>
      <c r="C52" s="1"/>
      <c r="D52" s="74">
        <f>D24</f>
        <v>0</v>
      </c>
      <c r="E52" s="74">
        <f>E24</f>
        <v>0</v>
      </c>
      <c r="F52" s="74">
        <f>F24</f>
        <v>0</v>
      </c>
      <c r="G52" s="74">
        <f>G24</f>
        <v>0</v>
      </c>
      <c r="H52" s="74">
        <f>H24</f>
        <v>0</v>
      </c>
      <c r="I52" s="1" t="str" cm="1">
        <f t="array" ref="I52">IF(SUMPRODUCT(ABS(D52:H52))&lt;0.01,"TIES","DOES NOT TIE")</f>
        <v>TIES</v>
      </c>
    </row>
    <row r="53" spans="2:9" ht="15" customHeight="1" x14ac:dyDescent="0.3">
      <c r="B53" s="1" t="s">
        <v>1745</v>
      </c>
      <c r="C53" s="1"/>
      <c r="D53" s="74">
        <f>D33-SUM(D27:D32)</f>
        <v>0</v>
      </c>
      <c r="E53" s="74">
        <f>E33-SUM(E27:E32)</f>
        <v>0</v>
      </c>
      <c r="F53" s="74">
        <f>F33-SUM(F27:F32)</f>
        <v>0</v>
      </c>
      <c r="G53" s="74">
        <f>G33-SUM(G27:G32)</f>
        <v>0</v>
      </c>
      <c r="H53" s="74">
        <f>H33-SUM(H27:H32)</f>
        <v>0</v>
      </c>
      <c r="I53" s="1" t="str" cm="1">
        <f t="array" ref="I53">IF(SUMPRODUCT(ABS(D53:H53))&lt;0.01,"TIES","DOES NOT TIE")</f>
        <v>TIES</v>
      </c>
    </row>
    <row r="54" spans="2:9" ht="15" customHeight="1" x14ac:dyDescent="0.3">
      <c r="B54" s="1" t="s">
        <v>1746</v>
      </c>
      <c r="C54" s="1"/>
      <c r="D54" s="74">
        <f>D38-SUM(D35:D37)</f>
        <v>0</v>
      </c>
      <c r="E54" s="74">
        <f>E38-SUM(E35:E37)</f>
        <v>0</v>
      </c>
      <c r="F54" s="74">
        <f>F38-SUM(F35:F37)</f>
        <v>0</v>
      </c>
      <c r="G54" s="74">
        <f>G38-SUM(G35:G37)</f>
        <v>0</v>
      </c>
      <c r="H54" s="74">
        <f>H38-SUM(H35:H37)</f>
        <v>0</v>
      </c>
      <c r="I54" s="1" t="str" cm="1">
        <f t="array" ref="I54">IF(SUMPRODUCT(ABS(D54:H54))&lt;0.01,"TIES","DOES NOT TIE")</f>
        <v>TIES</v>
      </c>
    </row>
    <row r="55" spans="2:9" ht="15" customHeight="1" x14ac:dyDescent="0.3">
      <c r="B55" s="1" t="s">
        <v>1747</v>
      </c>
      <c r="C55" s="1"/>
      <c r="D55" s="47">
        <f>D12-(C12-'17 Model'!L75+'09 Cash Flow'!G20-('17 Model'!L64-'09 Cash Flow'!G22))</f>
        <v>0</v>
      </c>
      <c r="E55" s="47">
        <f>E12-(D12-'17 Model'!M75-'17 Model'!M64)</f>
        <v>0</v>
      </c>
      <c r="F55" s="47">
        <f>F12-(E12-'17 Model'!N75-'17 Model'!N64)</f>
        <v>0</v>
      </c>
      <c r="G55" s="47">
        <f>G12-(F12-'17 Model'!O75-'17 Model'!O64)</f>
        <v>0</v>
      </c>
      <c r="H55" s="47">
        <f>H12-(G12-'17 Model'!P75-'17 Model'!P64)</f>
        <v>0</v>
      </c>
      <c r="I55" s="1" t="str" cm="1">
        <f t="array" ref="I55">IF(SUMPRODUCT(ABS(D55:H55))&lt;0.01,"TIES","DOES NOT TIE")</f>
        <v>TIES</v>
      </c>
    </row>
    <row r="56" spans="2:9" ht="15" customHeight="1" x14ac:dyDescent="0.3">
      <c r="B56" s="1" t="s">
        <v>1748</v>
      </c>
      <c r="C56" s="1"/>
      <c r="D56" s="74">
        <f>D49-D22</f>
        <v>0</v>
      </c>
      <c r="E56" s="74">
        <f>E49-E22</f>
        <v>0</v>
      </c>
      <c r="F56" s="74">
        <f>F49-F22</f>
        <v>0</v>
      </c>
      <c r="G56" s="74">
        <f>G49-G22</f>
        <v>0</v>
      </c>
      <c r="H56" s="74">
        <f>H49-H22</f>
        <v>0</v>
      </c>
      <c r="I56" s="1" t="str" cm="1">
        <f t="array" ref="I56">IF(SUMPRODUCT(ABS(D56:H56))&lt;0.01,"TIES","DOES NOT TIE")</f>
        <v>TIES</v>
      </c>
    </row>
    <row r="57" spans="2:9" ht="15" customHeight="1" x14ac:dyDescent="0.3">
      <c r="B57" s="1" t="s">
        <v>1749</v>
      </c>
      <c r="C57" s="1"/>
      <c r="D57" s="74">
        <f>IF(D33&gt;=0,0,1)</f>
        <v>0</v>
      </c>
      <c r="E57" s="74">
        <f>IF(E33&gt;=0,0,1)</f>
        <v>0</v>
      </c>
      <c r="F57" s="74">
        <f>IF(F33&gt;=0,0,1)</f>
        <v>0</v>
      </c>
      <c r="G57" s="74">
        <f>IF(G33&gt;=0,0,1)</f>
        <v>0</v>
      </c>
      <c r="H57" s="74">
        <f>IF(H33&gt;=0,0,1)</f>
        <v>0</v>
      </c>
      <c r="I57" s="1" t="str" cm="1">
        <f t="array" ref="I57">IF(SUMPRODUCT(ABS(D57:H57))&lt;0.01,"TIES","DOES NOT TIE")</f>
        <v>TIES</v>
      </c>
    </row>
    <row r="58" spans="2:9" ht="15" customHeight="1" x14ac:dyDescent="0.3">
      <c r="B58" s="1" t="s">
        <v>1750</v>
      </c>
      <c r="C58" s="1"/>
      <c r="D58" s="74">
        <f>IF(D38&gt;=0,0,1)</f>
        <v>0</v>
      </c>
      <c r="E58" s="74">
        <f>IF(E38&gt;=0,0,1)</f>
        <v>0</v>
      </c>
      <c r="F58" s="74">
        <f>IF(F38&gt;=0,0,1)</f>
        <v>0</v>
      </c>
      <c r="G58" s="74">
        <f>IF(G38&gt;=0,0,1)</f>
        <v>0</v>
      </c>
      <c r="H58" s="74">
        <f>IF(H38&gt;=0,0,1)</f>
        <v>0</v>
      </c>
      <c r="I58" s="1" t="str" cm="1">
        <f t="array" ref="I58">IF(SUMPRODUCT(ABS(D58:H58))&lt;0.01,"TIES","DOES NOT TIE")</f>
        <v>TIES</v>
      </c>
    </row>
    <row r="59" spans="2:9" ht="15" customHeight="1" x14ac:dyDescent="0.3">
      <c r="B59" s="1" t="s">
        <v>1751</v>
      </c>
      <c r="C59" s="1"/>
      <c r="D59" s="369">
        <f>IF(OR('16 Scenarios'!D6=1,'16 Scenarios'!D6=2,'16 Scenarios'!D6=3),0,1)</f>
        <v>0</v>
      </c>
      <c r="E59" s="74">
        <f>D59</f>
        <v>0</v>
      </c>
      <c r="F59" s="74">
        <f>D59</f>
        <v>0</v>
      </c>
      <c r="G59" s="74">
        <f>D59</f>
        <v>0</v>
      </c>
      <c r="H59" s="74">
        <f>D59</f>
        <v>0</v>
      </c>
      <c r="I59" s="1" t="str" cm="1">
        <f t="array" ref="I59">IF(SUMPRODUCT(ABS(D59:H59))&lt;0.01,"TIES","DOES NOT TIE")</f>
        <v>TIES</v>
      </c>
    </row>
    <row r="60" spans="2:9" ht="15" customHeight="1" x14ac:dyDescent="0.3">
      <c r="B60" s="1"/>
      <c r="C60" s="1"/>
      <c r="D60" s="1"/>
      <c r="E60" s="1"/>
      <c r="F60" s="1"/>
      <c r="G60" s="1"/>
      <c r="H60" s="1"/>
      <c r="I60" s="1"/>
    </row>
    <row r="61" spans="2:9" ht="55.95" customHeight="1" x14ac:dyDescent="0.3">
      <c r="B61" s="646" t="s">
        <v>1752</v>
      </c>
      <c r="C61" s="647"/>
      <c r="D61" s="647"/>
      <c r="E61" s="647"/>
      <c r="F61" s="647"/>
      <c r="G61" s="647"/>
      <c r="H61" s="647"/>
      <c r="I61" s="1"/>
    </row>
  </sheetData>
  <mergeCells count="6">
    <mergeCell ref="B61:H61"/>
    <mergeCell ref="B2:H2"/>
    <mergeCell ref="B3:H3"/>
    <mergeCell ref="B26:H26"/>
    <mergeCell ref="B43:H43"/>
    <mergeCell ref="B51:H51"/>
  </mergeCells>
  <conditionalFormatting sqref="I52:I59">
    <cfRule type="expression" dxfId="8" priority="1">
      <formula>I52="TIES"</formula>
    </cfRule>
  </conditionalFormatting>
  <printOptions horizontalCentered="1"/>
  <pageMargins left="0.30000000000000004" right="0.30000000000000004" top="0.30000000000000004" bottom="0.30000000000000004" header="0.3" footer="0.3"/>
  <pageSetup scale="90" fitToHeight="0" orientation="landscape"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94A6-612A-443B-834D-DED6A2039D79}">
  <sheetPr>
    <tabColor rgb="FF002F6C"/>
  </sheetPr>
  <dimension ref="B2:L28"/>
  <sheetViews>
    <sheetView showGridLines="0" workbookViewId="0">
      <pane ySplit="5" topLeftCell="A21" activePane="bottomLeft" state="frozen"/>
      <selection pane="bottomLeft" activeCell="D19" sqref="D19"/>
    </sheetView>
  </sheetViews>
  <sheetFormatPr defaultRowHeight="14.4" x14ac:dyDescent="0.3"/>
  <cols>
    <col min="2" max="2" width="48.109375" customWidth="1"/>
    <col min="3" max="3" width="2.21875" customWidth="1"/>
    <col min="4" max="12" width="15.5546875" customWidth="1"/>
  </cols>
  <sheetData>
    <row r="2" spans="2:12" ht="28.05" customHeight="1" thickBot="1" x14ac:dyDescent="0.45">
      <c r="B2" s="396" t="s">
        <v>1821</v>
      </c>
      <c r="C2" s="396"/>
      <c r="D2" s="396"/>
      <c r="E2" s="396"/>
      <c r="F2" s="396"/>
      <c r="G2" s="396"/>
      <c r="H2" s="396"/>
      <c r="I2" s="396"/>
      <c r="J2" s="396"/>
      <c r="K2" s="396"/>
      <c r="L2" s="396"/>
    </row>
    <row r="3" spans="2:12" ht="15" thickBot="1" x14ac:dyDescent="0.35">
      <c r="B3" s="80" t="str">
        <f>"Live output. Currently running: "&amp;'16 Scenarios'!F6&amp;".  Change '16 Scenarios'!D6 to switch case."</f>
        <v>Live output. Currently running: BASE CASE.  Change '16 Scenarios'!D6 to switch case.</v>
      </c>
      <c r="C3" s="4"/>
      <c r="D3" s="4"/>
      <c r="E3" s="4"/>
      <c r="F3" s="4"/>
      <c r="G3" s="4"/>
      <c r="H3" s="4"/>
      <c r="I3" s="4"/>
      <c r="J3" s="4"/>
      <c r="K3" s="4"/>
      <c r="L3" s="4"/>
    </row>
    <row r="4" spans="2:12" x14ac:dyDescent="0.3">
      <c r="B4" s="1"/>
      <c r="C4" s="1"/>
      <c r="D4" s="1"/>
      <c r="E4" s="1"/>
      <c r="F4" s="1"/>
      <c r="G4" s="1"/>
      <c r="H4" s="1"/>
      <c r="I4" s="1"/>
      <c r="J4" s="1"/>
      <c r="K4" s="1"/>
      <c r="L4" s="1"/>
    </row>
    <row r="5" spans="2:12" ht="18" customHeight="1" x14ac:dyDescent="0.3">
      <c r="B5" s="16"/>
      <c r="C5" s="16"/>
      <c r="D5" s="90" t="s">
        <v>7</v>
      </c>
      <c r="E5" s="90" t="s">
        <v>8</v>
      </c>
      <c r="F5" s="90" t="s">
        <v>9</v>
      </c>
      <c r="G5" s="90" t="s">
        <v>11</v>
      </c>
      <c r="H5" s="90" t="s">
        <v>973</v>
      </c>
      <c r="I5" s="90" t="s">
        <v>974</v>
      </c>
      <c r="J5" s="90" t="s">
        <v>975</v>
      </c>
      <c r="K5" s="90" t="s">
        <v>976</v>
      </c>
      <c r="L5" s="90" t="s">
        <v>977</v>
      </c>
    </row>
    <row r="6" spans="2:12" x14ac:dyDescent="0.3">
      <c r="B6" s="2" t="s">
        <v>13</v>
      </c>
      <c r="C6" s="1"/>
      <c r="D6" s="48">
        <f>'17 Model'!H18</f>
        <v>307394</v>
      </c>
      <c r="E6" s="48">
        <f>'17 Model'!I18</f>
        <v>350018</v>
      </c>
      <c r="F6" s="48">
        <f>'17 Model'!J18</f>
        <v>402836</v>
      </c>
      <c r="G6" s="48">
        <f>'17 Model'!K18</f>
        <v>445866</v>
      </c>
      <c r="H6" s="48">
        <f>'17 Model'!L18</f>
        <v>489947.98499999993</v>
      </c>
      <c r="I6" s="48">
        <f>'17 Model'!M18</f>
        <v>593994.89907999989</v>
      </c>
      <c r="J6" s="48">
        <f>'17 Model'!N18</f>
        <v>713196.90078011691</v>
      </c>
      <c r="K6" s="48">
        <f>'17 Model'!O18</f>
        <v>834766.04286484257</v>
      </c>
      <c r="L6" s="48">
        <f>'17 Model'!P18</f>
        <v>954410.96910159488</v>
      </c>
    </row>
    <row r="7" spans="2:12" x14ac:dyDescent="0.3">
      <c r="B7" s="1" t="s">
        <v>1048</v>
      </c>
      <c r="C7" s="1"/>
      <c r="D7" s="86">
        <f>'17 Model'!H19</f>
        <v>0</v>
      </c>
      <c r="E7" s="86">
        <f>'17 Model'!I19</f>
        <v>0.13866243322901561</v>
      </c>
      <c r="F7" s="86">
        <f>'17 Model'!J19</f>
        <v>0.15090081081544371</v>
      </c>
      <c r="G7" s="86">
        <f>'17 Model'!K19</f>
        <v>0</v>
      </c>
      <c r="H7" s="86">
        <f>'17 Model'!L19</f>
        <v>0.2162467728802786</v>
      </c>
      <c r="I7" s="86">
        <f>'17 Model'!M19</f>
        <v>0.21236318398166287</v>
      </c>
      <c r="J7" s="86">
        <f>'17 Model'!N19</f>
        <v>0.20067849384690217</v>
      </c>
      <c r="K7" s="86">
        <f>'17 Model'!O19</f>
        <v>0.17045663259578037</v>
      </c>
      <c r="L7" s="86">
        <f>'17 Model'!P19</f>
        <v>0.14332749548141854</v>
      </c>
    </row>
    <row r="8" spans="2:12" x14ac:dyDescent="0.3">
      <c r="B8" s="1" t="s">
        <v>20</v>
      </c>
      <c r="C8" s="1"/>
      <c r="D8" s="47">
        <f>'17 Model'!H24</f>
        <v>84293</v>
      </c>
      <c r="E8" s="47">
        <f>'17 Model'!I24</f>
        <v>112390</v>
      </c>
      <c r="F8" s="47">
        <f>'17 Model'!J24</f>
        <v>129039</v>
      </c>
      <c r="G8" s="47">
        <f>'17 Model'!K24</f>
        <v>147628</v>
      </c>
      <c r="H8" s="47">
        <f>'17 Model'!L24</f>
        <v>171642.66036034166</v>
      </c>
      <c r="I8" s="47">
        <f>'17 Model'!M24</f>
        <v>199232.4853813044</v>
      </c>
      <c r="J8" s="47">
        <f>'17 Model'!N24</f>
        <v>224357.14998307958</v>
      </c>
      <c r="K8" s="47">
        <f>'17 Model'!O24</f>
        <v>248267.23585381839</v>
      </c>
      <c r="L8" s="47">
        <f>'17 Model'!P24</f>
        <v>272632.85160756833</v>
      </c>
    </row>
    <row r="9" spans="2:12" x14ac:dyDescent="0.3">
      <c r="B9" s="1" t="s">
        <v>21</v>
      </c>
      <c r="C9" s="1"/>
      <c r="D9" s="86">
        <f>'17 Model'!H25</f>
        <v>0.27421810445226646</v>
      </c>
      <c r="E9" s="86">
        <f>'17 Model'!I25</f>
        <v>0.32109777211457696</v>
      </c>
      <c r="F9" s="86">
        <f>'17 Model'!J25</f>
        <v>0.32032638592380025</v>
      </c>
      <c r="G9" s="86">
        <f>'17 Model'!K25</f>
        <v>0.33110396397123798</v>
      </c>
      <c r="H9" s="86">
        <f>'17 Model'!L25</f>
        <v>0.35032833201741137</v>
      </c>
      <c r="I9" s="86">
        <f>'17 Model'!M25</f>
        <v>0.33541110485945697</v>
      </c>
      <c r="J9" s="86">
        <f>'17 Model'!N25</f>
        <v>0.31457953580234399</v>
      </c>
      <c r="K9" s="86">
        <f>'17 Model'!O25</f>
        <v>0.29740936155211511</v>
      </c>
      <c r="L9" s="86">
        <f>'17 Model'!P25</f>
        <v>0.28565561423105057</v>
      </c>
    </row>
    <row r="10" spans="2:12" x14ac:dyDescent="0.3">
      <c r="B10" s="2" t="s">
        <v>1049</v>
      </c>
      <c r="C10" s="1"/>
      <c r="D10" s="47">
        <f>'17 Model'!H33</f>
        <v>73795</v>
      </c>
      <c r="E10" s="47">
        <f>'17 Model'!I33</f>
        <v>100118</v>
      </c>
      <c r="F10" s="47">
        <f>'17 Model'!J33</f>
        <v>132170</v>
      </c>
      <c r="G10" s="47">
        <f>'17 Model'!K33</f>
        <v>244205</v>
      </c>
      <c r="H10" s="47">
        <f>'17 Model'!L33</f>
        <v>253901.55731528474</v>
      </c>
      <c r="I10" s="47">
        <f>'17 Model'!M33</f>
        <v>169816.54292704797</v>
      </c>
      <c r="J10" s="47">
        <f>'17 Model'!N33</f>
        <v>191060.89501490523</v>
      </c>
      <c r="K10" s="47">
        <f>'17 Model'!O33</f>
        <v>211286.36141932677</v>
      </c>
      <c r="L10" s="47">
        <f>'17 Model'!P33</f>
        <v>231893.96268608133</v>
      </c>
    </row>
    <row r="11" spans="2:12" x14ac:dyDescent="0.3">
      <c r="B11" s="1" t="s">
        <v>1026</v>
      </c>
      <c r="C11" s="1"/>
      <c r="D11" s="87">
        <f>'17 Model'!H38</f>
        <v>5.800581669548813</v>
      </c>
      <c r="E11" s="87">
        <f>'17 Model'!I38</f>
        <v>8.0435446292279256</v>
      </c>
      <c r="F11" s="87">
        <f>'17 Model'!J38</f>
        <v>10.807031888798038</v>
      </c>
      <c r="G11" s="87">
        <f>'17 Model'!K38</f>
        <v>19.920466595970307</v>
      </c>
      <c r="H11" s="87">
        <f>'17 Model'!L38</f>
        <v>20.553247614776289</v>
      </c>
      <c r="I11" s="87">
        <f>'17 Model'!M38</f>
        <v>13.602702520535706</v>
      </c>
      <c r="J11" s="87">
        <f>'17 Model'!N38</f>
        <v>15.172883850422677</v>
      </c>
      <c r="K11" s="87">
        <f>'17 Model'!O38</f>
        <v>16.613404518839797</v>
      </c>
      <c r="L11" s="87">
        <f>'17 Model'!P38</f>
        <v>18.03512719900743</v>
      </c>
    </row>
    <row r="12" spans="2:12" x14ac:dyDescent="0.3">
      <c r="B12" s="1" t="s">
        <v>1050</v>
      </c>
      <c r="C12" s="1"/>
      <c r="D12" s="47">
        <f>'17 Model'!H46</f>
        <v>73485.320000000007</v>
      </c>
      <c r="E12" s="47">
        <f>'17 Model'!I46</f>
        <v>97183.94</v>
      </c>
      <c r="F12" s="47">
        <f>'17 Model'!J46</f>
        <v>113146.8</v>
      </c>
      <c r="G12" s="47">
        <f>'17 Model'!K46</f>
        <v>126509.22</v>
      </c>
      <c r="H12" s="47">
        <f>'17 Model'!L46</f>
        <v>146504.21731528474</v>
      </c>
      <c r="I12" s="47">
        <f>'17 Model'!M46</f>
        <v>169816.54292704797</v>
      </c>
      <c r="J12" s="47">
        <f>'17 Model'!N46</f>
        <v>191060.89501490523</v>
      </c>
      <c r="K12" s="47">
        <f>'17 Model'!O46</f>
        <v>211286.36141932677</v>
      </c>
      <c r="L12" s="47">
        <f>'17 Model'!P46</f>
        <v>231893.96268608133</v>
      </c>
    </row>
    <row r="13" spans="2:12" x14ac:dyDescent="0.3">
      <c r="B13" s="2" t="s">
        <v>58</v>
      </c>
      <c r="C13" s="1"/>
      <c r="D13" s="87">
        <f>'17 Model'!H48</f>
        <v>5.7762395849709174</v>
      </c>
      <c r="E13" s="87">
        <f>'17 Model'!I48</f>
        <v>7.8078203583192742</v>
      </c>
      <c r="F13" s="87">
        <f>'17 Model'!J48</f>
        <v>9.2515780866721187</v>
      </c>
      <c r="G13" s="87">
        <f>'17 Model'!K48</f>
        <v>10.319701443837181</v>
      </c>
      <c r="H13" s="87">
        <f>'17 Model'!L48</f>
        <v>11.818616286237164</v>
      </c>
      <c r="I13" s="87">
        <f>'17 Model'!M48</f>
        <v>13.602702520535706</v>
      </c>
      <c r="J13" s="87">
        <f>'17 Model'!N48</f>
        <v>15.172883850422677</v>
      </c>
      <c r="K13" s="87">
        <f>'17 Model'!O48</f>
        <v>16.613404518839797</v>
      </c>
      <c r="L13" s="87">
        <f>'17 Model'!P48</f>
        <v>18.03512719900743</v>
      </c>
    </row>
    <row r="14" spans="2:12" x14ac:dyDescent="0.3">
      <c r="B14" s="1" t="s">
        <v>121</v>
      </c>
      <c r="C14" s="1"/>
      <c r="D14" s="47">
        <f>'17 Model'!H64</f>
        <v>11946</v>
      </c>
      <c r="E14" s="47">
        <f>'17 Model'!I64</f>
        <v>15311</v>
      </c>
      <c r="F14" s="47">
        <f>'17 Model'!J64</f>
        <v>21136</v>
      </c>
      <c r="G14" s="47">
        <f>'17 Model'!K64</f>
        <v>25237</v>
      </c>
      <c r="H14" s="47">
        <f>'17 Model'!L64</f>
        <v>29041.116021549999</v>
      </c>
      <c r="I14" s="47">
        <f>'17 Model'!M64</f>
        <v>47039.111221909829</v>
      </c>
      <c r="J14" s="47">
        <f>'17 Model'!N64</f>
        <v>74901.844207640097</v>
      </c>
      <c r="K14" s="47">
        <f>'17 Model'!O64</f>
        <v>106176.26897497583</v>
      </c>
      <c r="L14" s="47">
        <f>'17 Model'!P64</f>
        <v>137384.20790350105</v>
      </c>
    </row>
    <row r="15" spans="2:12" x14ac:dyDescent="0.3">
      <c r="B15" s="1" t="s">
        <v>113</v>
      </c>
      <c r="C15" s="1"/>
      <c r="D15" s="47">
        <f>'17 Model'!H75</f>
        <v>-32251</v>
      </c>
      <c r="E15" s="47">
        <f>'17 Model'!I75</f>
        <v>-52535</v>
      </c>
      <c r="F15" s="47">
        <f>'17 Model'!J75</f>
        <v>-91447</v>
      </c>
      <c r="G15" s="47">
        <f>'17 Model'!K75</f>
        <v>-132402</v>
      </c>
      <c r="H15" s="47">
        <f>'17 Model'!L75</f>
        <v>-200878.67384999996</v>
      </c>
      <c r="I15" s="47">
        <f>'17 Model'!M75</f>
        <v>-257199.79130163995</v>
      </c>
      <c r="J15" s="47">
        <f>'17 Model'!N75</f>
        <v>-263882.85328864324</v>
      </c>
      <c r="K15" s="47">
        <f>'17 Model'!O75</f>
        <v>-258777.4732881012</v>
      </c>
      <c r="L15" s="47">
        <f>'17 Model'!P75</f>
        <v>-238602.74227539872</v>
      </c>
    </row>
    <row r="16" spans="2:12" x14ac:dyDescent="0.3">
      <c r="B16" s="1" t="s">
        <v>112</v>
      </c>
      <c r="C16" s="1"/>
      <c r="D16" s="47">
        <f>'17 Model'!H74</f>
        <v>101746</v>
      </c>
      <c r="E16" s="47">
        <f>'17 Model'!I74</f>
        <v>125299</v>
      </c>
      <c r="F16" s="47">
        <f>'17 Model'!J74</f>
        <v>164713</v>
      </c>
      <c r="G16" s="47">
        <f>'17 Model'!K74</f>
        <v>185675</v>
      </c>
      <c r="H16" s="47">
        <f>'17 Model'!L74</f>
        <v>199742.21243683479</v>
      </c>
      <c r="I16" s="47">
        <f>'17 Model'!M74</f>
        <v>251307.35829559781</v>
      </c>
      <c r="J16" s="47">
        <f>'17 Model'!N74</f>
        <v>305901.76566623186</v>
      </c>
      <c r="K16" s="47">
        <f>'17 Model'!O74</f>
        <v>362539.9967090041</v>
      </c>
      <c r="L16" s="47">
        <f>'17 Model'!P74</f>
        <v>418907.54098286532</v>
      </c>
    </row>
    <row r="17" spans="2:12" x14ac:dyDescent="0.3">
      <c r="B17" s="2" t="s">
        <v>114</v>
      </c>
      <c r="C17" s="1"/>
      <c r="D17" s="48">
        <f>'17 Model'!H76</f>
        <v>69495</v>
      </c>
      <c r="E17" s="48">
        <f>'17 Model'!I76</f>
        <v>72764</v>
      </c>
      <c r="F17" s="48">
        <f>'17 Model'!J76</f>
        <v>73266</v>
      </c>
      <c r="G17" s="48">
        <f>'17 Model'!K76</f>
        <v>53273</v>
      </c>
      <c r="H17" s="48">
        <f>'17 Model'!L76</f>
        <v>-1136.4614131651761</v>
      </c>
      <c r="I17" s="48">
        <f>'17 Model'!M76</f>
        <v>-5892.4330060421489</v>
      </c>
      <c r="J17" s="48">
        <f>'17 Model'!N76</f>
        <v>42018.912377588626</v>
      </c>
      <c r="K17" s="48">
        <f>'17 Model'!O76</f>
        <v>103762.5234209029</v>
      </c>
      <c r="L17" s="48">
        <f>'17 Model'!P76</f>
        <v>180304.7987074666</v>
      </c>
    </row>
    <row r="18" spans="2:12" x14ac:dyDescent="0.3">
      <c r="B18" s="1" t="s">
        <v>115</v>
      </c>
      <c r="C18" s="1"/>
      <c r="D18" s="86">
        <f>'17 Model'!H77</f>
        <v>0.22607793255561268</v>
      </c>
      <c r="E18" s="86">
        <f>'17 Model'!I77</f>
        <v>0.20788645155392008</v>
      </c>
      <c r="F18" s="86">
        <f>'17 Model'!J77</f>
        <v>0.18187550268595656</v>
      </c>
      <c r="G18" s="86">
        <f>'17 Model'!K77</f>
        <v>0.11948208654618203</v>
      </c>
      <c r="H18" s="86">
        <f>'17 Model'!L77</f>
        <v>-2.3195552343483485E-3</v>
      </c>
      <c r="I18" s="86">
        <f>'17 Model'!M77</f>
        <v>-9.9200060727264762E-3</v>
      </c>
      <c r="J18" s="86">
        <f>'17 Model'!N77</f>
        <v>5.8916285715245029E-2</v>
      </c>
      <c r="K18" s="86">
        <f>'17 Model'!O77</f>
        <v>0.12430132287700536</v>
      </c>
      <c r="L18" s="86">
        <f>'17 Model'!P77</f>
        <v>0.18891735797755019</v>
      </c>
    </row>
    <row r="19" spans="2:12" x14ac:dyDescent="0.3">
      <c r="B19" s="2" t="s">
        <v>1046</v>
      </c>
      <c r="C19" s="1"/>
      <c r="D19" s="88">
        <f>'17 Model'!H83</f>
        <v>23.870019920048787</v>
      </c>
      <c r="E19" s="88">
        <f>'17 Model'!I83</f>
        <v>23.39764477916059</v>
      </c>
      <c r="F19" s="88">
        <f>'17 Model'!J83</f>
        <v>28.906179163198907</v>
      </c>
      <c r="G19" s="88">
        <f>'17 Model'!K83</f>
        <v>17.097491083311152</v>
      </c>
      <c r="H19" s="88">
        <f>'17 Model'!L83</f>
        <v>16.571103816953023</v>
      </c>
      <c r="I19" s="88">
        <f>'17 Model'!M83</f>
        <v>25.038406852301492</v>
      </c>
      <c r="J19" s="88">
        <f>'17 Model'!N83</f>
        <v>22.447281832353315</v>
      </c>
      <c r="K19" s="88">
        <f>'17 Model'!O83</f>
        <v>20.500915367092091</v>
      </c>
      <c r="L19" s="88">
        <f>'17 Model'!P83</f>
        <v>18.884812745803337</v>
      </c>
    </row>
    <row r="20" spans="2:12" x14ac:dyDescent="0.3">
      <c r="B20" s="2" t="s">
        <v>1047</v>
      </c>
      <c r="C20" s="1"/>
      <c r="D20" s="89">
        <f>'17 Model'!H84</f>
        <v>23.970612361761503</v>
      </c>
      <c r="E20" s="89">
        <f>'17 Model'!I84</f>
        <v>24.104038177501341</v>
      </c>
      <c r="F20" s="89">
        <f>'17 Model'!J84</f>
        <v>33.766131256031983</v>
      </c>
      <c r="G20" s="89">
        <f>'17 Model'!K84</f>
        <v>33.003861773869126</v>
      </c>
      <c r="H20" s="89">
        <f>'17 Model'!L84</f>
        <v>28.818094415724342</v>
      </c>
      <c r="I20" s="89">
        <f>'17 Model'!M84</f>
        <v>25.038406852301492</v>
      </c>
      <c r="J20" s="89">
        <f>'17 Model'!N84</f>
        <v>22.447281832353315</v>
      </c>
      <c r="K20" s="89">
        <f>'17 Model'!O84</f>
        <v>20.500915367092091</v>
      </c>
      <c r="L20" s="89">
        <f>'17 Model'!P84</f>
        <v>18.884812745803337</v>
      </c>
    </row>
    <row r="21" spans="2:12" ht="40.049999999999997" customHeight="1" x14ac:dyDescent="0.3">
      <c r="B21" s="665" t="s">
        <v>1460</v>
      </c>
      <c r="C21" s="676"/>
      <c r="D21" s="676"/>
      <c r="E21" s="676"/>
      <c r="F21" s="676"/>
      <c r="G21" s="676"/>
      <c r="H21" s="676"/>
      <c r="I21" s="676"/>
      <c r="J21" s="676"/>
      <c r="K21" s="676"/>
      <c r="L21" s="676"/>
    </row>
    <row r="22" spans="2:12" x14ac:dyDescent="0.3">
      <c r="B22" s="1"/>
      <c r="C22" s="1"/>
      <c r="D22" s="1"/>
      <c r="E22" s="1"/>
      <c r="F22" s="1"/>
      <c r="G22" s="1"/>
      <c r="H22" s="1"/>
      <c r="I22" s="1"/>
      <c r="J22" s="1"/>
      <c r="K22" s="1"/>
      <c r="L22" s="1"/>
    </row>
    <row r="23" spans="2:12" ht="24" customHeight="1" x14ac:dyDescent="0.3">
      <c r="B23" s="675" t="s">
        <v>1051</v>
      </c>
      <c r="C23" s="675"/>
      <c r="D23" s="675"/>
      <c r="E23" s="675"/>
      <c r="F23" s="675"/>
      <c r="G23" s="675"/>
      <c r="H23" s="675"/>
      <c r="I23" s="675"/>
      <c r="J23" s="675"/>
      <c r="K23" s="675"/>
      <c r="L23" s="675"/>
    </row>
    <row r="24" spans="2:12" ht="54" customHeight="1" x14ac:dyDescent="0.3">
      <c r="B24" s="677" t="str">
        <f>"Reported TTM EPS of $"&amp;TEXT($G$11,"0.00")&amp;" overstates earning power. Stripping the "&amp;TEXT('17 Model'!$K$28,"#,##0")&amp;" equity-securities mark-to-market gain leaves core EPS of $"&amp;TEXT($G$13,"0.00")&amp;". At "&amp;TEXT('11 Valuation'!$C$6,"$0.00")&amp;" that is "&amp;TEXT($G$19,"0.0")&amp;"x trailing reported earnings but "&amp;TEXT($G$20,"0.0")&amp;"x trailing core earnings - the multiple the business actually has to grow into."</f>
        <v>Reported TTM EPS of $19.92 overstates earning power. Stripping the 148,982 equity-securities mark-to-market gain leaves core EPS of $10.32. At $340.59 that is 17.1x trailing reported earnings but 33.0x trailing core earnings - the multiple the business actually has to grow into.</v>
      </c>
      <c r="C24" s="678"/>
      <c r="D24" s="678"/>
      <c r="E24" s="678"/>
      <c r="F24" s="678"/>
      <c r="G24" s="678"/>
      <c r="H24" s="678"/>
      <c r="I24" s="678"/>
      <c r="J24" s="678"/>
      <c r="K24" s="678"/>
      <c r="L24" s="678"/>
    </row>
    <row r="25" spans="2:12" ht="70.05" customHeight="1" x14ac:dyDescent="0.3">
      <c r="B25" s="679" t="str">
        <f>"Depreciation is the delayed cost of the capex build. It rises from "&amp;TEXT($G$14,"#,##0")&amp;" (TTM Jun'26) to "&amp;TEXT($I$14,"#,##0")&amp;" by FY2027E ("&amp;TEXT($I$14/$G$14,"0.0")&amp;"x) and to "&amp;TEXT($L$14,"#,##0")&amp;" by FY2030E ("&amp;TEXT($L$14/$G$14,"0.0")&amp;"x), because "&amp;TEXT('15 Assumptions'!$C$36,"#,##0")&amp;" of assets were not yet in service at Jun'26 and the build keeps adding to that queue. The input, operating margin before the depreciation ramp, runs from "&amp;TEXT('16 Scenarios'!$C$25,"0.0%")&amp;" in FY2026E to "&amp;TEXT('16 Scenarios'!$G$25,"0.0%")&amp;" in FY2030E. The output is reported operating margin, which "&amp;CHOOSE(SIGN(ROUND('17 Model'!$P$25-'17 Model'!$L$25,4))+2,"compresses from ","holds at ","expands from ")&amp;TEXT('17 Model'!$L$25,"0.0%")&amp;IF(ROUND('17 Model'!$P$25-'17 Model'!$L$25,4)=0,""," to "&amp;TEXT('17 Model'!$P$25,"0.0%"))&amp;" over the same years. The ramp adds "&amp;TEXT(('17 Model'!$P$26/'17 Model'!$P$23-'17 Model'!$L$26/'17 Model'!$L$23)*100,"0.0")&amp;" points of revenue in depreciation between FY2026E and FY2030E; "&amp;IF(('16 Scenarios'!$G$25-'16 Scenarios'!$C$25)&gt;=0,"the "&amp;TEXT(('16 Scenarios'!$G$25-'16 Scenarios'!$C$25)*100,"0.0")&amp;" points of pre-ramp expansion absorb "&amp;TEXT(MIN(1,('16 Scenarios'!$G$25-'16 Scenarios'!$C$25)/('17 Model'!$P$26/'17 Model'!$P$23-'17 Model'!$L$26/'17 Model'!$L$23)),"0%")&amp;" of it and "&amp;TEXT(MAX(0,('17 Model'!$P$26/'17 Model'!$P$23-'17 Model'!$L$26/'17 Model'!$L$23)-('16 Scenarios'!$G$25-'16 Scenarios'!$C$25))*100,"0.0")&amp;" points pass through to reported margin.","the pre-ramp margin also falls "&amp;TEXT(-('16 Scenarios'!$G$25-'16 Scenarios'!$C$25)*100,"0.0")&amp;" points, so the whole ramp passes through and reported margin falls "&amp;TEXT((('17 Model'!$P$26/'17 Model'!$P$23-'17 Model'!$L$26/'17 Model'!$L$23)-('16 Scenarios'!$G$25-'16 Scenarios'!$C$25))*100,"0.0")&amp;" points.")</f>
        <v>Depreciation is the delayed cost of the capex build. It rises from 25,237 (TTM Jun'26) to 47,039 by FY2027E (1.9x) and to 137,384 by FY2030E (5.4x), because 122,814 of assets were not yet in service at Jun'26 and the build keeps adding to that queue. The input, operating margin before the depreciation ramp, runs from 35.3% in FY2026E to 37.3% in FY2030E. The output is reported operating margin, which compresses from 35.0% to 28.6% over the same years. The ramp adds 8.5 points of revenue in depreciation between FY2026E and FY2030E; the 2.0 points of pre-ramp expansion absorb 24% of it and 6.5 points pass through to reported margin.</v>
      </c>
      <c r="C25" s="680"/>
      <c r="D25" s="680"/>
      <c r="E25" s="680"/>
      <c r="F25" s="680"/>
      <c r="G25" s="680"/>
      <c r="H25" s="680"/>
      <c r="I25" s="680"/>
      <c r="J25" s="680"/>
      <c r="K25" s="680"/>
      <c r="L25" s="680"/>
    </row>
    <row r="26" spans="2:12" ht="54" customHeight="1" x14ac:dyDescent="0.3">
      <c r="B26" s="681" t="str" cm="1">
        <f t="array" ref="B26">"Free cash flow compresses to "&amp;TEXT($H$17,"#,##0")&amp;" in FY2026E, down from "&amp;TEXT($D$17,"#,##0")&amp;" in FY2023, as capex outruns operating cash flow. "&amp;IF(MAX($H$17:$L$17)&gt;$D$17,"It first exceeds the FY2023 level in "&amp;INDEX($H$5:$L$5,MATCH(TRUE,INDEX($H$17:$L$17&gt;$D$17,0),0))&amp;".","It does not exceed the FY2023 level within the modeled period through "&amp;$L$5&amp;".")&amp;" It reaches "&amp;TEXT($L$17,"#,##0")&amp;" by FY2030E. The recovery path depends on capex plateauing on schedule."</f>
        <v>Free cash flow compresses to -1,136 in FY2026E, down from 69,495 in FY2023, as capex outruns operating cash flow. It first exceeds the FY2023 level in FY2029E. It reaches 180,305 by FY2030E. The recovery path depends on capex plateauing on schedule.</v>
      </c>
      <c r="C26" s="682"/>
      <c r="D26" s="682"/>
      <c r="E26" s="682"/>
      <c r="F26" s="682"/>
      <c r="G26" s="682"/>
      <c r="H26" s="682"/>
      <c r="I26" s="682"/>
      <c r="J26" s="682"/>
      <c r="K26" s="682"/>
      <c r="L26" s="682"/>
    </row>
    <row r="27" spans="2:12" ht="54" customHeight="1" x14ac:dyDescent="0.3">
      <c r="B27" s="679" t="str" cm="1">
        <f t="array" ref="B27">IF('16 Scenarios'!$D$6=3,"This IS the downside case. Capex stays elevated while revenue growth decelerates and the asset mix skews to short-lived servers. FY2026E FCF is "&amp;TEXT($H$17,"#,##0")&amp;" and FY2030E FCF is "&amp;TEXT($L$17,"#,##0")&amp;IF(MAX($H$17:$L$17)&gt;$D$17,"; it first clears the FY2023 level in "&amp;INDEX($H$5:$L$5,MATCH(TRUE,INDEX($H$17:$L$17&gt;$D$17,0),0)),"; it does not clear the FY2023 level by "&amp;$L$5)&amp;". Set '16 Scenarios'!D6 to 1 or 2 to compare.","The block above renders the "&amp;'16 Scenarios'!$F$6&amp;". The downside is not shown here - set '16 Scenarios'!D6 to 3 to run it, where capex stays elevated, growth decelerates and margin compresses, so free cash flow recovers materially later than above.")</f>
        <v>The block above renders the BASE CASE. The downside is not shown here - set '16 Scenarios'!D6 to 3 to run it, where capex stays elevated, growth decelerates and margin compresses, so free cash flow recovers materially later than above.</v>
      </c>
      <c r="C27" s="680"/>
      <c r="D27" s="680"/>
      <c r="E27" s="680"/>
      <c r="F27" s="680"/>
      <c r="G27" s="680"/>
      <c r="H27" s="680"/>
      <c r="I27" s="680"/>
      <c r="J27" s="680"/>
      <c r="K27" s="680"/>
      <c r="L27" s="680"/>
    </row>
    <row r="28" spans="2:12" ht="54" customHeight="1" x14ac:dyDescent="0.3">
      <c r="B28" s="673" t="s">
        <v>1830</v>
      </c>
      <c r="C28" s="674"/>
      <c r="D28" s="674"/>
      <c r="E28" s="674"/>
      <c r="F28" s="674"/>
      <c r="G28" s="674"/>
      <c r="H28" s="674"/>
      <c r="I28" s="674"/>
      <c r="J28" s="674"/>
      <c r="K28" s="674"/>
      <c r="L28" s="674"/>
    </row>
  </sheetData>
  <mergeCells count="7">
    <mergeCell ref="B28:L28"/>
    <mergeCell ref="B23:L23"/>
    <mergeCell ref="B21:L21"/>
    <mergeCell ref="B24:L24"/>
    <mergeCell ref="B25:L25"/>
    <mergeCell ref="B26:L26"/>
    <mergeCell ref="B27:L2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BD99-6220-4584-90E2-2498497DB17D}">
  <sheetPr>
    <tabColor rgb="FF002F6C"/>
    <pageSetUpPr fitToPage="1"/>
  </sheetPr>
  <dimension ref="B2:N188"/>
  <sheetViews>
    <sheetView showGridLines="0" workbookViewId="0">
      <pane xSplit="2" ySplit="7" topLeftCell="C133" activePane="bottomRight" state="frozen"/>
      <selection pane="topRight" activeCell="C1" sqref="C1"/>
      <selection pane="bottomLeft" activeCell="A8" sqref="A8"/>
      <selection pane="bottomRight" activeCell="B35" sqref="B35:G35"/>
    </sheetView>
  </sheetViews>
  <sheetFormatPr defaultRowHeight="14.4" x14ac:dyDescent="0.3"/>
  <cols>
    <col min="2" max="2" width="38.88671875" customWidth="1"/>
    <col min="3" max="5" width="14.44140625" customWidth="1"/>
    <col min="6" max="6" width="8.77734375" customWidth="1"/>
    <col min="7" max="7" width="27.77734375" customWidth="1"/>
    <col min="8" max="8" width="15.77734375" customWidth="1"/>
    <col min="9" max="9" width="44.44140625" customWidth="1"/>
    <col min="10" max="10" width="3.33203125" customWidth="1"/>
  </cols>
  <sheetData>
    <row r="2" spans="2:14" ht="28.05" customHeight="1" thickBot="1" x14ac:dyDescent="0.45">
      <c r="B2" s="648" t="s">
        <v>1822</v>
      </c>
      <c r="C2" s="648"/>
      <c r="D2" s="648"/>
      <c r="E2" s="648"/>
      <c r="F2" s="648"/>
      <c r="G2" s="648"/>
      <c r="H2" s="648"/>
      <c r="I2" s="648"/>
      <c r="J2" s="648"/>
      <c r="K2" s="1"/>
      <c r="L2" s="1"/>
      <c r="M2" s="1"/>
      <c r="N2" s="1"/>
    </row>
    <row r="3" spans="2:14" ht="24" customHeight="1" x14ac:dyDescent="0.3">
      <c r="B3" s="649" t="s">
        <v>1753</v>
      </c>
      <c r="C3" s="649"/>
      <c r="D3" s="649"/>
      <c r="E3" s="649"/>
      <c r="F3" s="649"/>
      <c r="G3" s="649"/>
      <c r="H3" s="649"/>
      <c r="I3" s="649"/>
      <c r="J3" s="649"/>
      <c r="K3" s="1"/>
      <c r="L3" s="1"/>
      <c r="M3" s="1"/>
      <c r="N3" s="1"/>
    </row>
    <row r="4" spans="2:14" ht="15" customHeight="1" x14ac:dyDescent="0.3">
      <c r="B4" s="1"/>
      <c r="C4" s="1"/>
      <c r="D4" s="1"/>
      <c r="E4" s="1"/>
      <c r="F4" s="1"/>
      <c r="G4" s="1"/>
      <c r="H4" s="1"/>
      <c r="I4" s="1"/>
      <c r="J4" s="1"/>
      <c r="K4" s="1"/>
      <c r="L4" s="1"/>
      <c r="M4" s="1"/>
      <c r="N4" s="1"/>
    </row>
    <row r="5" spans="2:14" ht="15" customHeight="1" x14ac:dyDescent="0.3">
      <c r="B5" s="365" t="s">
        <v>1619</v>
      </c>
      <c r="C5" s="365" t="s">
        <v>1620</v>
      </c>
      <c r="D5" s="365" t="s">
        <v>1621</v>
      </c>
      <c r="E5" s="365" t="s">
        <v>1622</v>
      </c>
      <c r="F5" s="1"/>
      <c r="G5" s="683" t="s">
        <v>1640</v>
      </c>
      <c r="H5" s="683"/>
      <c r="I5" s="683"/>
      <c r="J5" s="683"/>
      <c r="K5" s="1"/>
      <c r="L5" s="1"/>
      <c r="M5" s="1"/>
      <c r="N5" s="1"/>
    </row>
    <row r="6" spans="2:14" ht="15" customHeight="1" x14ac:dyDescent="0.3">
      <c r="B6" s="1" t="s">
        <v>1623</v>
      </c>
      <c r="C6" s="1" t="s">
        <v>1624</v>
      </c>
      <c r="D6" s="1" t="s">
        <v>1625</v>
      </c>
      <c r="E6" s="1" t="s">
        <v>1626</v>
      </c>
      <c r="F6" s="1"/>
      <c r="G6" s="1"/>
      <c r="H6" s="1"/>
      <c r="I6" s="1"/>
      <c r="J6" s="1"/>
      <c r="K6" s="1"/>
      <c r="L6" s="1"/>
      <c r="M6" s="1"/>
      <c r="N6" s="1"/>
    </row>
    <row r="7" spans="2:14" x14ac:dyDescent="0.3">
      <c r="B7" s="1"/>
      <c r="C7" s="1"/>
      <c r="D7" s="1"/>
      <c r="E7" s="1"/>
      <c r="F7" s="1"/>
      <c r="G7" s="365" t="s">
        <v>1578</v>
      </c>
      <c r="H7" s="365" t="s">
        <v>150</v>
      </c>
      <c r="I7" s="365" t="s">
        <v>12</v>
      </c>
      <c r="J7" s="1"/>
      <c r="K7" s="1"/>
      <c r="L7" s="1"/>
      <c r="M7" s="1"/>
      <c r="N7" s="1"/>
    </row>
    <row r="8" spans="2:14" x14ac:dyDescent="0.3">
      <c r="B8" s="365" t="s">
        <v>1754</v>
      </c>
      <c r="C8" s="365" t="s">
        <v>1620</v>
      </c>
      <c r="D8" s="365" t="s">
        <v>1621</v>
      </c>
      <c r="E8" s="365" t="s">
        <v>1622</v>
      </c>
      <c r="F8" s="1"/>
      <c r="G8" s="1" t="s">
        <v>1641</v>
      </c>
      <c r="H8" s="368">
        <f>'11 Valuation'!C57</f>
        <v>4.9599999999999998E-2</v>
      </c>
      <c r="I8" s="381" t="s">
        <v>1654</v>
      </c>
      <c r="J8" s="1"/>
      <c r="K8" s="1"/>
      <c r="L8" s="1"/>
      <c r="M8" s="1"/>
      <c r="N8" s="1"/>
    </row>
    <row r="9" spans="2:14" ht="27" x14ac:dyDescent="0.3">
      <c r="B9" s="1" t="s">
        <v>1755</v>
      </c>
      <c r="C9" s="371">
        <f>('DCF Base Model'!L24*(1-$H$14)+'DCF Base Model'!L64+'DCF Base Model'!L23*'15 Assumptions'!$C$57+'15 Assumptions'!$C$59+'DCF Base Model'!L75)-$H$20</f>
        <v>-33539.290177967458</v>
      </c>
      <c r="D9" s="371">
        <f>('DCF Best Model'!L24*(1-$H$14)+'DCF Best Model'!L64+'DCF Best Model'!L23*'15 Assumptions'!$C$57+'15 Assumptions'!$C$59+'DCF Best Model'!L75)-$H$20</f>
        <v>-27259.73959117537</v>
      </c>
      <c r="E9" s="371">
        <f>('DCF Worst Model'!L24*(1-$H$14)+'DCF Worst Model'!L64+'DCF Worst Model'!L23*'15 Assumptions'!$C$57+'15 Assumptions'!$C$59+'DCF Worst Model'!L75)-$H$20</f>
        <v>-40329.839434731402</v>
      </c>
      <c r="F9" s="1"/>
      <c r="G9" s="1" t="s">
        <v>1642</v>
      </c>
      <c r="H9" s="368">
        <f>'11 Valuation'!C58</f>
        <v>4.4200000000000003E-2</v>
      </c>
      <c r="I9" s="381" t="s">
        <v>2558</v>
      </c>
      <c r="J9" s="1"/>
      <c r="K9" s="1"/>
      <c r="L9" s="1"/>
      <c r="M9" s="1"/>
      <c r="N9" s="1"/>
    </row>
    <row r="10" spans="2:14" x14ac:dyDescent="0.3">
      <c r="B10" s="1" t="s">
        <v>1756</v>
      </c>
      <c r="C10" s="371">
        <f>'DCF Base Model'!M24*(1-$H$14)+'DCF Base Model'!M64+'DCF Base Model'!M23*'15 Assumptions'!$C$57+'DCF Base Model'!M75</f>
        <v>-43028.552830052184</v>
      </c>
      <c r="D10" s="371">
        <f>'DCF Best Model'!M24*(1-$H$14)+'DCF Best Model'!M64+'DCF Best Model'!M23*'15 Assumptions'!$C$57+'DCF Best Model'!M75</f>
        <v>-14038.822185180325</v>
      </c>
      <c r="E10" s="371">
        <f>'DCF Worst Model'!M24*(1-$H$14)+'DCF Worst Model'!M64+'DCF Worst Model'!M23*'15 Assumptions'!$C$57+'DCF Worst Model'!M75</f>
        <v>-60705.143164972746</v>
      </c>
      <c r="F10" s="1"/>
      <c r="G10" s="1" t="s">
        <v>1643</v>
      </c>
      <c r="H10" s="567">
        <f>'15 Assumptions'!C137</f>
        <v>1.0788256856727412</v>
      </c>
      <c r="I10" s="381" t="str">
        <f>"Option "&amp;'15 Assumptions'!C130&amp;": "&amp;CHOOSE('15 Assumptions'!C130,"raw 5y monthly, Yahoo Finance Sep 22 2026","Blume-adjusted","bottom-up, Damodaran Jan 2026","custom")</f>
        <v>Option 3: bottom-up, Damodaran Jan 2026</v>
      </c>
      <c r="J10" s="1"/>
      <c r="K10" s="1"/>
      <c r="L10" s="1"/>
      <c r="M10" s="1"/>
      <c r="N10" s="1"/>
    </row>
    <row r="11" spans="2:14" x14ac:dyDescent="0.3">
      <c r="B11" s="1" t="s">
        <v>1757</v>
      </c>
      <c r="C11" s="371">
        <f>'DCF Base Model'!N24*(1-$H$14)+'DCF Base Model'!N64+'DCF Base Model'!N23*'15 Assumptions'!$C$57+'DCF Base Model'!N75</f>
        <v>-772.30572330357973</v>
      </c>
      <c r="D11" s="371">
        <f>'DCF Best Model'!N24*(1-$H$14)+'DCF Best Model'!N64+'DCF Best Model'!N23*'15 Assumptions'!$C$57+'DCF Best Model'!N75</f>
        <v>44963.62167207562</v>
      </c>
      <c r="E11" s="371">
        <f>'DCF Worst Model'!N24*(1-$H$14)+'DCF Worst Model'!N64+'DCF Worst Model'!N23*'15 Assumptions'!$C$57+'DCF Worst Model'!N75</f>
        <v>-30206.650465082377</v>
      </c>
      <c r="F11" s="1"/>
      <c r="G11" s="1" t="s">
        <v>1644</v>
      </c>
      <c r="H11" s="368">
        <f>'11 Valuation'!C60</f>
        <v>9.7284095306735152E-2</v>
      </c>
      <c r="I11" s="381" t="s">
        <v>1766</v>
      </c>
      <c r="J11" s="1"/>
      <c r="K11" s="1"/>
      <c r="L11" s="1"/>
      <c r="M11" s="1"/>
      <c r="N11" s="1"/>
    </row>
    <row r="12" spans="2:14" x14ac:dyDescent="0.3">
      <c r="B12" s="1" t="s">
        <v>1758</v>
      </c>
      <c r="C12" s="371">
        <f>'DCF Base Model'!O24*(1-$H$14)+'DCF Base Model'!O64+'DCF Base Model'!O23*'15 Assumptions'!$C$57+'DCF Base Model'!O75</f>
        <v>55665.189469160105</v>
      </c>
      <c r="D12" s="371">
        <f>'DCF Best Model'!O24*(1-$H$14)+'DCF Best Model'!O64+'DCF Best Model'!O23*'15 Assumptions'!$C$57+'DCF Best Model'!O75</f>
        <v>127292.98298683044</v>
      </c>
      <c r="E12" s="371">
        <f>'DCF Worst Model'!O24*(1-$H$14)+'DCF Worst Model'!O64+'DCF Worst Model'!O23*'15 Assumptions'!$C$57+'DCF Worst Model'!O75</f>
        <v>15207.976437764737</v>
      </c>
      <c r="F12" s="1"/>
      <c r="G12" s="1" t="s">
        <v>1645</v>
      </c>
      <c r="H12" s="368">
        <f>'11 Valuation'!C66</f>
        <v>5.8999999999999999E-3</v>
      </c>
      <c r="I12" s="381" t="s">
        <v>1655</v>
      </c>
      <c r="J12" s="1"/>
      <c r="K12" s="1"/>
      <c r="L12" s="1"/>
      <c r="M12" s="1"/>
      <c r="N12" s="1"/>
    </row>
    <row r="13" spans="2:14" x14ac:dyDescent="0.3">
      <c r="B13" s="1" t="s">
        <v>1759</v>
      </c>
      <c r="C13" s="371">
        <f>'DCF Base Model'!P24*(1-$H$14)+'DCF Base Model'!P64+'DCF Base Model'!P23*'15 Assumptions'!$C$57+'DCF Base Model'!P75</f>
        <v>127487.68469730674</v>
      </c>
      <c r="D13" s="371">
        <f>'DCF Best Model'!P24*(1-$H$14)+'DCF Best Model'!P64+'DCF Best Model'!P23*'15 Assumptions'!$C$57+'DCF Best Model'!P75</f>
        <v>211691.12953776299</v>
      </c>
      <c r="E13" s="371">
        <f>'DCF Worst Model'!P24*(1-$H$14)+'DCF Worst Model'!P64+'DCF Worst Model'!P23*'15 Assumptions'!$C$57+'DCF Worst Model'!P75</f>
        <v>61373.548977347964</v>
      </c>
      <c r="F13" s="1"/>
      <c r="G13" s="1" t="s">
        <v>1646</v>
      </c>
      <c r="H13" s="368">
        <f>'11 Valuation'!C67</f>
        <v>5.5500000000000001E-2</v>
      </c>
      <c r="I13" s="381" t="s">
        <v>1656</v>
      </c>
      <c r="J13" s="1"/>
      <c r="K13" s="1"/>
      <c r="L13" s="1"/>
      <c r="M13" s="1"/>
      <c r="N13" s="1"/>
    </row>
    <row r="14" spans="2:14" x14ac:dyDescent="0.3">
      <c r="B14" s="1" t="s">
        <v>1974</v>
      </c>
      <c r="C14" s="372">
        <f>IF($H$18&lt;=$H$19,NA(),IF($H$26=1,'DCF Base Model'!U95,C13)*(1+$H$19)/($H$18-$H$19))</f>
        <v>4523066.2787670847</v>
      </c>
      <c r="D14" s="372">
        <f>IF($H$18&lt;=$H$19,NA(),IF($H$26=1,'DCF Best Model'!U95,D13)*(1+$H$19)/($H$18-$H$19))</f>
        <v>8441932.5663629565</v>
      </c>
      <c r="E14" s="372">
        <f>IF($H$18&lt;=$H$19,NA(),IF($H$26=1,'DCF Worst Model'!U95,E13)*(1+$H$19)/($H$18-$H$19))</f>
        <v>1586942.0955284943</v>
      </c>
      <c r="F14" s="1"/>
      <c r="G14" s="1" t="s">
        <v>969</v>
      </c>
      <c r="H14" s="86">
        <f>'11 Valuation'!C61</f>
        <v>0.16112010082186476</v>
      </c>
      <c r="I14" s="381" t="s">
        <v>1657</v>
      </c>
      <c r="J14" s="1"/>
      <c r="K14" s="1"/>
      <c r="L14" s="1"/>
      <c r="M14" s="1"/>
      <c r="N14" s="1"/>
    </row>
    <row r="15" spans="2:14" x14ac:dyDescent="0.3">
      <c r="B15" s="1" t="s">
        <v>1975</v>
      </c>
      <c r="C15" s="500">
        <f>$H$26*SUMPRODUCT('DCF Base Model'!L95:U95/(1+$H$18)^('DCF Base Model'!L89:U89+4.5))</f>
        <v>874279.67599367897</v>
      </c>
      <c r="D15" s="500">
        <f>$H$26*SUMPRODUCT('DCF Best Model'!L95:U95/(1+$H$18)^('DCF Best Model'!L89:U89+4.5))</f>
        <v>1561895.2842876224</v>
      </c>
      <c r="E15" s="500">
        <f>$H$26*SUMPRODUCT('DCF Worst Model'!L95:U95/(1+$H$18)^('DCF Worst Model'!L89:U89+4.5))</f>
        <v>341985.24941605877</v>
      </c>
      <c r="F15" s="1"/>
      <c r="G15" s="1" t="s">
        <v>1647</v>
      </c>
      <c r="H15" s="47">
        <f>'11 Valuation'!C7</f>
        <v>4165415.6999999997</v>
      </c>
      <c r="I15" s="381" t="s">
        <v>1658</v>
      </c>
      <c r="J15" s="1"/>
      <c r="K15" s="1"/>
      <c r="L15" s="1"/>
      <c r="M15" s="1"/>
      <c r="N15" s="1"/>
    </row>
    <row r="16" spans="2:14" ht="27" x14ac:dyDescent="0.3">
      <c r="B16" s="1" t="s">
        <v>1627</v>
      </c>
      <c r="C16" s="372">
        <f>C9/(1+$H$18)^0.5</f>
        <v>-32035.841092308579</v>
      </c>
      <c r="D16" s="372">
        <f t="shared" ref="D16:E16" si="0">D9/(1+$H$18)^0.5</f>
        <v>-26037.780797587824</v>
      </c>
      <c r="E16" s="372">
        <f t="shared" si="0"/>
        <v>-38521.99377368197</v>
      </c>
      <c r="F16" s="1"/>
      <c r="G16" s="1" t="s">
        <v>104</v>
      </c>
      <c r="H16" s="47">
        <f>'04 Balance Sheet'!G17</f>
        <v>102754</v>
      </c>
      <c r="I16" s="381" t="s">
        <v>2032</v>
      </c>
      <c r="J16" s="1"/>
      <c r="K16" s="1"/>
      <c r="L16" s="1"/>
      <c r="M16" s="1"/>
      <c r="N16" s="1"/>
    </row>
    <row r="17" spans="2:14" x14ac:dyDescent="0.3">
      <c r="B17" s="1" t="s">
        <v>1628</v>
      </c>
      <c r="C17" s="372">
        <f>C10/(1+$H$18)^1.5</f>
        <v>-37497.605100697823</v>
      </c>
      <c r="D17" s="372">
        <f t="shared" ref="D17:E17" si="1">D10/(1+$H$18)^1.5</f>
        <v>-12234.253205260984</v>
      </c>
      <c r="E17" s="372">
        <f t="shared" si="1"/>
        <v>-52902.022872394919</v>
      </c>
      <c r="F17" s="1"/>
      <c r="G17" s="1" t="s">
        <v>1648</v>
      </c>
      <c r="H17" s="376">
        <f>H16/(H15+H16)</f>
        <v>2.4074487947374729E-2</v>
      </c>
      <c r="I17" s="381" t="s">
        <v>1659</v>
      </c>
      <c r="J17" s="1"/>
      <c r="K17" s="1"/>
      <c r="L17" s="1"/>
      <c r="M17" s="1"/>
      <c r="N17" s="1"/>
    </row>
    <row r="18" spans="2:14" x14ac:dyDescent="0.3">
      <c r="B18" s="1" t="s">
        <v>1629</v>
      </c>
      <c r="C18" s="372">
        <f>C11/(1+$H$18)^2.5</f>
        <v>-614.04552692003347</v>
      </c>
      <c r="D18" s="372">
        <f t="shared" ref="D18:E18" si="2">D11/(1+$H$18)^2.5</f>
        <v>35749.716632631789</v>
      </c>
      <c r="E18" s="372">
        <f t="shared" si="2"/>
        <v>-24016.730734532946</v>
      </c>
      <c r="F18" s="1"/>
      <c r="G18" s="1" t="s">
        <v>1649</v>
      </c>
      <c r="H18" s="370">
        <f>(1-H17)*H11+H17*H13*(1-H14)</f>
        <v>9.6062886550026177E-2</v>
      </c>
      <c r="I18" s="381" t="s">
        <v>1767</v>
      </c>
      <c r="J18" s="1"/>
      <c r="K18" s="1"/>
      <c r="L18" s="1"/>
      <c r="M18" s="1"/>
      <c r="N18" s="1"/>
    </row>
    <row r="19" spans="2:14" ht="66.599999999999994" x14ac:dyDescent="0.3">
      <c r="B19" s="1" t="s">
        <v>1630</v>
      </c>
      <c r="C19" s="372">
        <f>C12/(1+$H$18)^3.5</f>
        <v>40379.369919990888</v>
      </c>
      <c r="D19" s="372">
        <f t="shared" ref="D19:E19" si="3">D12/(1+$H$18)^3.5</f>
        <v>92337.967359152273</v>
      </c>
      <c r="E19" s="372">
        <f t="shared" si="3"/>
        <v>11031.822799331849</v>
      </c>
      <c r="F19" s="1"/>
      <c r="G19" s="1" t="s">
        <v>1650</v>
      </c>
      <c r="H19" s="33">
        <v>0.03</v>
      </c>
      <c r="I19" s="381" t="s">
        <v>2413</v>
      </c>
      <c r="J19" s="1"/>
      <c r="K19" s="1"/>
      <c r="L19" s="1"/>
      <c r="M19" s="1"/>
      <c r="N19" s="1"/>
    </row>
    <row r="20" spans="2:14" ht="27" x14ac:dyDescent="0.3">
      <c r="B20" s="1" t="s">
        <v>1631</v>
      </c>
      <c r="C20" s="372">
        <f>C13/(1+$H$18)^4.5</f>
        <v>84373.994011015806</v>
      </c>
      <c r="D20" s="372">
        <f t="shared" ref="D20:E20" si="4">D13/(1+$H$18)^4.5</f>
        <v>140101.5803072445</v>
      </c>
      <c r="E20" s="372">
        <f t="shared" si="4"/>
        <v>40618.287689076984</v>
      </c>
      <c r="F20" s="1"/>
      <c r="G20" s="1" t="s">
        <v>1761</v>
      </c>
      <c r="H20" s="371">
        <f>('02 Quarterly'!D10+'02 Quarterly'!D28)*(1-$H$14)+'09 Cash Flow'!G22+'09 Cash Flow'!G20</f>
        <v>489.30996726782178</v>
      </c>
      <c r="I20" s="381" t="s">
        <v>2009</v>
      </c>
      <c r="J20" s="1"/>
      <c r="K20" s="1"/>
      <c r="L20" s="1"/>
      <c r="M20" s="1"/>
      <c r="N20" s="1"/>
    </row>
    <row r="21" spans="2:14" ht="27" x14ac:dyDescent="0.3">
      <c r="B21" s="1" t="s">
        <v>1632</v>
      </c>
      <c r="C21" s="372">
        <f>C14/(1+$H$18)^(4.5+10*$H$26)</f>
        <v>1196240.772280799</v>
      </c>
      <c r="D21" s="372">
        <f>D14/(1+$H$18)^(4.5+10*$H$26)</f>
        <v>2232685.3754354361</v>
      </c>
      <c r="E21" s="372">
        <f>E14/(1+$H$18)^(4.5+10*$H$26)</f>
        <v>419707.49949686328</v>
      </c>
      <c r="F21" s="1"/>
      <c r="G21" s="1" t="s">
        <v>1651</v>
      </c>
      <c r="H21" s="47">
        <f>'05 Capital Structure'!C25</f>
        <v>139720</v>
      </c>
      <c r="I21" s="381" t="s">
        <v>2270</v>
      </c>
      <c r="J21" s="1"/>
      <c r="K21" s="1"/>
      <c r="L21" s="1"/>
      <c r="M21" s="1"/>
      <c r="N21" s="1"/>
    </row>
    <row r="22" spans="2:14" x14ac:dyDescent="0.3">
      <c r="B22" s="366" t="s">
        <v>1760</v>
      </c>
      <c r="C22" s="373">
        <f>SUM(C15:C21)</f>
        <v>2125126.3204855584</v>
      </c>
      <c r="D22" s="373">
        <f>SUM(D15:D21)</f>
        <v>4024497.890019238</v>
      </c>
      <c r="E22" s="373">
        <f>SUM(E15:E21)</f>
        <v>697902.11202072096</v>
      </c>
      <c r="F22" s="1"/>
      <c r="G22" s="1" t="s">
        <v>1652</v>
      </c>
      <c r="H22" s="47">
        <f>'05 Capital Structure'!C7</f>
        <v>19000</v>
      </c>
      <c r="I22" s="381" t="s">
        <v>1660</v>
      </c>
      <c r="J22" s="1"/>
      <c r="K22" s="1"/>
      <c r="L22" s="1"/>
      <c r="M22" s="1"/>
      <c r="N22" s="1"/>
    </row>
    <row r="23" spans="2:14" x14ac:dyDescent="0.3">
      <c r="B23" s="1" t="s">
        <v>1633</v>
      </c>
      <c r="C23" s="372">
        <f>$H$21</f>
        <v>139720</v>
      </c>
      <c r="D23" s="372">
        <f t="shared" ref="D23:E23" si="5">$H$21</f>
        <v>139720</v>
      </c>
      <c r="E23" s="372">
        <f t="shared" si="5"/>
        <v>139720</v>
      </c>
      <c r="F23" s="1"/>
      <c r="G23" s="1" t="s">
        <v>44</v>
      </c>
      <c r="H23" s="47">
        <f>'05 Capital Structure'!C16</f>
        <v>12274</v>
      </c>
      <c r="I23" s="381" t="s">
        <v>2010</v>
      </c>
      <c r="J23" s="1"/>
      <c r="K23" s="1"/>
      <c r="L23" s="1"/>
      <c r="M23" s="1"/>
      <c r="N23" s="1"/>
    </row>
    <row r="24" spans="2:14" x14ac:dyDescent="0.3">
      <c r="B24" s="1" t="s">
        <v>1634</v>
      </c>
      <c r="C24" s="372">
        <f>-$H$22</f>
        <v>-19000</v>
      </c>
      <c r="D24" s="372">
        <f t="shared" ref="D24:E24" si="6">-$H$22</f>
        <v>-19000</v>
      </c>
      <c r="E24" s="372">
        <f t="shared" si="6"/>
        <v>-19000</v>
      </c>
      <c r="F24" s="1"/>
      <c r="G24" s="1" t="s">
        <v>1637</v>
      </c>
      <c r="H24" s="377">
        <f>'11 Valuation'!C6</f>
        <v>340.59</v>
      </c>
      <c r="I24" s="381" t="s">
        <v>2735</v>
      </c>
      <c r="J24" s="1"/>
      <c r="K24" s="1"/>
      <c r="L24" s="1"/>
      <c r="M24" s="1"/>
      <c r="N24" s="1"/>
    </row>
    <row r="25" spans="2:14" x14ac:dyDescent="0.3">
      <c r="B25" s="1" t="s">
        <v>2406</v>
      </c>
      <c r="C25" s="500">
        <f>'04 Balance Sheet'!$G$54</f>
        <v>129497.43</v>
      </c>
      <c r="D25" s="500">
        <f>'04 Balance Sheet'!$G$54</f>
        <v>129497.43</v>
      </c>
      <c r="E25" s="500">
        <f>'04 Balance Sheet'!$G$54</f>
        <v>129497.43</v>
      </c>
      <c r="F25" s="1"/>
      <c r="G25" s="1" t="s">
        <v>1653</v>
      </c>
      <c r="H25" s="378">
        <v>46203</v>
      </c>
      <c r="I25" s="381" t="s">
        <v>1661</v>
      </c>
      <c r="J25" s="1"/>
      <c r="K25" s="1"/>
      <c r="L25" s="1"/>
      <c r="M25" s="1"/>
      <c r="N25" s="1"/>
    </row>
    <row r="26" spans="2:14" x14ac:dyDescent="0.3">
      <c r="B26" s="366" t="s">
        <v>1635</v>
      </c>
      <c r="C26" s="583">
        <f>SUM(C22:C25)</f>
        <v>2375343.7504855585</v>
      </c>
      <c r="D26" s="583">
        <f>SUM(D22:D25)</f>
        <v>4274715.3200192377</v>
      </c>
      <c r="E26" s="583">
        <f>SUM(E22:E25)</f>
        <v>948119.5420207209</v>
      </c>
      <c r="F26" s="1"/>
      <c r="G26" s="1" t="s">
        <v>1970</v>
      </c>
      <c r="H26" s="499">
        <f>'15 Assumptions'!C78</f>
        <v>1</v>
      </c>
      <c r="I26" s="381" t="s">
        <v>1971</v>
      </c>
      <c r="J26" s="1"/>
      <c r="K26" s="1"/>
      <c r="L26" s="1"/>
      <c r="M26" s="1"/>
      <c r="N26" s="1"/>
    </row>
    <row r="27" spans="2:14" x14ac:dyDescent="0.3">
      <c r="B27" s="1" t="str">
        <f>"Memo, not summed: equity inside net cash ("&amp;TEXT(C27/C23,"0%")&amp;" of row 23)"</f>
        <v>Memo, not summed: equity inside net cash (62% of row 23)</v>
      </c>
      <c r="C27" s="584">
        <f>'04 Balance Sheet'!$G$40</f>
        <v>87063</v>
      </c>
      <c r="D27" s="584">
        <f>'04 Balance Sheet'!$G$40</f>
        <v>87063</v>
      </c>
      <c r="E27" s="584">
        <f>'04 Balance Sheet'!$G$40</f>
        <v>87063</v>
      </c>
      <c r="F27" s="1"/>
      <c r="G27" s="1" t="s">
        <v>1972</v>
      </c>
      <c r="H27" s="499">
        <f>'15 Assumptions'!C79</f>
        <v>10</v>
      </c>
      <c r="I27" s="381" t="s">
        <v>1973</v>
      </c>
      <c r="J27" s="1"/>
      <c r="K27" s="1"/>
      <c r="L27" s="1"/>
      <c r="M27" s="1"/>
      <c r="N27" s="1"/>
    </row>
    <row r="28" spans="2:14" ht="15" customHeight="1" x14ac:dyDescent="0.3">
      <c r="B28" s="1" t="s">
        <v>44</v>
      </c>
      <c r="C28" s="274">
        <f>$H$23</f>
        <v>12274</v>
      </c>
      <c r="D28" s="274">
        <f t="shared" ref="D28:E28" si="7">$H$23</f>
        <v>12274</v>
      </c>
      <c r="E28" s="274">
        <f t="shared" si="7"/>
        <v>12274</v>
      </c>
      <c r="F28" s="1"/>
      <c r="G28" s="365" t="s">
        <v>1682</v>
      </c>
      <c r="H28" s="365" t="s">
        <v>1683</v>
      </c>
      <c r="I28" s="1"/>
      <c r="J28" s="1"/>
      <c r="K28" s="1"/>
      <c r="L28" s="1"/>
      <c r="M28" s="1"/>
      <c r="N28" s="1"/>
    </row>
    <row r="29" spans="2:14" ht="15" customHeight="1" x14ac:dyDescent="0.3">
      <c r="B29" s="367" t="s">
        <v>1636</v>
      </c>
      <c r="C29" s="374">
        <f>C26/C28</f>
        <v>193.52645840684036</v>
      </c>
      <c r="D29" s="374">
        <f t="shared" ref="D29:E29" si="8">D26/D28</f>
        <v>348.27401988098728</v>
      </c>
      <c r="E29" s="374">
        <f t="shared" si="8"/>
        <v>77.246174191031528</v>
      </c>
      <c r="F29" s="1"/>
      <c r="G29" s="1" t="s">
        <v>1684</v>
      </c>
      <c r="H29" s="380">
        <f>$H$24</f>
        <v>340.59</v>
      </c>
      <c r="I29" s="1"/>
      <c r="J29" s="1"/>
      <c r="K29" s="1"/>
      <c r="L29" s="1"/>
      <c r="M29" s="1"/>
      <c r="N29" s="1"/>
    </row>
    <row r="30" spans="2:14" ht="15" customHeight="1" x14ac:dyDescent="0.3">
      <c r="B30" s="367" t="s">
        <v>1637</v>
      </c>
      <c r="C30" s="374">
        <f>$H$24</f>
        <v>340.59</v>
      </c>
      <c r="D30" s="374">
        <f t="shared" ref="D30:E30" si="9">$H$24</f>
        <v>340.59</v>
      </c>
      <c r="E30" s="374">
        <f t="shared" si="9"/>
        <v>340.59</v>
      </c>
      <c r="F30" s="1"/>
      <c r="G30" s="1" t="s">
        <v>1685</v>
      </c>
      <c r="H30" s="380">
        <f>$C$29</f>
        <v>193.52645840684036</v>
      </c>
      <c r="I30" s="1"/>
      <c r="J30" s="1"/>
      <c r="K30" s="1"/>
      <c r="L30" s="1"/>
      <c r="M30" s="1"/>
      <c r="N30" s="1"/>
    </row>
    <row r="31" spans="2:14" ht="15" customHeight="1" x14ac:dyDescent="0.3">
      <c r="B31" s="367" t="s">
        <v>1638</v>
      </c>
      <c r="C31" s="375">
        <f>C29/C30-1</f>
        <v>-0.43179054462303534</v>
      </c>
      <c r="D31" s="375">
        <f t="shared" ref="D31:E31" si="10">D29/D30-1</f>
        <v>2.2560908661403145E-2</v>
      </c>
      <c r="E31" s="375">
        <f t="shared" si="10"/>
        <v>-0.77319893657761085</v>
      </c>
      <c r="F31" s="1"/>
      <c r="G31" s="1" t="s">
        <v>1686</v>
      </c>
      <c r="H31" s="380">
        <f>$D$29</f>
        <v>348.27401988098728</v>
      </c>
      <c r="I31" s="1"/>
      <c r="J31" s="1"/>
      <c r="K31" s="1"/>
      <c r="L31" s="1"/>
      <c r="M31" s="1"/>
      <c r="N31" s="1"/>
    </row>
    <row r="32" spans="2:14" ht="15" customHeight="1" x14ac:dyDescent="0.3">
      <c r="B32" s="1" t="s">
        <v>1639</v>
      </c>
      <c r="C32" s="376">
        <f>C21/C22</f>
        <v>0.56290337226046716</v>
      </c>
      <c r="D32" s="376">
        <f t="shared" ref="D32:E32" si="11">D21/D22</f>
        <v>0.5547736479058667</v>
      </c>
      <c r="E32" s="376">
        <f t="shared" si="11"/>
        <v>0.60138448110098575</v>
      </c>
      <c r="F32" s="1"/>
      <c r="G32" s="1" t="s">
        <v>1687</v>
      </c>
      <c r="H32" s="380">
        <f>$E$29</f>
        <v>77.246174191031528</v>
      </c>
      <c r="I32" s="1"/>
      <c r="J32" s="1"/>
      <c r="K32" s="1"/>
      <c r="L32" s="1"/>
      <c r="M32" s="1"/>
      <c r="N32" s="1"/>
    </row>
    <row r="33" spans="2:14" ht="15" customHeight="1" x14ac:dyDescent="0.3">
      <c r="B33" s="1" t="s">
        <v>1976</v>
      </c>
      <c r="C33" s="501">
        <f>(SUM(C16:C20)+IF($H$18&lt;=$H$19,NA(),C13*(1+$H$19)/($H$18-$H$19))/(1+$H$18)^4.5+$H$21-$H$22+C25)/$H$23</f>
        <v>132.01201975283752</v>
      </c>
      <c r="D33" s="501">
        <f>(SUM(D16:D20)+IF($H$18&lt;=$H$19,NA(),D13*(1+$H$19)/($H$18-$H$19))/(1+$H$18)^4.5+$H$21-$H$22+D25)/$H$23</f>
        <v>217.08384427632589</v>
      </c>
      <c r="E33" s="501">
        <f>(SUM(E16:E20)+IF($H$18&lt;=$H$19,NA(),E13*(1+$H$19)/($H$18-$H$19))/(1+$H$18)^4.5+$H$21-$H$22+E25)/$H$23</f>
        <v>66.784653646404692</v>
      </c>
      <c r="F33" s="1"/>
      <c r="J33" s="1"/>
      <c r="K33" s="1"/>
      <c r="L33" s="1"/>
      <c r="M33" s="1"/>
      <c r="N33" s="1"/>
    </row>
    <row r="34" spans="2:14" ht="15" customHeight="1" x14ac:dyDescent="0.3">
      <c r="B34" s="1" t="s">
        <v>1957</v>
      </c>
      <c r="C34" s="502">
        <f>'DCF Base Drivers'!C27</f>
        <v>0.15</v>
      </c>
      <c r="D34" s="502">
        <f>'DCF Best Drivers'!C27</f>
        <v>0.25</v>
      </c>
      <c r="E34" s="502">
        <f>'DCF Worst Drivers'!C27</f>
        <v>0.1</v>
      </c>
      <c r="F34" s="1"/>
      <c r="J34" s="1"/>
      <c r="K34" s="1"/>
      <c r="L34" s="1"/>
      <c r="M34" s="1"/>
      <c r="N34" s="1"/>
    </row>
    <row r="35" spans="2:14" ht="15" customHeight="1" x14ac:dyDescent="0.3">
      <c r="B35" s="683" t="s">
        <v>1662</v>
      </c>
      <c r="C35" s="683"/>
      <c r="D35" s="683"/>
      <c r="E35" s="683"/>
      <c r="F35" s="683"/>
      <c r="G35" s="683"/>
      <c r="H35" s="1"/>
      <c r="I35" s="1"/>
      <c r="J35" s="1"/>
      <c r="K35" s="1"/>
      <c r="L35" s="1"/>
      <c r="M35" s="1"/>
      <c r="N35" s="1"/>
    </row>
    <row r="36" spans="2:14" ht="15" customHeight="1" x14ac:dyDescent="0.3">
      <c r="B36" s="1" t="s">
        <v>1762</v>
      </c>
      <c r="C36" s="33">
        <v>0.02</v>
      </c>
      <c r="D36" s="33">
        <v>2.5000000000000001E-2</v>
      </c>
      <c r="E36" s="33">
        <v>0.03</v>
      </c>
      <c r="F36" s="33">
        <v>3.5000000000000003E-2</v>
      </c>
      <c r="G36" s="33">
        <v>0.04</v>
      </c>
      <c r="H36" s="1"/>
      <c r="I36" s="1"/>
      <c r="J36" s="1"/>
      <c r="K36" s="1"/>
      <c r="L36" s="1"/>
      <c r="M36" s="1"/>
      <c r="N36" s="1"/>
    </row>
    <row r="37" spans="2:14" ht="15" customHeight="1" x14ac:dyDescent="0.3">
      <c r="B37" s="33">
        <v>0.09</v>
      </c>
      <c r="C37" s="379" cm="1">
        <f t="array" ref="C37">IF($B37&lt;=C$36,NA(),($C$9/(1+$B37)^0.5+$C$10/(1+$B37)^1.5+$C$11/(1+$B37)^2.5+$C$12/(1+$B37)^3.5+$C$13/(1+$B37)^4.5+$H$26*SUMPRODUCT('DCF Base Model'!$L$95:$U$95/(1+$B37)^('DCF Base Model'!$L$89:$U$89+4.5))+IF($H$26=1,'DCF Base Model'!$U$95,$C$13)*(1+C$36)/($B37-C$36)/(1+$B37)^(4.5+10*$H$26)+$H$21-$H$22+$C$25)/$H$23)</f>
        <v>199.02059570112419</v>
      </c>
      <c r="D37" s="379" cm="1">
        <f t="array" ref="D37">IF($B37&lt;=D$36,NA(),($C$9/(1+$B37)^0.5+$C$10/(1+$B37)^1.5+$C$11/(1+$B37)^2.5+$C$12/(1+$B37)^3.5+$C$13/(1+$B37)^4.5+$H$26*SUMPRODUCT('DCF Base Model'!$L$95:$U$95/(1+$B37)^('DCF Base Model'!$L$89:$U$89+4.5))+IF($H$26=1,'DCF Base Model'!$U$95,$C$13)*(1+D$36)/($B37-D$36)/(1+$B37)^(4.5+10*$H$26)+$H$21-$H$22+$C$25)/$H$23)</f>
        <v>207.13521294215121</v>
      </c>
      <c r="E37" s="379" cm="1">
        <f t="array" ref="E37">IF($B37&lt;=E$36,NA(),($C$9/(1+$B37)^0.5+$C$10/(1+$B37)^1.5+$C$11/(1+$B37)^2.5+$C$12/(1+$B37)^3.5+$C$13/(1+$B37)^4.5+$H$26*SUMPRODUCT('DCF Base Model'!$L$95:$U$95/(1+$B37)^('DCF Base Model'!$L$89:$U$89+4.5))+IF($H$26=1,'DCF Base Model'!$U$95,$C$13)*(1+E$36)/($B37-E$36)/(1+$B37)^(4.5+10*$H$26)+$H$21-$H$22+$C$25)/$H$23)</f>
        <v>216.60226639001615</v>
      </c>
      <c r="F37" s="379" cm="1">
        <f t="array" ref="F37">IF($B37&lt;=F$36,NA(),($C$9/(1+$B37)^0.5+$C$10/(1+$B37)^1.5+$C$11/(1+$B37)^2.5+$C$12/(1+$B37)^3.5+$C$13/(1+$B37)^4.5+$H$26*SUMPRODUCT('DCF Base Model'!$L$95:$U$95/(1+$B37)^('DCF Base Model'!$L$89:$U$89+4.5))+IF($H$26=1,'DCF Base Model'!$U$95,$C$13)*(1+F$36)/($B37-F$36)/(1+$B37)^(4.5+10*$H$26)+$H$21-$H$22+$C$25)/$H$23)</f>
        <v>227.79060228294736</v>
      </c>
      <c r="G37" s="379" cm="1">
        <f t="array" ref="G37">IF($B37&lt;=G$36,NA(),($C$9/(1+$B37)^0.5+$C$10/(1+$B37)^1.5+$C$11/(1+$B37)^2.5+$C$12/(1+$B37)^3.5+$C$13/(1+$B37)^4.5+$H$26*SUMPRODUCT('DCF Base Model'!$L$95:$U$95/(1+$B37)^('DCF Base Model'!$L$89:$U$89+4.5))+IF($H$26=1,'DCF Base Model'!$U$95,$C$13)*(1+G$36)/($B37-G$36)/(1+$B37)^(4.5+10*$H$26)+$H$21-$H$22+$C$25)/$H$23)</f>
        <v>241.2166053544648</v>
      </c>
      <c r="H37" s="1"/>
      <c r="I37" s="1"/>
      <c r="J37" s="1"/>
      <c r="K37" s="1"/>
      <c r="L37" s="1"/>
      <c r="M37" s="1"/>
      <c r="N37" s="1"/>
    </row>
    <row r="38" spans="2:14" ht="15" customHeight="1" x14ac:dyDescent="0.3">
      <c r="B38" s="33">
        <v>0.1</v>
      </c>
      <c r="C38" s="379" cm="1">
        <f t="array" ref="C38">IF($B38&lt;=C$36,NA(),($C$9/(1+$B38)^0.5+$C$10/(1+$B38)^1.5+$C$11/(1+$B38)^2.5+$C$12/(1+$B38)^3.5+$C$13/(1+$B38)^4.5+$H$26*SUMPRODUCT('DCF Base Model'!$L$95:$U$95/(1+$B38)^('DCF Base Model'!$L$89:$U$89+4.5))+IF($H$26=1,'DCF Base Model'!$U$95,$C$13)*(1+C$36)/($B38-C$36)/(1+$B38)^(4.5+10*$H$26)+$H$21-$H$22+$C$25)/$H$23)</f>
        <v>169.11478314141667</v>
      </c>
      <c r="D38" s="379" cm="1">
        <f t="array" ref="D38">IF($B38&lt;=D$36,NA(),($C$9/(1+$B38)^0.5+$C$10/(1+$B38)^1.5+$C$11/(1+$B38)^2.5+$C$12/(1+$B38)^3.5+$C$13/(1+$B38)^4.5+$H$26*SUMPRODUCT('DCF Base Model'!$L$95:$U$95/(1+$B38)^('DCF Base Model'!$L$89:$U$89+4.5))+IF($H$26=1,'DCF Base Model'!$U$95,$C$13)*(1+D$36)/($B38-D$36)/(1+$B38)^(4.5+10*$H$26)+$H$21-$H$22+$C$25)/$H$23)</f>
        <v>174.55460475460356</v>
      </c>
      <c r="E38" s="379" cm="1">
        <f t="array" ref="E38">IF($B38&lt;=E$36,NA(),($C$9/(1+$B38)^0.5+$C$10/(1+$B38)^1.5+$C$11/(1+$B38)^2.5+$C$12/(1+$B38)^3.5+$C$13/(1+$B38)^4.5+$H$26*SUMPRODUCT('DCF Base Model'!$L$95:$U$95/(1+$B38)^('DCF Base Model'!$L$89:$U$89+4.5))+IF($H$26=1,'DCF Base Model'!$U$95,$C$13)*(1+E$36)/($B38-E$36)/(1+$B38)^(4.5+10*$H$26)+$H$21-$H$22+$C$25)/$H$23)</f>
        <v>180.77154374110293</v>
      </c>
      <c r="F38" s="379" cm="1">
        <f t="array" ref="F38">IF($B38&lt;=F$36,NA(),($C$9/(1+$B38)^0.5+$C$10/(1+$B38)^1.5+$C$11/(1+$B38)^2.5+$C$12/(1+$B38)^3.5+$C$13/(1+$B38)^4.5+$H$26*SUMPRODUCT('DCF Base Model'!$L$95:$U$95/(1+$B38)^('DCF Base Model'!$L$89:$U$89+4.5))+IF($H$26=1,'DCF Base Model'!$U$95,$C$13)*(1+F$36)/($B38-F$36)/(1+$B38)^(4.5+10*$H$26)+$H$21-$H$22+$C$25)/$H$23)</f>
        <v>187.94493487937137</v>
      </c>
      <c r="G38" s="379" cm="1">
        <f t="array" ref="G38">IF($B38&lt;=G$36,NA(),($C$9/(1+$B38)^0.5+$C$10/(1+$B38)^1.5+$C$11/(1+$B38)^2.5+$C$12/(1+$B38)^3.5+$C$13/(1+$B38)^4.5+$H$26*SUMPRODUCT('DCF Base Model'!$L$95:$U$95/(1+$B38)^('DCF Base Model'!$L$89:$U$89+4.5))+IF($H$26=1,'DCF Base Model'!$U$95,$C$13)*(1+G$36)/($B38-G$36)/(1+$B38)^(4.5+10*$H$26)+$H$21-$H$22+$C$25)/$H$23)</f>
        <v>196.31389120735122</v>
      </c>
      <c r="H38" s="1"/>
      <c r="I38" s="1"/>
      <c r="J38" s="1"/>
      <c r="K38" s="1"/>
      <c r="L38" s="1"/>
      <c r="M38" s="1"/>
      <c r="N38" s="1"/>
    </row>
    <row r="39" spans="2:14" ht="15" customHeight="1" x14ac:dyDescent="0.3">
      <c r="B39" s="568">
        <f>$H$18</f>
        <v>9.6062886550026177E-2</v>
      </c>
      <c r="C39" s="379" cm="1">
        <f t="array" ref="C39">IF($B39&lt;=C$36,NA(),($C$9/(1+$B39)^0.5+$C$10/(1+$B39)^1.5+$C$11/(1+$B39)^2.5+$C$12/(1+$B39)^3.5+$C$13/(1+$B39)^4.5+$H$26*SUMPRODUCT('DCF Base Model'!$L$95:$U$95/(1+$B39)^('DCF Base Model'!$L$89:$U$89+4.5))+IF($H$26=1,'DCF Base Model'!$U$95,$C$13)*(1+C$36)/($B39-C$36)/(1+$B39)^(4.5+10*$H$26)+$H$21-$H$22+$C$25)/$H$23)</f>
        <v>179.89137098258976</v>
      </c>
      <c r="D39" s="379" cm="1">
        <f t="array" ref="D39">IF($B39&lt;=D$36,NA(),($C$9/(1+$B39)^0.5+$C$10/(1+$B39)^1.5+$C$11/(1+$B39)^2.5+$C$12/(1+$B39)^3.5+$C$13/(1+$B39)^4.5+$H$26*SUMPRODUCT('DCF Base Model'!$L$95:$U$95/(1+$B39)^('DCF Base Model'!$L$89:$U$89+4.5))+IF($H$26=1,'DCF Base Model'!$U$95,$C$13)*(1+D$36)/($B39-D$36)/(1+$B39)^(4.5+10*$H$26)+$H$21-$H$22+$C$25)/$H$23)</f>
        <v>186.22923085107283</v>
      </c>
      <c r="E39" s="379" cm="1">
        <f t="array" ref="E39">IF($B39&lt;=E$36,NA(),($C$9/(1+$B39)^0.5+$C$10/(1+$B39)^1.5+$C$11/(1+$B39)^2.5+$C$12/(1+$B39)^3.5+$C$13/(1+$B39)^4.5+$H$26*SUMPRODUCT('DCF Base Model'!$L$95:$U$95/(1+$B39)^('DCF Base Model'!$L$89:$U$89+4.5))+IF($H$26=1,'DCF Base Model'!$U$95,$C$13)*(1+E$36)/($B39-E$36)/(1+$B39)^(4.5+10*$H$26)+$H$21-$H$22+$C$25)/$H$23)</f>
        <v>193.52645840684036</v>
      </c>
      <c r="F39" s="379" cm="1">
        <f t="array" ref="F39">IF($B39&lt;=F$36,NA(),($C$9/(1+$B39)^0.5+$C$10/(1+$B39)^1.5+$C$11/(1+$B39)^2.5+$C$12/(1+$B39)^3.5+$C$13/(1+$B39)^4.5+$H$26*SUMPRODUCT('DCF Base Model'!$L$95:$U$95/(1+$B39)^('DCF Base Model'!$L$89:$U$89+4.5))+IF($H$26=1,'DCF Base Model'!$U$95,$C$13)*(1+F$36)/($B39-F$36)/(1+$B39)^(4.5+10*$H$26)+$H$21-$H$22+$C$25)/$H$23)</f>
        <v>202.0187207813089</v>
      </c>
      <c r="G39" s="379" cm="1">
        <f t="array" ref="G39">IF($B39&lt;=G$36,NA(),($C$9/(1+$B39)^0.5+$C$10/(1+$B39)^1.5+$C$11/(1+$B39)^2.5+$C$12/(1+$B39)^3.5+$C$13/(1+$B39)^4.5+$H$26*SUMPRODUCT('DCF Base Model'!$L$95:$U$95/(1+$B39)^('DCF Base Model'!$L$89:$U$89+4.5))+IF($H$26=1,'DCF Base Model'!$U$95,$C$13)*(1+G$36)/($B39-G$36)/(1+$B39)^(4.5+10*$H$26)+$H$21-$H$22+$C$25)/$H$23)</f>
        <v>212.02575752739156</v>
      </c>
      <c r="H39" s="1"/>
      <c r="I39" s="1"/>
      <c r="J39" s="1"/>
      <c r="K39" s="1"/>
      <c r="L39" s="1"/>
      <c r="M39" s="1"/>
      <c r="N39" s="1"/>
    </row>
    <row r="40" spans="2:14" ht="15" customHeight="1" x14ac:dyDescent="0.3">
      <c r="B40" s="33">
        <v>0.11</v>
      </c>
      <c r="C40" s="379" cm="1">
        <f t="array" ref="C40">IF($B40&lt;=C$36,NA(),($C$9/(1+$B40)^0.5+$C$10/(1+$B40)^1.5+$C$11/(1+$B40)^2.5+$C$12/(1+$B40)^3.5+$C$13/(1+$B40)^4.5+$H$26*SUMPRODUCT('DCF Base Model'!$L$95:$U$95/(1+$B40)^('DCF Base Model'!$L$89:$U$89+4.5))+IF($H$26=1,'DCF Base Model'!$U$95,$C$13)*(1+C$36)/($B40-C$36)/(1+$B40)^(4.5+10*$H$26)+$H$21-$H$22+$C$25)/$H$23)</f>
        <v>146.2573933024878</v>
      </c>
      <c r="D40" s="379" cm="1">
        <f t="array" ref="D40">IF($B40&lt;=D$36,NA(),($C$9/(1+$B40)^0.5+$C$10/(1+$B40)^1.5+$C$11/(1+$B40)^2.5+$C$12/(1+$B40)^3.5+$C$13/(1+$B40)^4.5+$H$26*SUMPRODUCT('DCF Base Model'!$L$95:$U$95/(1+$B40)^('DCF Base Model'!$L$89:$U$89+4.5))+IF($H$26=1,'DCF Base Model'!$U$95,$C$13)*(1+D$36)/($B40-D$36)/(1+$B40)^(4.5+10*$H$26)+$H$21-$H$22+$C$25)/$H$23)</f>
        <v>150.03325005216323</v>
      </c>
      <c r="E40" s="379" cm="1">
        <f t="array" ref="E40">IF($B40&lt;=E$36,NA(),($C$9/(1+$B40)^0.5+$C$10/(1+$B40)^1.5+$C$11/(1+$B40)^2.5+$C$12/(1+$B40)^3.5+$C$13/(1+$B40)^4.5+$H$26*SUMPRODUCT('DCF Base Model'!$L$95:$U$95/(1+$B40)^('DCF Base Model'!$L$89:$U$89+4.5))+IF($H$26=1,'DCF Base Model'!$U$95,$C$13)*(1+E$36)/($B40-E$36)/(1+$B40)^(4.5+10*$H$26)+$H$21-$H$22+$C$25)/$H$23)</f>
        <v>154.28108889554807</v>
      </c>
      <c r="F40" s="379" cm="1">
        <f t="array" ref="F40">IF($B40&lt;=F$36,NA(),($C$9/(1+$B40)^0.5+$C$10/(1+$B40)^1.5+$C$11/(1+$B40)^2.5+$C$12/(1+$B40)^3.5+$C$13/(1+$B40)^4.5+$H$26*SUMPRODUCT('DCF Base Model'!$L$95:$U$95/(1+$B40)^('DCF Base Model'!$L$89:$U$89+4.5))+IF($H$26=1,'DCF Base Model'!$U$95,$C$13)*(1+F$36)/($B40-F$36)/(1+$B40)^(4.5+10*$H$26)+$H$21-$H$22+$C$25)/$H$23)</f>
        <v>159.09530625138424</v>
      </c>
      <c r="G40" s="379" cm="1">
        <f t="array" ref="G40">IF($B40&lt;=G$36,NA(),($C$9/(1+$B40)^0.5+$C$10/(1+$B40)^1.5+$C$11/(1+$B40)^2.5+$C$12/(1+$B40)^3.5+$C$13/(1+$B40)^4.5+$H$26*SUMPRODUCT('DCF Base Model'!$L$95:$U$95/(1+$B40)^('DCF Base Model'!$L$89:$U$89+4.5))+IF($H$26=1,'DCF Base Model'!$U$95,$C$13)*(1+G$36)/($B40-G$36)/(1+$B40)^(4.5+10*$H$26)+$H$21-$H$22+$C$25)/$H$23)</f>
        <v>164.59726894376843</v>
      </c>
      <c r="H40" s="1"/>
      <c r="I40" s="1"/>
      <c r="J40" s="1"/>
      <c r="K40" s="1"/>
      <c r="L40" s="1"/>
      <c r="M40" s="1"/>
      <c r="N40" s="1"/>
    </row>
    <row r="41" spans="2:14" ht="15" customHeight="1" x14ac:dyDescent="0.3">
      <c r="B41" s="33">
        <v>0.12</v>
      </c>
      <c r="C41" s="379" cm="1">
        <f t="array" ref="C41">IF($B41&lt;=C$36,NA(),($C$9/(1+$B41)^0.5+$C$10/(1+$B41)^1.5+$C$11/(1+$B41)^2.5+$C$12/(1+$B41)^3.5+$C$13/(1+$B41)^4.5+$H$26*SUMPRODUCT('DCF Base Model'!$L$95:$U$95/(1+$B41)^('DCF Base Model'!$L$89:$U$89+4.5))+IF($H$26=1,'DCF Base Model'!$U$95,$C$13)*(1+C$36)/($B41-C$36)/(1+$B41)^(4.5+10*$H$26)+$H$21-$H$22+$C$25)/$H$23)</f>
        <v>128.30437535426921</v>
      </c>
      <c r="D41" s="379" cm="1">
        <f t="array" ref="D41">IF($B41&lt;=D$36,NA(),($C$9/(1+$B41)^0.5+$C$10/(1+$B41)^1.5+$C$11/(1+$B41)^2.5+$C$12/(1+$B41)^3.5+$C$13/(1+$B41)^4.5+$H$26*SUMPRODUCT('DCF Base Model'!$L$95:$U$95/(1+$B41)^('DCF Base Model'!$L$89:$U$89+4.5))+IF($H$26=1,'DCF Base Model'!$U$95,$C$13)*(1+D$36)/($B41-D$36)/(1+$B41)^(4.5+10*$H$26)+$H$21-$H$22+$C$25)/$H$23)</f>
        <v>130.99820573724352</v>
      </c>
      <c r="E41" s="379" cm="1">
        <f t="array" ref="E41">IF($B41&lt;=E$36,NA(),($C$9/(1+$B41)^0.5+$C$10/(1+$B41)^1.5+$C$11/(1+$B41)^2.5+$C$12/(1+$B41)^3.5+$C$13/(1+$B41)^4.5+$H$26*SUMPRODUCT('DCF Base Model'!$L$95:$U$95/(1+$B41)^('DCF Base Model'!$L$89:$U$89+4.5))+IF($H$26=1,'DCF Base Model'!$U$95,$C$13)*(1+E$36)/($B41-E$36)/(1+$B41)^(4.5+10*$H$26)+$H$21-$H$22+$C$25)/$H$23)</f>
        <v>133.991350607215</v>
      </c>
      <c r="F41" s="379" cm="1">
        <f t="array" ref="F41">IF($B41&lt;=F$36,NA(),($C$9/(1+$B41)^0.5+$C$10/(1+$B41)^1.5+$C$11/(1+$B41)^2.5+$C$12/(1+$B41)^3.5+$C$13/(1+$B41)^4.5+$H$26*SUMPRODUCT('DCF Base Model'!$L$95:$U$95/(1+$B41)^('DCF Base Model'!$L$89:$U$89+4.5))+IF($H$26=1,'DCF Base Model'!$U$95,$C$13)*(1+F$36)/($B41-F$36)/(1+$B41)^(4.5+10*$H$26)+$H$21-$H$22+$C$25)/$H$23)</f>
        <v>137.33663016777135</v>
      </c>
      <c r="G41" s="379" cm="1">
        <f t="array" ref="G41">IF($B41&lt;=G$36,NA(),($C$9/(1+$B41)^0.5+$C$10/(1+$B41)^1.5+$C$11/(1+$B41)^2.5+$C$12/(1+$B41)^3.5+$C$13/(1+$B41)^4.5+$H$26*SUMPRODUCT('DCF Base Model'!$L$95:$U$95/(1+$B41)^('DCF Base Model'!$L$89:$U$89+4.5))+IF($H$26=1,'DCF Base Model'!$U$95,$C$13)*(1+G$36)/($B41-G$36)/(1+$B41)^(4.5+10*$H$26)+$H$21-$H$22+$C$25)/$H$23)</f>
        <v>141.10006967339726</v>
      </c>
      <c r="H41" s="1"/>
      <c r="I41" s="1"/>
      <c r="J41" s="1"/>
      <c r="K41" s="1"/>
      <c r="L41" s="1"/>
      <c r="M41" s="1"/>
      <c r="N41" s="1"/>
    </row>
    <row r="42" spans="2:14" ht="30" customHeight="1" x14ac:dyDescent="0.3">
      <c r="B42" s="646" t="str">
        <f>"The grid varies the discount rate and the growth rate after FY2040E. The fade-stage cash flows are held on the "&amp;TEXT($H$19,"0.0%")&amp;" endpoint, so the centre cell differs slightly from the headline when terminal growth moves."</f>
        <v>The grid varies the discount rate and the growth rate after FY2040E. The fade-stage cash flows are held on the 3.0% endpoint, so the centre cell differs slightly from the headline when terminal growth moves.</v>
      </c>
      <c r="C42" s="646"/>
      <c r="D42" s="646"/>
      <c r="E42" s="646"/>
      <c r="F42" s="646"/>
      <c r="G42" s="646"/>
      <c r="H42" s="646"/>
      <c r="I42" s="646"/>
      <c r="J42" s="646"/>
      <c r="K42" s="1"/>
      <c r="L42" s="1"/>
      <c r="M42" s="1"/>
      <c r="N42" s="1"/>
    </row>
    <row r="43" spans="2:14" ht="15" customHeight="1" x14ac:dyDescent="0.3">
      <c r="B43" s="683" t="str">
        <f>"DCF AUDIT - "&amp;(COUNTIF($F:$F,"TIES")+COUNTIF($F:$F,"DOES NOT TIE"))&amp;" LIVE CHECKS (12 onward continue at row 93)"</f>
        <v>DCF AUDIT - 19 LIVE CHECKS (12 onward continue at row 93)</v>
      </c>
      <c r="C43" s="683"/>
      <c r="D43" s="683"/>
      <c r="E43" s="683"/>
      <c r="F43" s="683"/>
      <c r="G43" s="1"/>
      <c r="H43" s="1"/>
      <c r="I43" s="1"/>
      <c r="J43" s="1"/>
      <c r="K43" s="1"/>
      <c r="L43" s="1"/>
      <c r="M43" s="1"/>
      <c r="N43" s="1"/>
    </row>
    <row r="44" spans="2:14" ht="15" customHeight="1" x14ac:dyDescent="0.3">
      <c r="B44" s="365" t="s">
        <v>307</v>
      </c>
      <c r="C44" s="365" t="s">
        <v>1671</v>
      </c>
      <c r="D44" s="365" t="s">
        <v>1672</v>
      </c>
      <c r="E44" s="365" t="s">
        <v>1673</v>
      </c>
      <c r="F44" s="365" t="s">
        <v>825</v>
      </c>
      <c r="G44" s="1"/>
      <c r="H44" s="1"/>
      <c r="I44" s="1"/>
      <c r="J44" s="1"/>
      <c r="K44" s="1"/>
      <c r="L44" s="1"/>
      <c r="M44" s="1"/>
      <c r="N44" s="1"/>
    </row>
    <row r="45" spans="2:14" ht="15" customHeight="1" x14ac:dyDescent="0.3">
      <c r="B45" s="74">
        <v>1</v>
      </c>
      <c r="C45" s="1" t="s">
        <v>1674</v>
      </c>
      <c r="D45" s="369">
        <f>'DCF Base Drivers'!D6</f>
        <v>1</v>
      </c>
      <c r="E45" s="74">
        <v>1</v>
      </c>
      <c r="F45" s="1" t="str">
        <f>IF(ABS(D45-E45)&lt;=0.0001,"TIES","DOES NOT TIE")</f>
        <v>TIES</v>
      </c>
      <c r="G45" s="1"/>
      <c r="H45" s="1"/>
      <c r="I45" s="1"/>
      <c r="J45" s="1"/>
      <c r="K45" s="1"/>
      <c r="L45" s="1"/>
      <c r="M45" s="1"/>
      <c r="N45" s="1"/>
    </row>
    <row r="46" spans="2:14" ht="15" customHeight="1" x14ac:dyDescent="0.3">
      <c r="B46" s="74">
        <v>2</v>
      </c>
      <c r="C46" s="1" t="s">
        <v>1675</v>
      </c>
      <c r="D46" s="369">
        <f>'DCF Best Drivers'!D6</f>
        <v>2</v>
      </c>
      <c r="E46" s="74">
        <v>2</v>
      </c>
      <c r="F46" s="1" t="str">
        <f t="shared" ref="F46:F55" si="12">IF(ABS(D46-E46)&lt;=0.0001,"TIES","DOES NOT TIE")</f>
        <v>TIES</v>
      </c>
      <c r="G46" s="1"/>
      <c r="H46" s="1"/>
      <c r="I46" s="1"/>
      <c r="J46" s="1"/>
      <c r="K46" s="1"/>
      <c r="L46" s="1"/>
      <c r="M46" s="1"/>
      <c r="N46" s="1"/>
    </row>
    <row r="47" spans="2:14" ht="15" customHeight="1" x14ac:dyDescent="0.3">
      <c r="B47" s="74">
        <v>3</v>
      </c>
      <c r="C47" s="1" t="s">
        <v>1676</v>
      </c>
      <c r="D47" s="369">
        <f>'DCF Worst Drivers'!D6</f>
        <v>3</v>
      </c>
      <c r="E47" s="74">
        <v>3</v>
      </c>
      <c r="F47" s="1" t="str">
        <f t="shared" si="12"/>
        <v>TIES</v>
      </c>
      <c r="G47" s="1"/>
      <c r="H47" s="1"/>
      <c r="I47" s="1"/>
      <c r="J47" s="1"/>
      <c r="K47" s="1"/>
      <c r="L47" s="1"/>
      <c r="M47" s="1"/>
      <c r="N47" s="1"/>
    </row>
    <row r="48" spans="2:14" ht="15" customHeight="1" x14ac:dyDescent="0.3">
      <c r="B48" s="74">
        <v>4</v>
      </c>
      <c r="C48" s="1" t="s">
        <v>1677</v>
      </c>
      <c r="D48" s="74">
        <f>$H$8+$H$10*$H$9</f>
        <v>9.7284095306735152E-2</v>
      </c>
      <c r="E48" s="74">
        <f>$H$11</f>
        <v>9.7284095306735152E-2</v>
      </c>
      <c r="F48" s="1" t="str">
        <f t="shared" si="12"/>
        <v>TIES</v>
      </c>
      <c r="G48" s="1"/>
      <c r="H48" s="1"/>
      <c r="I48" s="1"/>
      <c r="J48" s="1"/>
      <c r="K48" s="1"/>
      <c r="L48" s="1"/>
      <c r="M48" s="1"/>
      <c r="N48" s="1"/>
    </row>
    <row r="49" spans="2:14" ht="15" customHeight="1" x14ac:dyDescent="0.3">
      <c r="B49" s="74">
        <v>5</v>
      </c>
      <c r="C49" s="1" t="s">
        <v>1678</v>
      </c>
      <c r="D49" s="370">
        <f>$H$8+$H$12</f>
        <v>5.5500000000000001E-2</v>
      </c>
      <c r="E49" s="74">
        <f>$H$13</f>
        <v>5.5500000000000001E-2</v>
      </c>
      <c r="F49" s="1" t="str">
        <f t="shared" si="12"/>
        <v>TIES</v>
      </c>
      <c r="G49" s="1"/>
      <c r="H49" s="1"/>
      <c r="I49" s="1"/>
      <c r="J49" s="1"/>
      <c r="K49" s="1"/>
      <c r="L49" s="1"/>
      <c r="M49" s="1"/>
      <c r="N49" s="1"/>
    </row>
    <row r="50" spans="2:14" ht="15" customHeight="1" x14ac:dyDescent="0.3">
      <c r="B50" s="74">
        <v>6</v>
      </c>
      <c r="C50" s="1" t="s">
        <v>1763</v>
      </c>
      <c r="D50" s="370">
        <f>(1-$H$17)*$H$11+$H$17*$H$13*(1-$H$14)</f>
        <v>9.6062886550026177E-2</v>
      </c>
      <c r="E50" s="74">
        <f>$H$18</f>
        <v>9.6062886550026177E-2</v>
      </c>
      <c r="F50" s="1" t="str">
        <f t="shared" si="12"/>
        <v>TIES</v>
      </c>
      <c r="G50" s="1"/>
      <c r="H50" s="1"/>
      <c r="I50" s="1"/>
      <c r="J50" s="1"/>
      <c r="K50" s="1"/>
      <c r="L50" s="1"/>
      <c r="M50" s="1"/>
      <c r="N50" s="1"/>
    </row>
    <row r="51" spans="2:14" ht="15" customHeight="1" x14ac:dyDescent="0.3">
      <c r="B51" s="74">
        <v>7</v>
      </c>
      <c r="C51" s="1" t="s">
        <v>1764</v>
      </c>
      <c r="D51" s="370">
        <f>$H$18-$H$19</f>
        <v>6.6062886550026179E-2</v>
      </c>
      <c r="E51" s="74">
        <v>0</v>
      </c>
      <c r="F51" s="1" t="str">
        <f>IF(D51&gt;0,"TIES","DOES NOT TIE")</f>
        <v>TIES</v>
      </c>
      <c r="G51" s="1"/>
      <c r="H51" s="1"/>
      <c r="I51" s="1"/>
      <c r="J51" s="1"/>
      <c r="K51" s="1"/>
      <c r="L51" s="1"/>
      <c r="M51" s="1"/>
      <c r="N51" s="1"/>
    </row>
    <row r="52" spans="2:14" ht="15" customHeight="1" x14ac:dyDescent="0.3">
      <c r="B52" s="74">
        <v>8</v>
      </c>
      <c r="C52" s="1" t="s">
        <v>1679</v>
      </c>
      <c r="D52" s="585">
        <f>C22+C23+C24+C25-C26</f>
        <v>0</v>
      </c>
      <c r="E52" s="74">
        <v>0</v>
      </c>
      <c r="F52" s="1" t="str">
        <f t="shared" si="12"/>
        <v>TIES</v>
      </c>
      <c r="G52" s="1"/>
      <c r="H52" s="1"/>
      <c r="I52" s="1"/>
      <c r="J52" s="1"/>
      <c r="K52" s="1"/>
      <c r="L52" s="1"/>
      <c r="M52" s="1"/>
      <c r="N52" s="1"/>
    </row>
    <row r="53" spans="2:14" ht="15" customHeight="1" x14ac:dyDescent="0.3">
      <c r="B53" s="74">
        <v>9</v>
      </c>
      <c r="C53" s="1" t="s">
        <v>1680</v>
      </c>
      <c r="D53" s="585">
        <f>D22+D23+D24+D25-D26</f>
        <v>0</v>
      </c>
      <c r="E53" s="74">
        <v>0</v>
      </c>
      <c r="F53" s="1" t="str">
        <f t="shared" si="12"/>
        <v>TIES</v>
      </c>
      <c r="G53" s="1"/>
      <c r="H53" s="1"/>
      <c r="I53" s="1"/>
      <c r="J53" s="1"/>
      <c r="K53" s="1"/>
      <c r="L53" s="1"/>
      <c r="M53" s="1"/>
      <c r="N53" s="1"/>
    </row>
    <row r="54" spans="2:14" ht="15" customHeight="1" x14ac:dyDescent="0.3">
      <c r="B54" s="74">
        <v>10</v>
      </c>
      <c r="C54" s="1" t="s">
        <v>1681</v>
      </c>
      <c r="D54" s="585">
        <f>E22+E23+E24+E25-E26</f>
        <v>0</v>
      </c>
      <c r="E54" s="74">
        <v>0</v>
      </c>
      <c r="F54" s="1" t="str">
        <f t="shared" si="12"/>
        <v>TIES</v>
      </c>
      <c r="G54" s="1"/>
      <c r="H54" s="1"/>
      <c r="I54" s="1"/>
      <c r="J54" s="1"/>
      <c r="K54" s="1"/>
      <c r="L54" s="1"/>
      <c r="M54" s="1"/>
      <c r="N54" s="1"/>
    </row>
    <row r="55" spans="2:14" ht="15" customHeight="1" x14ac:dyDescent="0.3">
      <c r="B55" s="74">
        <v>11</v>
      </c>
      <c r="C55" s="1" t="s">
        <v>1692</v>
      </c>
      <c r="D55" s="369">
        <f>IF(OR('16 Scenarios'!D6=1,'16 Scenarios'!D6=2,'16 Scenarios'!D6=3),1,0)</f>
        <v>1</v>
      </c>
      <c r="E55" s="74">
        <v>1</v>
      </c>
      <c r="F55" s="1" t="str">
        <f t="shared" si="12"/>
        <v>TIES</v>
      </c>
      <c r="G55" s="1"/>
      <c r="H55" s="1"/>
      <c r="I55" s="1"/>
      <c r="J55" s="1"/>
      <c r="K55" s="1"/>
      <c r="L55" s="1"/>
      <c r="M55" s="1"/>
      <c r="N55" s="1"/>
    </row>
    <row r="56" spans="2:14" ht="55.95" customHeight="1" x14ac:dyDescent="0.3">
      <c r="B56" s="646" t="s">
        <v>2158</v>
      </c>
      <c r="C56" s="646"/>
      <c r="D56" s="646"/>
      <c r="E56" s="646"/>
      <c r="F56" s="646"/>
      <c r="G56" s="646"/>
      <c r="H56" s="646"/>
      <c r="I56" s="646"/>
      <c r="J56" s="646"/>
      <c r="K56" s="1"/>
      <c r="L56" s="1"/>
      <c r="M56" s="1"/>
      <c r="N56" s="1"/>
    </row>
    <row r="57" spans="2:14" x14ac:dyDescent="0.3">
      <c r="B57" s="364"/>
      <c r="C57" s="364"/>
      <c r="D57" s="364"/>
      <c r="E57" s="364"/>
      <c r="F57" s="364"/>
      <c r="G57" s="364"/>
      <c r="H57" s="364"/>
      <c r="I57" s="364"/>
      <c r="J57" s="364"/>
    </row>
    <row r="58" spans="2:14" x14ac:dyDescent="0.3">
      <c r="B58" s="669" t="s">
        <v>1688</v>
      </c>
      <c r="C58" s="670"/>
      <c r="D58" s="670"/>
      <c r="E58" s="670"/>
      <c r="F58" s="670"/>
      <c r="G58" s="670"/>
      <c r="H58" s="670"/>
      <c r="I58" s="670"/>
      <c r="J58" s="670"/>
    </row>
    <row r="59" spans="2:14" ht="31.95" customHeight="1" x14ac:dyDescent="0.3">
      <c r="B59" s="684" t="str">
        <f>"At the central "&amp;TEXT(H18,"0.00%")&amp;" WACC and "&amp;TEXT(H19,"0.0%")&amp;" terminal growth, implied value is "&amp;TEXT(C29,"$0.00")&amp;" in Base, "&amp;TEXT(D29,"$0.00")&amp;" in Best and "&amp;TEXT(E29,"$0.00")&amp;" in Worst versus the "&amp;TEXT(C30,"$0.00")&amp;" reference price."</f>
        <v>At the central 9.61% WACC and 3.0% terminal growth, implied value is $193.53 in Base, $348.27 in Best and $77.25 in Worst versus the $340.59 reference price.</v>
      </c>
      <c r="C59" s="685"/>
      <c r="D59" s="685"/>
      <c r="E59" s="685"/>
      <c r="F59" s="685"/>
      <c r="G59" s="685"/>
      <c r="H59" s="685"/>
      <c r="I59" s="685"/>
      <c r="J59" s="685"/>
    </row>
    <row r="60" spans="2:14" ht="31.95" customHeight="1" x14ac:dyDescent="0.3">
      <c r="B60" s="684" t="str">
        <f>IF(C30&gt;D29,"At the "&amp;TEXT($H$18,"0.00%")&amp;" WACC the current price exceeds even the Best-case DCF by "&amp;TEXT(C30-D29,"$0.00")&amp;" per share. That holds only at this discount rate: the Best case reaches the price at a WACC of "&amp;IF(ISNUMBER(D182),TEXT(D182,"0.00%"),D182)&amp;" and Base at "&amp;IF(ISNUMBER(C182),TEXT(C182,"0.00%"),C182)&amp;" (row 182).","The Best case clears the current price by "&amp;TEXT(D29-C30,"$0.00")&amp;" per share, and Base sits "&amp;TEXT(C30-C29,"$0.00")&amp;" below it; Base reaches the price at a WACC of "&amp;IF(ISNUMBER(C182),TEXT(C182,"0.00%"),C182)&amp;" (row 182).")&amp;" The Base range across the 9%-12% grid above is "&amp;TEXT(MIN(C37:G41),"$0")&amp;" to "&amp;TEXT(MAX(C37:G41),"$0")&amp;"; rows 105-136 extend all three cases to 8%-12%, and the beta behind the WACC is chosen at 15 Assumptions C130."</f>
        <v>The Best case clears the current price by $7.68 per share, and Base sits $147.06 below it; Base reaches the price at a WACC of 7.04% (row 182). The Base range across the 9%-12% grid above is $128 to $241; rows 105-136 extend all three cases to 8%-12%, and the beta behind the WACC is chosen at 15 Assumptions C130.</v>
      </c>
      <c r="C60" s="685"/>
      <c r="D60" s="685"/>
      <c r="E60" s="685"/>
      <c r="F60" s="685"/>
      <c r="G60" s="685"/>
      <c r="H60" s="685"/>
      <c r="I60" s="685"/>
      <c r="J60" s="685"/>
    </row>
    <row r="61" spans="2:14" ht="31.95" customHeight="1" x14ac:dyDescent="0.3">
      <c r="B61" s="686" t="s">
        <v>2779</v>
      </c>
      <c r="C61" s="685"/>
      <c r="D61" s="685"/>
      <c r="E61" s="685"/>
      <c r="F61" s="685"/>
      <c r="G61" s="685"/>
      <c r="H61" s="685"/>
      <c r="I61" s="685"/>
      <c r="J61" s="685"/>
    </row>
    <row r="63" spans="2:14" x14ac:dyDescent="0.3">
      <c r="B63" s="683" t="s">
        <v>1913</v>
      </c>
      <c r="C63" s="683"/>
      <c r="D63" s="683"/>
      <c r="E63" s="683"/>
      <c r="F63" s="683"/>
      <c r="G63" s="1"/>
    </row>
    <row r="64" spans="2:14" x14ac:dyDescent="0.3">
      <c r="B64" s="365" t="s">
        <v>176</v>
      </c>
      <c r="C64" s="365" t="s">
        <v>1620</v>
      </c>
      <c r="D64" s="365" t="s">
        <v>1621</v>
      </c>
      <c r="E64" s="365" t="s">
        <v>1622</v>
      </c>
      <c r="F64" s="365" t="s">
        <v>12</v>
      </c>
    </row>
    <row r="65" spans="2:6" x14ac:dyDescent="0.3">
      <c r="B65" t="s">
        <v>1914</v>
      </c>
      <c r="C65" s="483">
        <f>-SUM('DCF Base Model'!L75:P75)</f>
        <v>1219341.534003783</v>
      </c>
      <c r="D65" s="483">
        <f>-SUM('DCF Best Model'!L75:P75)</f>
        <v>1131274.1510123548</v>
      </c>
      <c r="E65" s="483">
        <f>-SUM('DCF Worst Model'!L75:P75)</f>
        <v>1114101.1423493866</v>
      </c>
      <c r="F65" t="s">
        <v>1924</v>
      </c>
    </row>
    <row r="66" spans="2:6" x14ac:dyDescent="0.3">
      <c r="B66" t="s">
        <v>1915</v>
      </c>
      <c r="C66" s="483">
        <f>SUM('DCF Base Model'!L64:P64)</f>
        <v>394542.54832957685</v>
      </c>
      <c r="D66" s="483">
        <f>SUM('DCF Best Model'!L64:P64)</f>
        <v>348180.93896396254</v>
      </c>
      <c r="E66" s="483">
        <f>SUM('DCF Worst Model'!L64:P64)</f>
        <v>432852.46058132668</v>
      </c>
    </row>
    <row r="67" spans="2:6" x14ac:dyDescent="0.3">
      <c r="B67" t="s">
        <v>1919</v>
      </c>
      <c r="C67" s="484">
        <f>C65-C66</f>
        <v>824798.98567420617</v>
      </c>
      <c r="D67" s="484">
        <f>D65-D66</f>
        <v>783093.21204839228</v>
      </c>
      <c r="E67" s="484">
        <f>E65-E66</f>
        <v>681248.68176805996</v>
      </c>
    </row>
    <row r="68" spans="2:6" x14ac:dyDescent="0.3">
      <c r="B68" t="s">
        <v>1916</v>
      </c>
      <c r="C68" s="483">
        <f>'DCF Base Model'!P24*(1-$H$14)</f>
        <v>228706.21906920441</v>
      </c>
      <c r="D68" s="483">
        <f>'DCF Best Model'!P24*(1-$H$14)</f>
        <v>308312.77111858386</v>
      </c>
      <c r="E68" s="483">
        <f>'DCF Worst Model'!P24*(1-$H$14)</f>
        <v>109201.53311688345</v>
      </c>
    </row>
    <row r="69" spans="2:6" x14ac:dyDescent="0.3">
      <c r="B69" t="s">
        <v>1917</v>
      </c>
      <c r="C69" s="483">
        <f>'DCF Base Model'!J24*(1-$H$14)</f>
        <v>108248.2233100474</v>
      </c>
      <c r="D69" s="483">
        <f>'DCF Best Model'!J24*(1-$H$14)</f>
        <v>108248.2233100474</v>
      </c>
      <c r="E69" s="483">
        <f>'DCF Worst Model'!J24*(1-$H$14)</f>
        <v>108248.2233100474</v>
      </c>
    </row>
    <row r="70" spans="2:6" x14ac:dyDescent="0.3">
      <c r="B70" t="s">
        <v>1920</v>
      </c>
      <c r="C70" s="484">
        <f>C68-C69</f>
        <v>120457.99575915701</v>
      </c>
      <c r="D70" s="484">
        <f>D68-D69</f>
        <v>200064.54780853644</v>
      </c>
      <c r="E70" s="484">
        <f>E68-E69</f>
        <v>953.30980683605594</v>
      </c>
    </row>
    <row r="71" spans="2:6" x14ac:dyDescent="0.3">
      <c r="B71" t="s">
        <v>1921</v>
      </c>
      <c r="C71" s="485">
        <f>C70/C67</f>
        <v>0.14604527630534414</v>
      </c>
      <c r="D71" s="485">
        <f>D70/D67</f>
        <v>0.25547986463222361</v>
      </c>
      <c r="E71" s="485">
        <f>E70/E67</f>
        <v>1.3993565526789859E-3</v>
      </c>
      <c r="F71" t="s">
        <v>1925</v>
      </c>
    </row>
    <row r="72" spans="2:6" x14ac:dyDescent="0.3">
      <c r="B72" t="s">
        <v>1922</v>
      </c>
      <c r="C72" s="485">
        <f>C71-$H$18</f>
        <v>4.9982389755317963E-2</v>
      </c>
      <c r="D72" s="485">
        <f>D71-$H$18</f>
        <v>0.15941697808219743</v>
      </c>
      <c r="E72" s="485">
        <f>E71-$H$18</f>
        <v>-9.4663529997347187E-2</v>
      </c>
      <c r="F72" t="s">
        <v>1926</v>
      </c>
    </row>
    <row r="73" spans="2:6" x14ac:dyDescent="0.3">
      <c r="B73" t="s">
        <v>1918</v>
      </c>
      <c r="C73" s="486">
        <f>-'DCF Base Model'!P75/'DCF Base Model'!P64</f>
        <v>1.7367552349466089</v>
      </c>
      <c r="D73" s="486">
        <f>-'DCF Best Model'!P75/'DCF Best Model'!P64</f>
        <v>1.8316062430075373</v>
      </c>
      <c r="E73" s="486">
        <f>-'DCF Worst Model'!P75/'DCF Worst Model'!P64</f>
        <v>1.3159137286378155</v>
      </c>
    </row>
    <row r="74" spans="2:6" x14ac:dyDescent="0.3">
      <c r="B74" t="s">
        <v>1923</v>
      </c>
      <c r="C74" s="485">
        <f>(-'DCF Base Model'!P75-'DCF Base Model'!P64)/C68</f>
        <v>0.44257010055887402</v>
      </c>
      <c r="D74" s="485">
        <f>(-'DCF Best Model'!P75-'DCF Best Model'!P64)/D68</f>
        <v>0.31338838553547321</v>
      </c>
      <c r="E74" s="485">
        <f>(-'DCF Worst Model'!P75-'DCF Worst Model'!P64)/E68</f>
        <v>0.43797905372210283</v>
      </c>
    </row>
    <row r="75" spans="2:6" x14ac:dyDescent="0.3">
      <c r="B75" t="s">
        <v>1977</v>
      </c>
      <c r="C75" s="485">
        <f>$H$19/C74</f>
        <v>6.7785871576313522E-2</v>
      </c>
      <c r="D75" s="485">
        <f>$H$19/D74</f>
        <v>9.5727861607699E-2</v>
      </c>
      <c r="E75" s="485">
        <f>$H$19/E74</f>
        <v>6.8496426358861814E-2</v>
      </c>
      <c r="F75" t="s">
        <v>1927</v>
      </c>
    </row>
    <row r="76" spans="2:6" x14ac:dyDescent="0.3">
      <c r="B76" t="s">
        <v>1978</v>
      </c>
      <c r="C76" s="264" t="str">
        <f>IF(C75&gt;=$H$18,"STEADY STATE EARNS WACC","TERMINAL REINVESTMENT IMPLIES SUB-WACC ROIC")</f>
        <v>TERMINAL REINVESTMENT IMPLIES SUB-WACC ROIC</v>
      </c>
      <c r="D76" s="264" t="str">
        <f>IF(D75&gt;=$H$18,"STEADY STATE EARNS WACC","TERMINAL REINVESTMENT IMPLIES SUB-WACC ROIC")</f>
        <v>TERMINAL REINVESTMENT IMPLIES SUB-WACC ROIC</v>
      </c>
      <c r="E76" s="264" t="str">
        <f>IF(E75&gt;=$H$18,"STEADY STATE EARNS WACC","TERMINAL REINVESTMENT IMPLIES SUB-WACC ROIC")</f>
        <v>TERMINAL REINVESTMENT IMPLIES SUB-WACC ROIC</v>
      </c>
    </row>
    <row r="78" spans="2:6" x14ac:dyDescent="0.3">
      <c r="B78" t="s">
        <v>2321</v>
      </c>
    </row>
    <row r="80" spans="2:6" x14ac:dyDescent="0.3">
      <c r="B80" s="683" t="s">
        <v>2592</v>
      </c>
      <c r="C80" s="683"/>
      <c r="D80" s="683"/>
      <c r="E80" s="683"/>
      <c r="F80" s="683"/>
    </row>
    <row r="81" spans="2:6" x14ac:dyDescent="0.3">
      <c r="B81" s="365" t="s">
        <v>176</v>
      </c>
      <c r="C81" s="365" t="s">
        <v>1620</v>
      </c>
      <c r="D81" s="365" t="s">
        <v>1621</v>
      </c>
      <c r="E81" s="365" t="s">
        <v>1622</v>
      </c>
      <c r="F81" s="365" t="s">
        <v>12</v>
      </c>
    </row>
    <row r="82" spans="2:6" x14ac:dyDescent="0.3">
      <c r="B82" t="s">
        <v>2134</v>
      </c>
      <c r="C82" s="546">
        <f>'DCF Base Model'!L97</f>
        <v>0.44257010055887402</v>
      </c>
      <c r="D82" s="546">
        <f>'DCF Best Model'!L97</f>
        <v>0.31338838553547321</v>
      </c>
      <c r="E82" s="546">
        <f>'DCF Worst Model'!L97</f>
        <v>0.43797905372210283</v>
      </c>
      <c r="F82" t="s">
        <v>2135</v>
      </c>
    </row>
    <row r="83" spans="2:6" x14ac:dyDescent="0.3">
      <c r="B83" t="s">
        <v>2136</v>
      </c>
      <c r="C83" s="546">
        <f>'DCF Base Model'!L96</f>
        <v>0.44257010055887402</v>
      </c>
      <c r="D83" s="546">
        <f>'DCF Best Model'!L96</f>
        <v>0.31338838553547321</v>
      </c>
      <c r="E83" s="546">
        <f>'DCF Worst Model'!L96</f>
        <v>0.43797905372210283</v>
      </c>
      <c r="F83" t="s">
        <v>2137</v>
      </c>
    </row>
    <row r="84" spans="2:6" x14ac:dyDescent="0.3">
      <c r="B84" t="s">
        <v>2138</v>
      </c>
      <c r="C84" s="546">
        <f>'DCF Base Model'!U96</f>
        <v>0.2</v>
      </c>
      <c r="D84" s="546">
        <f>'DCF Best Model'!U96</f>
        <v>0.12</v>
      </c>
      <c r="E84" s="546">
        <f>'DCF Worst Model'!U96</f>
        <v>0.3</v>
      </c>
      <c r="F84" t="s">
        <v>2139</v>
      </c>
    </row>
    <row r="85" spans="2:6" x14ac:dyDescent="0.3">
      <c r="B85" t="s">
        <v>2140</v>
      </c>
      <c r="C85" s="547">
        <f>'DCF Base Model'!L95/C13</f>
        <v>1.1015425750294519</v>
      </c>
      <c r="D85" s="547">
        <f>'DCF Best Model'!L95/D13</f>
        <v>1.1326152649722701</v>
      </c>
      <c r="E85" s="547">
        <f>'DCF Worst Model'!L95/E13</f>
        <v>1.0594780479222161</v>
      </c>
      <c r="F85" t="s">
        <v>2141</v>
      </c>
    </row>
    <row r="86" spans="2:6" x14ac:dyDescent="0.3">
      <c r="B86" t="s">
        <v>2142</v>
      </c>
      <c r="C86" s="264" t="str">
        <f>IF(AND(C85&gt;=0.85,C85&lt;=1.25),"inside the band",IF(C83&gt;C82,"net reinvestment steps up from "&amp;TEXT(C82,"0%")&amp;" to "&amp;TEXT(C83,"0%")&amp;" of NOPAT in FY2031E","NOPAT or reinvestment steps by "&amp;TEXT(C85-1,"0%")&amp;" in FY2031E"))</f>
        <v>inside the band</v>
      </c>
      <c r="D86" s="264" t="str">
        <f>IF(AND(D85&gt;=0.85,D85&lt;=1.25),"inside the band",IF(D83&gt;D82,"net reinvestment steps up from "&amp;TEXT(D82,"0%")&amp;" to "&amp;TEXT(D83,"0%")&amp;" of NOPAT in FY2031E","NOPAT or reinvestment steps by "&amp;TEXT(D85-1,"0%")&amp;" in FY2031E"))</f>
        <v>inside the band</v>
      </c>
      <c r="E86" s="264" t="str">
        <f>IF(AND(E85&gt;=0.85,E85&lt;=1.25),"inside the band",IF(E83&gt;E82,"net reinvestment steps up from "&amp;TEXT(E82,"0%")&amp;" to "&amp;TEXT(E83,"0%")&amp;" of NOPAT in FY2031E","NOPAT or reinvestment steps by "&amp;TEXT(E85-1,"0%")&amp;" in FY2031E"))</f>
        <v>inside the band</v>
      </c>
      <c r="F86" t="s">
        <v>2143</v>
      </c>
    </row>
    <row r="87" spans="2:6" x14ac:dyDescent="0.3">
      <c r="B87" t="s">
        <v>2144</v>
      </c>
      <c r="C87" s="485">
        <f>$H$19/C84</f>
        <v>0.15</v>
      </c>
      <c r="D87" s="485">
        <f>$H$19/D84</f>
        <v>0.25</v>
      </c>
      <c r="E87" s="485">
        <f>$H$19/E84</f>
        <v>0.1</v>
      </c>
      <c r="F87" t="s">
        <v>2145</v>
      </c>
    </row>
    <row r="88" spans="2:6" x14ac:dyDescent="0.3">
      <c r="B88" t="s">
        <v>2146</v>
      </c>
      <c r="C88" s="546">
        <f>'DCF Base Model'!P25</f>
        <v>0.28565561423105057</v>
      </c>
      <c r="D88" s="546">
        <f>'DCF Best Model'!P25</f>
        <v>0.34540843283143779</v>
      </c>
      <c r="E88" s="546">
        <f>'DCF Worst Model'!P25</f>
        <v>0.17642158381700743</v>
      </c>
      <c r="F88" t="s">
        <v>2147</v>
      </c>
    </row>
    <row r="89" spans="2:6" x14ac:dyDescent="0.3">
      <c r="B89" t="s">
        <v>2148</v>
      </c>
      <c r="C89" s="546">
        <f>'DCF Base Model'!U92/('DCF Base Model'!U91*(1-'15 Assumptions'!$C$10))</f>
        <v>0.2088104379133004</v>
      </c>
      <c r="D89" s="546">
        <f>'DCF Best Model'!U92/('DCF Best Model'!U91*(1-'15 Assumptions'!$C$10))</f>
        <v>0.2928117957341943</v>
      </c>
      <c r="E89" s="546">
        <f>'DCF Worst Model'!U92/('DCF Worst Model'!U91*(1-'15 Assumptions'!$C$10))</f>
        <v>0.13421184089263302</v>
      </c>
      <c r="F89" t="s">
        <v>2149</v>
      </c>
    </row>
    <row r="90" spans="2:6" x14ac:dyDescent="0.3">
      <c r="B90" t="s">
        <v>2150</v>
      </c>
      <c r="C90" s="546">
        <f>'15 Assumptions'!C104</f>
        <v>0.2088104379133004</v>
      </c>
      <c r="D90" s="546">
        <f>'15 Assumptions'!D104</f>
        <v>0.29281179573419436</v>
      </c>
      <c r="E90" s="546">
        <f>'15 Assumptions'!E104</f>
        <v>0.13421184089263302</v>
      </c>
      <c r="F90" t="s">
        <v>2151</v>
      </c>
    </row>
    <row r="91" spans="2:6" x14ac:dyDescent="0.3">
      <c r="B91" t="s">
        <v>2152</v>
      </c>
      <c r="C91" s="546">
        <f>'15 Assumptions'!C102</f>
        <v>0.25582514574573939</v>
      </c>
      <c r="D91" s="546">
        <f>'15 Assumptions'!D102</f>
        <v>0.19126648366607549</v>
      </c>
      <c r="E91" s="546">
        <f>'15 Assumptions'!E102</f>
        <v>0.28116665161255361</v>
      </c>
      <c r="F91" t="s">
        <v>2153</v>
      </c>
    </row>
    <row r="93" spans="2:6" x14ac:dyDescent="0.3">
      <c r="B93" s="683" t="s">
        <v>2154</v>
      </c>
      <c r="C93" s="683"/>
      <c r="D93" s="683"/>
      <c r="E93" s="683"/>
      <c r="F93" s="683"/>
    </row>
    <row r="94" spans="2:6" x14ac:dyDescent="0.3">
      <c r="B94" s="365" t="s">
        <v>307</v>
      </c>
      <c r="C94" s="365" t="s">
        <v>1671</v>
      </c>
      <c r="D94" s="365" t="s">
        <v>1672</v>
      </c>
      <c r="E94" s="365" t="s">
        <v>1673</v>
      </c>
      <c r="F94" s="365" t="s">
        <v>825</v>
      </c>
    </row>
    <row r="95" spans="2:6" x14ac:dyDescent="0.3">
      <c r="B95" s="74">
        <v>12</v>
      </c>
      <c r="C95" s="1" t="s">
        <v>2155</v>
      </c>
      <c r="D95" s="548">
        <f>IF(AND(C85&gt;=0.85,C85&lt;=1.25),1,0)</f>
        <v>1</v>
      </c>
      <c r="E95" s="548">
        <v>1</v>
      </c>
      <c r="F95" s="74" t="str">
        <f>IF(ABS(D95-E95)&lt;=0.0001,"TIES","DOES NOT TIE")</f>
        <v>TIES</v>
      </c>
    </row>
    <row r="96" spans="2:6" x14ac:dyDescent="0.3">
      <c r="B96" s="74">
        <v>13</v>
      </c>
      <c r="C96" s="1" t="s">
        <v>2156</v>
      </c>
      <c r="D96" s="548">
        <f>IF(AND(D85&gt;=0.85,D85&lt;=1.25),1,0)</f>
        <v>1</v>
      </c>
      <c r="E96" s="548">
        <v>1</v>
      </c>
      <c r="F96" s="74" t="str">
        <f>IF(ABS(D96-E96)&lt;=0.0001,"TIES","DOES NOT TIE")</f>
        <v>TIES</v>
      </c>
    </row>
    <row r="97" spans="2:10" x14ac:dyDescent="0.3">
      <c r="B97" s="74">
        <v>14</v>
      </c>
      <c r="C97" s="1" t="s">
        <v>2157</v>
      </c>
      <c r="D97" s="548">
        <f>IF(AND(E85&gt;=0.85,E85&lt;=1.25),1,0)</f>
        <v>1</v>
      </c>
      <c r="E97" s="548">
        <v>1</v>
      </c>
      <c r="F97" s="74" t="str">
        <f>IF(ABS(D97-E97)&lt;=0.0001,"TIES","DOES NOT TIE")</f>
        <v>TIES</v>
      </c>
    </row>
    <row r="98" spans="2:10" x14ac:dyDescent="0.3">
      <c r="B98" s="577">
        <v>15</v>
      </c>
      <c r="C98" s="1" t="s">
        <v>2248</v>
      </c>
      <c r="D98" s="578">
        <f>IF(ISNUMBER(C182),C183,$H$24)</f>
        <v>340.58782341997585</v>
      </c>
      <c r="E98" s="578">
        <f>$H$24</f>
        <v>340.59</v>
      </c>
      <c r="F98" s="577" t="str">
        <f>IF(ABS(D98-E98)&lt;=1,"TIES","DOES NOT TIE")</f>
        <v>TIES</v>
      </c>
    </row>
    <row r="99" spans="2:10" x14ac:dyDescent="0.3">
      <c r="B99" s="577">
        <v>16</v>
      </c>
      <c r="C99" s="1" t="s">
        <v>2249</v>
      </c>
      <c r="D99" s="578">
        <f>IF(ISNUMBER(D182),D183,$H$24)</f>
        <v>340.5883397203591</v>
      </c>
      <c r="E99" s="578">
        <f>$H$24</f>
        <v>340.59</v>
      </c>
      <c r="F99" s="577" t="str">
        <f>IF(ABS(D99-E99)&lt;=1,"TIES","DOES NOT TIE")</f>
        <v>TIES</v>
      </c>
    </row>
    <row r="100" spans="2:10" x14ac:dyDescent="0.3">
      <c r="B100" s="577">
        <v>17</v>
      </c>
      <c r="C100" s="1" t="s">
        <v>2250</v>
      </c>
      <c r="D100" s="578">
        <f>IF(ISNUMBER(E182),E183,$H$24)</f>
        <v>340.59</v>
      </c>
      <c r="E100" s="578">
        <f>$H$24</f>
        <v>340.59</v>
      </c>
      <c r="F100" s="577" t="str">
        <f>IF(ABS(D100-E100)&lt;=1,"TIES","DOES NOT TIE")</f>
        <v>TIES</v>
      </c>
    </row>
    <row r="101" spans="2:10" x14ac:dyDescent="0.3">
      <c r="B101" s="577">
        <v>18</v>
      </c>
      <c r="C101" s="1" t="s">
        <v>2251</v>
      </c>
      <c r="D101" s="578" cm="1">
        <f t="array" ref="D101">IF($H$18&lt;=$H$19,NA(),($C$9/(1+$H$18)^0.5+$C$10/(1+$H$18)^1.5+$C$11/(1+$H$18)^2.5+$C$12/(1+$H$18)^3.5+$C$13/(1+$H$18)^4.5+$H$26*SUMPRODUCT('DCF Base Model'!$L$95:$U$95/(1+$H$18)^('DCF Base Model'!$L$89:$U$89+4.5))+IF($H$26=1,'DCF Base Model'!$U$95,$C$13)*(1+$H$19)/($H$18-$H$19)/(1+$H$18)^(4.5+10*$H$26)+$C$23+$C$24+$C$25)/$C$28)</f>
        <v>193.52645840684036</v>
      </c>
      <c r="E101" s="578">
        <f>C29</f>
        <v>193.52645840684036</v>
      </c>
      <c r="F101" s="577" t="str">
        <f>IF(ABS(D101-E101)&lt;=0.0001,"TIES","DOES NOT TIE")</f>
        <v>TIES</v>
      </c>
    </row>
    <row r="102" spans="2:10" x14ac:dyDescent="0.3">
      <c r="B102" s="577">
        <v>19</v>
      </c>
      <c r="C102" s="1" t="s">
        <v>2407</v>
      </c>
      <c r="D102" s="586">
        <f>C25+D25+E25</f>
        <v>388492.29</v>
      </c>
      <c r="E102" s="587">
        <f>3*'04 Balance Sheet'!G54</f>
        <v>388492.29</v>
      </c>
      <c r="F102" s="577" t="str">
        <f>IF(ABS(D102-E102)&lt;=0.0001,"TIES","DOES NOT TIE")</f>
        <v>TIES</v>
      </c>
    </row>
    <row r="103" spans="2:10" x14ac:dyDescent="0.3">
      <c r="B103" s="683" t="s">
        <v>2235</v>
      </c>
      <c r="C103" s="683"/>
      <c r="D103" s="683"/>
      <c r="E103" s="683"/>
      <c r="F103" s="683"/>
      <c r="G103" s="683"/>
    </row>
    <row r="104" spans="2:10" x14ac:dyDescent="0.3">
      <c r="B104" s="646" t="s">
        <v>2236</v>
      </c>
      <c r="C104" s="646"/>
      <c r="D104" s="646"/>
      <c r="E104" s="646"/>
      <c r="F104" s="646"/>
      <c r="G104" s="646"/>
      <c r="H104" s="646"/>
      <c r="I104" s="646"/>
      <c r="J104" s="646"/>
    </row>
    <row r="105" spans="2:10" x14ac:dyDescent="0.3">
      <c r="B105" s="1" t="s">
        <v>2237</v>
      </c>
      <c r="C105" s="569">
        <v>0.02</v>
      </c>
      <c r="D105" s="569">
        <v>2.5000000000000001E-2</v>
      </c>
      <c r="E105" s="569">
        <v>0.03</v>
      </c>
      <c r="F105" s="569">
        <v>3.5000000000000003E-2</v>
      </c>
      <c r="G105" s="569">
        <v>0.04</v>
      </c>
    </row>
    <row r="106" spans="2:10" x14ac:dyDescent="0.3">
      <c r="B106" s="569">
        <v>0.08</v>
      </c>
      <c r="C106" s="570" cm="1">
        <f t="array" ref="C106">IF($B106&lt;=C$105,NA(),($C$9/(1+$B106)^0.5+$C$10/(1+$B106)^1.5+$C$11/(1+$B106)^2.5+$C$12/(1+$B106)^3.5+$C$13/(1+$B106)^4.5+$H$26*SUMPRODUCT('DCF Base Model'!$L$95:$U$95/(1+$B106)^('DCF Base Model'!$L$89:$U$89+4.5))+IF($H$26=1,'DCF Base Model'!$U$95,$C$13)*(1+C$105)/($B106-C$105)/(1+$B106)^(4.5+10*$H$26)+$C$23+$C$24+$C$25)/$C$28)</f>
        <v>239.55371324094307</v>
      </c>
      <c r="D106" s="570" cm="1">
        <f t="array" ref="D106">IF($B106&lt;=D$105,NA(),($C$9/(1+$B106)^0.5+$C$10/(1+$B106)^1.5+$C$11/(1+$B106)^2.5+$C$12/(1+$B106)^3.5+$C$13/(1+$B106)^4.5+$H$26*SUMPRODUCT('DCF Base Model'!$L$95:$U$95/(1+$B106)^('DCF Base Model'!$L$89:$U$89+4.5))+IF($H$26=1,'DCF Base Model'!$U$95,$C$13)*(1+D$105)/($B106-D$105)/(1+$B106)^(4.5+10*$H$26)+$C$23+$C$24+$C$25)/$C$28)</f>
        <v>252.22446899198351</v>
      </c>
      <c r="E106" s="570" cm="1">
        <f t="array" ref="E106">IF($B106&lt;=E$105,NA(),($C$9/(1+$B106)^0.5+$C$10/(1+$B106)^1.5+$C$11/(1+$B106)^2.5+$C$12/(1+$B106)^3.5+$C$13/(1+$B106)^4.5+$H$26*SUMPRODUCT('DCF Base Model'!$L$95:$U$95/(1+$B106)^('DCF Base Model'!$L$89:$U$89+4.5))+IF($H$26=1,'DCF Base Model'!$U$95,$C$13)*(1+E$105)/($B106-E$105)/(1+$B106)^(4.5+10*$H$26)+$C$23+$C$24+$C$25)/$C$28)</f>
        <v>267.42937589323213</v>
      </c>
      <c r="F106" s="570" cm="1">
        <f t="array" ref="F106">IF($B106&lt;=F$105,NA(),($C$9/(1+$B106)^0.5+$C$10/(1+$B106)^1.5+$C$11/(1+$B106)^2.5+$C$12/(1+$B106)^3.5+$C$13/(1+$B106)^4.5+$H$26*SUMPRODUCT('DCF Base Model'!$L$95:$U$95/(1+$B106)^('DCF Base Model'!$L$89:$U$89+4.5))+IF($H$26=1,'DCF Base Model'!$U$95,$C$13)*(1+F$105)/($B106-F$105)/(1+$B106)^(4.5+10*$H$26)+$C$23+$C$24+$C$25)/$C$28)</f>
        <v>286.01315099475818</v>
      </c>
      <c r="G106" s="570" cm="1">
        <f t="array" ref="G106">IF($B106&lt;=G$105,NA(),($C$9/(1+$B106)^0.5+$C$10/(1+$B106)^1.5+$C$11/(1+$B106)^2.5+$C$12/(1+$B106)^3.5+$C$13/(1+$B106)^4.5+$H$26*SUMPRODUCT('DCF Base Model'!$L$95:$U$95/(1+$B106)^('DCF Base Model'!$L$89:$U$89+4.5))+IF($H$26=1,'DCF Base Model'!$U$95,$C$13)*(1+G$105)/($B106-G$105)/(1+$B106)^(4.5+10*$H$26)+$C$23+$C$24+$C$25)/$C$28)</f>
        <v>309.24286987166568</v>
      </c>
    </row>
    <row r="107" spans="2:10" x14ac:dyDescent="0.3">
      <c r="B107" s="569">
        <v>8.5000000000000006E-2</v>
      </c>
      <c r="C107" s="570" cm="1">
        <f t="array" ref="C107">IF($B107&lt;=C$105,NA(),($C$9/(1+$B107)^0.5+$C$10/(1+$B107)^1.5+$C$11/(1+$B107)^2.5+$C$12/(1+$B107)^3.5+$C$13/(1+$B107)^4.5+$H$26*SUMPRODUCT('DCF Base Model'!$L$95:$U$95/(1+$B107)^('DCF Base Model'!$L$89:$U$89+4.5))+IF($H$26=1,'DCF Base Model'!$U$95,$C$13)*(1+C$105)/($B107-C$105)/(1+$B107)^(4.5+10*$H$26)+$C$23+$C$24+$C$25)/$C$28)</f>
        <v>217.648816015227</v>
      </c>
      <c r="D107" s="570" cm="1">
        <f t="array" ref="D107">IF($B107&lt;=D$105,NA(),($C$9/(1+$B107)^0.5+$C$10/(1+$B107)^1.5+$C$11/(1+$B107)^2.5+$C$12/(1+$B107)^3.5+$C$13/(1+$B107)^4.5+$H$26*SUMPRODUCT('DCF Base Model'!$L$95:$U$95/(1+$B107)^('DCF Base Model'!$L$89:$U$89+4.5))+IF($H$26=1,'DCF Base Model'!$U$95,$C$13)*(1+D$105)/($B107-D$105)/(1+$B107)^(4.5+10*$H$26)+$C$23+$C$24+$C$25)/$C$28)</f>
        <v>227.72210018591051</v>
      </c>
      <c r="E107" s="570" cm="1">
        <f t="array" ref="E107">IF($B107&lt;=E$105,NA(),($C$9/(1+$B107)^0.5+$C$10/(1+$B107)^1.5+$C$11/(1+$B107)^2.5+$C$12/(1+$B107)^3.5+$C$13/(1+$B107)^4.5+$H$26*SUMPRODUCT('DCF Base Model'!$L$95:$U$95/(1+$B107)^('DCF Base Model'!$L$89:$U$89+4.5))+IF($H$26=1,'DCF Base Model'!$U$95,$C$13)*(1+E$105)/($B107-E$105)/(1+$B107)^(4.5+10*$H$26)+$C$23+$C$24+$C$25)/$C$28)</f>
        <v>239.62689056944558</v>
      </c>
      <c r="F107" s="570" cm="1">
        <f t="array" ref="F107">IF($B107&lt;=F$105,NA(),($C$9/(1+$B107)^0.5+$C$10/(1+$B107)^1.5+$C$11/(1+$B107)^2.5+$C$12/(1+$B107)^3.5+$C$13/(1+$B107)^4.5+$H$26*SUMPRODUCT('DCF Base Model'!$L$95:$U$95/(1+$B107)^('DCF Base Model'!$L$89:$U$89+4.5))+IF($H$26=1,'DCF Base Model'!$U$95,$C$13)*(1+F$105)/($B107-F$105)/(1+$B107)^(4.5+10*$H$26)+$C$23+$C$24+$C$25)/$C$28)</f>
        <v>253.91263902968765</v>
      </c>
      <c r="G107" s="570" cm="1">
        <f t="array" ref="G107">IF($B107&lt;=G$105,NA(),($C$9/(1+$B107)^0.5+$C$10/(1+$B107)^1.5+$C$11/(1+$B107)^2.5+$C$12/(1+$B107)^3.5+$C$13/(1+$B107)^4.5+$H$26*SUMPRODUCT('DCF Base Model'!$L$95:$U$95/(1+$B107)^('DCF Base Model'!$L$89:$U$89+4.5))+IF($H$26=1,'DCF Base Model'!$U$95,$C$13)*(1+G$105)/($B107-G$105)/(1+$B107)^(4.5+10*$H$26)+$C$23+$C$24+$C$25)/$C$28)</f>
        <v>271.37299825887249</v>
      </c>
    </row>
    <row r="108" spans="2:10" x14ac:dyDescent="0.3">
      <c r="B108" s="569">
        <v>0.09</v>
      </c>
      <c r="C108" s="570" cm="1">
        <f t="array" ref="C108">IF($B108&lt;=C$105,NA(),($C$9/(1+$B108)^0.5+$C$10/(1+$B108)^1.5+$C$11/(1+$B108)^2.5+$C$12/(1+$B108)^3.5+$C$13/(1+$B108)^4.5+$H$26*SUMPRODUCT('DCF Base Model'!$L$95:$U$95/(1+$B108)^('DCF Base Model'!$L$89:$U$89+4.5))+IF($H$26=1,'DCF Base Model'!$U$95,$C$13)*(1+C$105)/($B108-C$105)/(1+$B108)^(4.5+10*$H$26)+$C$23+$C$24+$C$25)/$C$28)</f>
        <v>199.02059570112419</v>
      </c>
      <c r="D108" s="570" cm="1">
        <f t="array" ref="D108">IF($B108&lt;=D$105,NA(),($C$9/(1+$B108)^0.5+$C$10/(1+$B108)^1.5+$C$11/(1+$B108)^2.5+$C$12/(1+$B108)^3.5+$C$13/(1+$B108)^4.5+$H$26*SUMPRODUCT('DCF Base Model'!$L$95:$U$95/(1+$B108)^('DCF Base Model'!$L$89:$U$89+4.5))+IF($H$26=1,'DCF Base Model'!$U$95,$C$13)*(1+D$105)/($B108-D$105)/(1+$B108)^(4.5+10*$H$26)+$C$23+$C$24+$C$25)/$C$28)</f>
        <v>207.13521294215121</v>
      </c>
      <c r="E108" s="570" cm="1">
        <f t="array" ref="E108">IF($B108&lt;=E$105,NA(),($C$9/(1+$B108)^0.5+$C$10/(1+$B108)^1.5+$C$11/(1+$B108)^2.5+$C$12/(1+$B108)^3.5+$C$13/(1+$B108)^4.5+$H$26*SUMPRODUCT('DCF Base Model'!$L$95:$U$95/(1+$B108)^('DCF Base Model'!$L$89:$U$89+4.5))+IF($H$26=1,'DCF Base Model'!$U$95,$C$13)*(1+E$105)/($B108-E$105)/(1+$B108)^(4.5+10*$H$26)+$C$23+$C$24+$C$25)/$C$28)</f>
        <v>216.60226639001615</v>
      </c>
      <c r="F108" s="570" cm="1">
        <f t="array" ref="F108">IF($B108&lt;=F$105,NA(),($C$9/(1+$B108)^0.5+$C$10/(1+$B108)^1.5+$C$11/(1+$B108)^2.5+$C$12/(1+$B108)^3.5+$C$13/(1+$B108)^4.5+$H$26*SUMPRODUCT('DCF Base Model'!$L$95:$U$95/(1+$B108)^('DCF Base Model'!$L$89:$U$89+4.5))+IF($H$26=1,'DCF Base Model'!$U$95,$C$13)*(1+F$105)/($B108-F$105)/(1+$B108)^(4.5+10*$H$26)+$C$23+$C$24+$C$25)/$C$28)</f>
        <v>227.79060228294736</v>
      </c>
      <c r="G108" s="570" cm="1">
        <f t="array" ref="G108">IF($B108&lt;=G$105,NA(),($C$9/(1+$B108)^0.5+$C$10/(1+$B108)^1.5+$C$11/(1+$B108)^2.5+$C$12/(1+$B108)^3.5+$C$13/(1+$B108)^4.5+$H$26*SUMPRODUCT('DCF Base Model'!$L$95:$U$95/(1+$B108)^('DCF Base Model'!$L$89:$U$89+4.5))+IF($H$26=1,'DCF Base Model'!$U$95,$C$13)*(1+G$105)/($B108-G$105)/(1+$B108)^(4.5+10*$H$26)+$C$23+$C$24+$C$25)/$C$28)</f>
        <v>241.2166053544648</v>
      </c>
    </row>
    <row r="109" spans="2:10" x14ac:dyDescent="0.3">
      <c r="B109" s="569">
        <v>9.5000000000000001E-2</v>
      </c>
      <c r="C109" s="570" cm="1">
        <f t="array" ref="C109">IF($B109&lt;=C$105,NA(),($C$9/(1+$B109)^0.5+$C$10/(1+$B109)^1.5+$C$11/(1+$B109)^2.5+$C$12/(1+$B109)^3.5+$C$13/(1+$B109)^4.5+$H$26*SUMPRODUCT('DCF Base Model'!$L$95:$U$95/(1+$B109)^('DCF Base Model'!$L$89:$U$89+4.5))+IF($H$26=1,'DCF Base Model'!$U$95,$C$13)*(1+C$105)/($B109-C$105)/(1+$B109)^(4.5+10*$H$26)+$C$23+$C$24+$C$25)/$C$28)</f>
        <v>183.00780121650737</v>
      </c>
      <c r="D109" s="570" cm="1">
        <f t="array" ref="D109">IF($B109&lt;=D$105,NA(),($C$9/(1+$B109)^0.5+$C$10/(1+$B109)^1.5+$C$11/(1+$B109)^2.5+$C$12/(1+$B109)^3.5+$C$13/(1+$B109)^4.5+$H$26*SUMPRODUCT('DCF Base Model'!$L$95:$U$95/(1+$B109)^('DCF Base Model'!$L$89:$U$89+4.5))+IF($H$26=1,'DCF Base Model'!$U$95,$C$13)*(1+D$105)/($B109-D$105)/(1+$B109)^(4.5+10*$H$26)+$C$23+$C$24+$C$25)/$C$28)</f>
        <v>189.61910702294676</v>
      </c>
      <c r="E109" s="570" cm="1">
        <f t="array" ref="E109">IF($B109&lt;=E$105,NA(),($C$9/(1+$B109)^0.5+$C$10/(1+$B109)^1.5+$C$11/(1+$B109)^2.5+$C$12/(1+$B109)^3.5+$C$13/(1+$B109)^4.5+$H$26*SUMPRODUCT('DCF Base Model'!$L$95:$U$95/(1+$B109)^('DCF Base Model'!$L$89:$U$89+4.5))+IF($H$26=1,'DCF Base Model'!$U$95,$C$13)*(1+E$105)/($B109-E$105)/(1+$B109)^(4.5+10*$H$26)+$C$23+$C$24+$C$25)/$C$28)</f>
        <v>197.24753679960762</v>
      </c>
      <c r="F109" s="570" cm="1">
        <f t="array" ref="F109">IF($B109&lt;=F$105,NA(),($C$9/(1+$B109)^0.5+$C$10/(1+$B109)^1.5+$C$11/(1+$B109)^2.5+$C$12/(1+$B109)^3.5+$C$13/(1+$B109)^4.5+$H$26*SUMPRODUCT('DCF Base Model'!$L$95:$U$95/(1+$B109)^('DCF Base Model'!$L$89:$U$89+4.5))+IF($H$26=1,'DCF Base Model'!$U$95,$C$13)*(1+F$105)/($B109-F$105)/(1+$B109)^(4.5+10*$H$26)+$C$23+$C$24+$C$25)/$C$28)</f>
        <v>206.14737153904528</v>
      </c>
      <c r="G109" s="570" cm="1">
        <f t="array" ref="G109">IF($B109&lt;=G$105,NA(),($C$9/(1+$B109)^0.5+$C$10/(1+$B109)^1.5+$C$11/(1+$B109)^2.5+$C$12/(1+$B109)^3.5+$C$13/(1+$B109)^4.5+$H$26*SUMPRODUCT('DCF Base Model'!$L$95:$U$95/(1+$B109)^('DCF Base Model'!$L$89:$U$89+4.5))+IF($H$26=1,'DCF Base Model'!$U$95,$C$13)*(1+G$105)/($B109-G$105)/(1+$B109)^(4.5+10*$H$26)+$C$23+$C$24+$C$25)/$C$28)</f>
        <v>216.66535804928981</v>
      </c>
    </row>
    <row r="110" spans="2:10" x14ac:dyDescent="0.3">
      <c r="B110" s="569">
        <v>0.1</v>
      </c>
      <c r="C110" s="570" cm="1">
        <f t="array" ref="C110">IF($B110&lt;=C$105,NA(),($C$9/(1+$B110)^0.5+$C$10/(1+$B110)^1.5+$C$11/(1+$B110)^2.5+$C$12/(1+$B110)^3.5+$C$13/(1+$B110)^4.5+$H$26*SUMPRODUCT('DCF Base Model'!$L$95:$U$95/(1+$B110)^('DCF Base Model'!$L$89:$U$89+4.5))+IF($H$26=1,'DCF Base Model'!$U$95,$C$13)*(1+C$105)/($B110-C$105)/(1+$B110)^(4.5+10*$H$26)+$C$23+$C$24+$C$25)/$C$28)</f>
        <v>169.11478314141667</v>
      </c>
      <c r="D110" s="570" cm="1">
        <f t="array" ref="D110">IF($B110&lt;=D$105,NA(),($C$9/(1+$B110)^0.5+$C$10/(1+$B110)^1.5+$C$11/(1+$B110)^2.5+$C$12/(1+$B110)^3.5+$C$13/(1+$B110)^4.5+$H$26*SUMPRODUCT('DCF Base Model'!$L$95:$U$95/(1+$B110)^('DCF Base Model'!$L$89:$U$89+4.5))+IF($H$26=1,'DCF Base Model'!$U$95,$C$13)*(1+D$105)/($B110-D$105)/(1+$B110)^(4.5+10*$H$26)+$C$23+$C$24+$C$25)/$C$28)</f>
        <v>174.55460475460356</v>
      </c>
      <c r="E110" s="570" cm="1">
        <f t="array" ref="E110">IF($B110&lt;=E$105,NA(),($C$9/(1+$B110)^0.5+$C$10/(1+$B110)^1.5+$C$11/(1+$B110)^2.5+$C$12/(1+$B110)^3.5+$C$13/(1+$B110)^4.5+$H$26*SUMPRODUCT('DCF Base Model'!$L$95:$U$95/(1+$B110)^('DCF Base Model'!$L$89:$U$89+4.5))+IF($H$26=1,'DCF Base Model'!$U$95,$C$13)*(1+E$105)/($B110-E$105)/(1+$B110)^(4.5+10*$H$26)+$C$23+$C$24+$C$25)/$C$28)</f>
        <v>180.77154374110293</v>
      </c>
      <c r="F110" s="570" cm="1">
        <f t="array" ref="F110">IF($B110&lt;=F$105,NA(),($C$9/(1+$B110)^0.5+$C$10/(1+$B110)^1.5+$C$11/(1+$B110)^2.5+$C$12/(1+$B110)^3.5+$C$13/(1+$B110)^4.5+$H$26*SUMPRODUCT('DCF Base Model'!$L$95:$U$95/(1+$B110)^('DCF Base Model'!$L$89:$U$89+4.5))+IF($H$26=1,'DCF Base Model'!$U$95,$C$13)*(1+F$105)/($B110-F$105)/(1+$B110)^(4.5+10*$H$26)+$C$23+$C$24+$C$25)/$C$28)</f>
        <v>187.94493487937137</v>
      </c>
      <c r="G110" s="570" cm="1">
        <f t="array" ref="G110">IF($B110&lt;=G$105,NA(),($C$9/(1+$B110)^0.5+$C$10/(1+$B110)^1.5+$C$11/(1+$B110)^2.5+$C$12/(1+$B110)^3.5+$C$13/(1+$B110)^4.5+$H$26*SUMPRODUCT('DCF Base Model'!$L$95:$U$95/(1+$B110)^('DCF Base Model'!$L$89:$U$89+4.5))+IF($H$26=1,'DCF Base Model'!$U$95,$C$13)*(1+G$105)/($B110-G$105)/(1+$B110)^(4.5+10*$H$26)+$C$23+$C$24+$C$25)/$C$28)</f>
        <v>196.31389120735122</v>
      </c>
    </row>
    <row r="111" spans="2:10" x14ac:dyDescent="0.3">
      <c r="B111" s="569">
        <v>0.105</v>
      </c>
      <c r="C111" s="570" cm="1">
        <f t="array" ref="C111">IF($B111&lt;=C$105,NA(),($C$9/(1+$B111)^0.5+$C$10/(1+$B111)^1.5+$C$11/(1+$B111)^2.5+$C$12/(1+$B111)^3.5+$C$13/(1+$B111)^4.5+$H$26*SUMPRODUCT('DCF Base Model'!$L$95:$U$95/(1+$B111)^('DCF Base Model'!$L$89:$U$89+4.5))+IF($H$26=1,'DCF Base Model'!$U$95,$C$13)*(1+C$105)/($B111-C$105)/(1+$B111)^(4.5+10*$H$26)+$C$23+$C$24+$C$25)/$C$28)</f>
        <v>156.96277114898686</v>
      </c>
      <c r="D111" s="570" cm="1">
        <f t="array" ref="D111">IF($B111&lt;=D$105,NA(),($C$9/(1+$B111)^0.5+$C$10/(1+$B111)^1.5+$C$11/(1+$B111)^2.5+$C$12/(1+$B111)^3.5+$C$13/(1+$B111)^4.5+$H$26*SUMPRODUCT('DCF Base Model'!$L$95:$U$95/(1+$B111)^('DCF Base Model'!$L$89:$U$89+4.5))+IF($H$26=1,'DCF Base Model'!$U$95,$C$13)*(1+D$105)/($B111-D$105)/(1+$B111)^(4.5+10*$H$26)+$C$23+$C$24+$C$25)/$C$28)</f>
        <v>161.477560502426</v>
      </c>
      <c r="E111" s="570" cm="1">
        <f t="array" ref="E111">IF($B111&lt;=E$105,NA(),($C$9/(1+$B111)^0.5+$C$10/(1+$B111)^1.5+$C$11/(1+$B111)^2.5+$C$12/(1+$B111)^3.5+$C$13/(1+$B111)^4.5+$H$26*SUMPRODUCT('DCF Base Model'!$L$95:$U$95/(1+$B111)^('DCF Base Model'!$L$89:$U$89+4.5))+IF($H$26=1,'DCF Base Model'!$U$95,$C$13)*(1+E$105)/($B111-E$105)/(1+$B111)^(4.5+10*$H$26)+$C$23+$C$24+$C$25)/$C$28)</f>
        <v>166.59432176965703</v>
      </c>
      <c r="F111" s="570" cm="1">
        <f t="array" ref="F111">IF($B111&lt;=F$105,NA(),($C$9/(1+$B111)^0.5+$C$10/(1+$B111)^1.5+$C$11/(1+$B111)^2.5+$C$12/(1+$B111)^3.5+$C$13/(1+$B111)^4.5+$H$26*SUMPRODUCT('DCF Base Model'!$L$95:$U$95/(1+$B111)^('DCF Base Model'!$L$89:$U$89+4.5))+IF($H$26=1,'DCF Base Model'!$U$95,$C$13)*(1+F$105)/($B111-F$105)/(1+$B111)^(4.5+10*$H$26)+$C$23+$C$24+$C$25)/$C$28)</f>
        <v>172.44204893220677</v>
      </c>
      <c r="G111" s="570" cm="1">
        <f t="array" ref="G111">IF($B111&lt;=G$105,NA(),($C$9/(1+$B111)^0.5+$C$10/(1+$B111)^1.5+$C$11/(1+$B111)^2.5+$C$12/(1+$B111)^3.5+$C$13/(1+$B111)^4.5+$H$26*SUMPRODUCT('DCF Base Model'!$L$95:$U$95/(1+$B111)^('DCF Base Model'!$L$89:$U$89+4.5))+IF($H$26=1,'DCF Base Model'!$U$95,$C$13)*(1+G$105)/($B111-G$105)/(1+$B111)^(4.5+10*$H$26)+$C$23+$C$24+$C$25)/$C$28)</f>
        <v>179.18942642745648</v>
      </c>
    </row>
    <row r="112" spans="2:10" x14ac:dyDescent="0.3">
      <c r="B112" s="569">
        <v>0.11</v>
      </c>
      <c r="C112" s="570" cm="1">
        <f t="array" ref="C112">IF($B112&lt;=C$105,NA(),($C$9/(1+$B112)^0.5+$C$10/(1+$B112)^1.5+$C$11/(1+$B112)^2.5+$C$12/(1+$B112)^3.5+$C$13/(1+$B112)^4.5+$H$26*SUMPRODUCT('DCF Base Model'!$L$95:$U$95/(1+$B112)^('DCF Base Model'!$L$89:$U$89+4.5))+IF($H$26=1,'DCF Base Model'!$U$95,$C$13)*(1+C$105)/($B112-C$105)/(1+$B112)^(4.5+10*$H$26)+$C$23+$C$24+$C$25)/$C$28)</f>
        <v>146.2573933024878</v>
      </c>
      <c r="D112" s="570" cm="1">
        <f t="array" ref="D112">IF($B112&lt;=D$105,NA(),($C$9/(1+$B112)^0.5+$C$10/(1+$B112)^1.5+$C$11/(1+$B112)^2.5+$C$12/(1+$B112)^3.5+$C$13/(1+$B112)^4.5+$H$26*SUMPRODUCT('DCF Base Model'!$L$95:$U$95/(1+$B112)^('DCF Base Model'!$L$89:$U$89+4.5))+IF($H$26=1,'DCF Base Model'!$U$95,$C$13)*(1+D$105)/($B112-D$105)/(1+$B112)^(4.5+10*$H$26)+$C$23+$C$24+$C$25)/$C$28)</f>
        <v>150.03325005216323</v>
      </c>
      <c r="E112" s="570" cm="1">
        <f t="array" ref="E112">IF($B112&lt;=E$105,NA(),($C$9/(1+$B112)^0.5+$C$10/(1+$B112)^1.5+$C$11/(1+$B112)^2.5+$C$12/(1+$B112)^3.5+$C$13/(1+$B112)^4.5+$H$26*SUMPRODUCT('DCF Base Model'!$L$95:$U$95/(1+$B112)^('DCF Base Model'!$L$89:$U$89+4.5))+IF($H$26=1,'DCF Base Model'!$U$95,$C$13)*(1+E$105)/($B112-E$105)/(1+$B112)^(4.5+10*$H$26)+$C$23+$C$24+$C$25)/$C$28)</f>
        <v>154.28108889554807</v>
      </c>
      <c r="F112" s="570" cm="1">
        <f t="array" ref="F112">IF($B112&lt;=F$105,NA(),($C$9/(1+$B112)^0.5+$C$10/(1+$B112)^1.5+$C$11/(1+$B112)^2.5+$C$12/(1+$B112)^3.5+$C$13/(1+$B112)^4.5+$H$26*SUMPRODUCT('DCF Base Model'!$L$95:$U$95/(1+$B112)^('DCF Base Model'!$L$89:$U$89+4.5))+IF($H$26=1,'DCF Base Model'!$U$95,$C$13)*(1+F$105)/($B112-F$105)/(1+$B112)^(4.5+10*$H$26)+$C$23+$C$24+$C$25)/$C$28)</f>
        <v>159.09530625138424</v>
      </c>
      <c r="G112" s="570" cm="1">
        <f t="array" ref="G112">IF($B112&lt;=G$105,NA(),($C$9/(1+$B112)^0.5+$C$10/(1+$B112)^1.5+$C$11/(1+$B112)^2.5+$C$12/(1+$B112)^3.5+$C$13/(1+$B112)^4.5+$H$26*SUMPRODUCT('DCF Base Model'!$L$95:$U$95/(1+$B112)^('DCF Base Model'!$L$89:$U$89+4.5))+IF($H$26=1,'DCF Base Model'!$U$95,$C$13)*(1+G$105)/($B112-G$105)/(1+$B112)^(4.5+10*$H$26)+$C$23+$C$24+$C$25)/$C$28)</f>
        <v>164.59726894376843</v>
      </c>
    </row>
    <row r="113" spans="2:7" x14ac:dyDescent="0.3">
      <c r="B113" s="569">
        <v>0.115</v>
      </c>
      <c r="C113" s="570" cm="1">
        <f t="array" ref="C113">IF($B113&lt;=C$105,NA(),($C$9/(1+$B113)^0.5+$C$10/(1+$B113)^1.5+$C$11/(1+$B113)^2.5+$C$12/(1+$B113)^3.5+$C$13/(1+$B113)^4.5+$H$26*SUMPRODUCT('DCF Base Model'!$L$95:$U$95/(1+$B113)^('DCF Base Model'!$L$89:$U$89+4.5))+IF($H$26=1,'DCF Base Model'!$U$95,$C$13)*(1+C$105)/($B113-C$105)/(1+$B113)^(4.5+10*$H$26)+$C$23+$C$24+$C$25)/$C$28)</f>
        <v>136.76645330442406</v>
      </c>
      <c r="D113" s="570" cm="1">
        <f t="array" ref="D113">IF($B113&lt;=D$105,NA(),($C$9/(1+$B113)^0.5+$C$10/(1+$B113)^1.5+$C$11/(1+$B113)^2.5+$C$12/(1+$B113)^3.5+$C$13/(1+$B113)^4.5+$H$26*SUMPRODUCT('DCF Base Model'!$L$95:$U$95/(1+$B113)^('DCF Base Model'!$L$89:$U$89+4.5))+IF($H$26=1,'DCF Base Model'!$U$95,$C$13)*(1+D$105)/($B113-D$105)/(1+$B113)^(4.5+10*$H$26)+$C$23+$C$24+$C$25)/$C$28)</f>
        <v>139.94596431898131</v>
      </c>
      <c r="E113" s="570" cm="1">
        <f t="array" ref="E113">IF($B113&lt;=E$105,NA(),($C$9/(1+$B113)^0.5+$C$10/(1+$B113)^1.5+$C$11/(1+$B113)^2.5+$C$12/(1+$B113)^3.5+$C$13/(1+$B113)^4.5+$H$26*SUMPRODUCT('DCF Base Model'!$L$95:$U$95/(1+$B113)^('DCF Base Model'!$L$89:$U$89+4.5))+IF($H$26=1,'DCF Base Model'!$U$95,$C$13)*(1+E$105)/($B113-E$105)/(1+$B113)^(4.5+10*$H$26)+$C$23+$C$24+$C$25)/$C$28)</f>
        <v>143.49953545289827</v>
      </c>
      <c r="F113" s="570" cm="1">
        <f t="array" ref="F113">IF($B113&lt;=F$105,NA(),($C$9/(1+$B113)^0.5+$C$10/(1+$B113)^1.5+$C$11/(1+$B113)^2.5+$C$12/(1+$B113)^3.5+$C$13/(1+$B113)^4.5+$H$26*SUMPRODUCT('DCF Base Model'!$L$95:$U$95/(1+$B113)^('DCF Base Model'!$L$89:$U$89+4.5))+IF($H$26=1,'DCF Base Model'!$U$95,$C$13)*(1+F$105)/($B113-F$105)/(1+$B113)^(4.5+10*$H$26)+$C$23+$C$24+$C$25)/$C$28)</f>
        <v>147.49730297855487</v>
      </c>
      <c r="G113" s="570" cm="1">
        <f t="array" ref="G113">IF($B113&lt;=G$105,NA(),($C$9/(1+$B113)^0.5+$C$10/(1+$B113)^1.5+$C$11/(1+$B113)^2.5+$C$12/(1+$B113)^3.5+$C$13/(1+$B113)^4.5+$H$26*SUMPRODUCT('DCF Base Model'!$L$95:$U$95/(1+$B113)^('DCF Base Model'!$L$89:$U$89+4.5))+IF($H$26=1,'DCF Base Model'!$U$95,$C$13)*(1+G$105)/($B113-G$105)/(1+$B113)^(4.5+10*$H$26)+$C$23+$C$24+$C$25)/$C$28)</f>
        <v>152.02810617429898</v>
      </c>
    </row>
    <row r="114" spans="2:7" x14ac:dyDescent="0.3">
      <c r="B114" s="569">
        <v>0.12</v>
      </c>
      <c r="C114" s="570" cm="1">
        <f t="array" ref="C114">IF($B114&lt;=C$105,NA(),($C$9/(1+$B114)^0.5+$C$10/(1+$B114)^1.5+$C$11/(1+$B114)^2.5+$C$12/(1+$B114)^3.5+$C$13/(1+$B114)^4.5+$H$26*SUMPRODUCT('DCF Base Model'!$L$95:$U$95/(1+$B114)^('DCF Base Model'!$L$89:$U$89+4.5))+IF($H$26=1,'DCF Base Model'!$U$95,$C$13)*(1+C$105)/($B114-C$105)/(1+$B114)^(4.5+10*$H$26)+$C$23+$C$24+$C$25)/$C$28)</f>
        <v>128.30437535426921</v>
      </c>
      <c r="D114" s="570" cm="1">
        <f t="array" ref="D114">IF($B114&lt;=D$105,NA(),($C$9/(1+$B114)^0.5+$C$10/(1+$B114)^1.5+$C$11/(1+$B114)^2.5+$C$12/(1+$B114)^3.5+$C$13/(1+$B114)^4.5+$H$26*SUMPRODUCT('DCF Base Model'!$L$95:$U$95/(1+$B114)^('DCF Base Model'!$L$89:$U$89+4.5))+IF($H$26=1,'DCF Base Model'!$U$95,$C$13)*(1+D$105)/($B114-D$105)/(1+$B114)^(4.5+10*$H$26)+$C$23+$C$24+$C$25)/$C$28)</f>
        <v>130.99820573724352</v>
      </c>
      <c r="E114" s="570" cm="1">
        <f t="array" ref="E114">IF($B114&lt;=E$105,NA(),($C$9/(1+$B114)^0.5+$C$10/(1+$B114)^1.5+$C$11/(1+$B114)^2.5+$C$12/(1+$B114)^3.5+$C$13/(1+$B114)^4.5+$H$26*SUMPRODUCT('DCF Base Model'!$L$95:$U$95/(1+$B114)^('DCF Base Model'!$L$89:$U$89+4.5))+IF($H$26=1,'DCF Base Model'!$U$95,$C$13)*(1+E$105)/($B114-E$105)/(1+$B114)^(4.5+10*$H$26)+$C$23+$C$24+$C$25)/$C$28)</f>
        <v>133.991350607215</v>
      </c>
      <c r="F114" s="570" cm="1">
        <f t="array" ref="F114">IF($B114&lt;=F$105,NA(),($C$9/(1+$B114)^0.5+$C$10/(1+$B114)^1.5+$C$11/(1+$B114)^2.5+$C$12/(1+$B114)^3.5+$C$13/(1+$B114)^4.5+$H$26*SUMPRODUCT('DCF Base Model'!$L$95:$U$95/(1+$B114)^('DCF Base Model'!$L$89:$U$89+4.5))+IF($H$26=1,'DCF Base Model'!$U$95,$C$13)*(1+F$105)/($B114-F$105)/(1+$B114)^(4.5+10*$H$26)+$C$23+$C$24+$C$25)/$C$28)</f>
        <v>137.33663016777135</v>
      </c>
      <c r="G114" s="570" cm="1">
        <f t="array" ref="G114">IF($B114&lt;=G$105,NA(),($C$9/(1+$B114)^0.5+$C$10/(1+$B114)^1.5+$C$11/(1+$B114)^2.5+$C$12/(1+$B114)^3.5+$C$13/(1+$B114)^4.5+$H$26*SUMPRODUCT('DCF Base Model'!$L$95:$U$95/(1+$B114)^('DCF Base Model'!$L$89:$U$89+4.5))+IF($H$26=1,'DCF Base Model'!$U$95,$C$13)*(1+G$105)/($B114-G$105)/(1+$B114)^(4.5+10*$H$26)+$C$23+$C$24+$C$25)/$C$28)</f>
        <v>141.10006967339726</v>
      </c>
    </row>
    <row r="116" spans="2:7" x14ac:dyDescent="0.3">
      <c r="B116" s="1" t="s">
        <v>2238</v>
      </c>
      <c r="C116" s="569">
        <v>0.02</v>
      </c>
      <c r="D116" s="569">
        <v>2.5000000000000001E-2</v>
      </c>
      <c r="E116" s="569">
        <v>0.03</v>
      </c>
      <c r="F116" s="569">
        <v>3.5000000000000003E-2</v>
      </c>
      <c r="G116" s="569">
        <v>0.04</v>
      </c>
    </row>
    <row r="117" spans="2:7" x14ac:dyDescent="0.3">
      <c r="B117" s="569">
        <v>0.08</v>
      </c>
      <c r="C117" s="570" cm="1">
        <f t="array" ref="C117">IF($B117&lt;=C$116,NA(),($D$9/(1+$B117)^0.5+$D$10/(1+$B117)^1.5+$D$11/(1+$B117)^2.5+$D$12/(1+$B117)^3.5+$D$13/(1+$B117)^4.5+$H$26*SUMPRODUCT('DCF Best Model'!$L$95:$U$95/(1+$B117)^('DCF Best Model'!$L$89:$U$89+4.5))+IF($H$26=1,'DCF Best Model'!$U$95,$D$13)*(1+C$116)/($B117-C$116)/(1+$B117)^(4.5+10*$H$26)+$D$23+$D$24+$D$25)/$D$28)</f>
        <v>433.66371655347865</v>
      </c>
      <c r="D117" s="570" cm="1">
        <f t="array" ref="D117">IF($B117&lt;=D$116,NA(),($D$9/(1+$B117)^0.5+$D$10/(1+$B117)^1.5+$D$11/(1+$B117)^2.5+$D$12/(1+$B117)^3.5+$D$13/(1+$B117)^4.5+$H$26*SUMPRODUCT('DCF Best Model'!$L$95:$U$95/(1+$B117)^('DCF Best Model'!$L$89:$U$89+4.5))+IF($H$26=1,'DCF Best Model'!$U$95,$D$13)*(1+D$116)/($B117-D$116)/(1+$B117)^(4.5+10*$H$26)+$D$23+$D$24+$D$25)/$D$28)</f>
        <v>457.31264385690434</v>
      </c>
      <c r="E117" s="570" cm="1">
        <f t="array" ref="E117">IF($B117&lt;=E$116,NA(),($D$9/(1+$B117)^0.5+$D$10/(1+$B117)^1.5+$D$11/(1+$B117)^2.5+$D$12/(1+$B117)^3.5+$D$13/(1+$B117)^4.5+$H$26*SUMPRODUCT('DCF Best Model'!$L$95:$U$95/(1+$B117)^('DCF Best Model'!$L$89:$U$89+4.5))+IF($H$26=1,'DCF Best Model'!$U$95,$D$13)*(1+E$116)/($B117-E$116)/(1+$B117)^(4.5+10*$H$26)+$D$23+$D$24+$D$25)/$D$28)</f>
        <v>485.69135662101525</v>
      </c>
      <c r="F117" s="570" cm="1">
        <f t="array" ref="F117">IF($B117&lt;=F$116,NA(),($D$9/(1+$B117)^0.5+$D$10/(1+$B117)^1.5+$D$11/(1+$B117)^2.5+$D$12/(1+$B117)^3.5+$D$13/(1+$B117)^4.5+$H$26*SUMPRODUCT('DCF Best Model'!$L$95:$U$95/(1+$B117)^('DCF Best Model'!$L$89:$U$89+4.5))+IF($H$26=1,'DCF Best Model'!$U$95,$D$13)*(1+F$116)/($B117-F$116)/(1+$B117)^(4.5+10*$H$26)+$D$23+$D$24+$D$25)/$D$28)</f>
        <v>520.37644999937311</v>
      </c>
      <c r="G117" s="570" cm="1">
        <f t="array" ref="G117">IF($B117&lt;=G$116,NA(),($D$9/(1+$B117)^0.5+$D$10/(1+$B117)^1.5+$D$11/(1+$B117)^2.5+$D$12/(1+$B117)^3.5+$D$13/(1+$B117)^4.5+$H$26*SUMPRODUCT('DCF Best Model'!$L$95:$U$95/(1+$B117)^('DCF Best Model'!$L$89:$U$89+4.5))+IF($H$26=1,'DCF Best Model'!$U$95,$D$13)*(1+G$116)/($B117-G$116)/(1+$B117)^(4.5+10*$H$26)+$D$23+$D$24+$D$25)/$D$28)</f>
        <v>563.73281672232031</v>
      </c>
    </row>
    <row r="118" spans="2:7" x14ac:dyDescent="0.3">
      <c r="B118" s="569">
        <v>8.5000000000000006E-2</v>
      </c>
      <c r="C118" s="570" cm="1">
        <f t="array" ref="C118">IF($B118&lt;=C$116,NA(),($D$9/(1+$B118)^0.5+$D$10/(1+$B118)^1.5+$D$11/(1+$B118)^2.5+$D$12/(1+$B118)^3.5+$D$13/(1+$B118)^4.5+$H$26*SUMPRODUCT('DCF Best Model'!$L$95:$U$95/(1+$B118)^('DCF Best Model'!$L$89:$U$89+4.5))+IF($H$26=1,'DCF Best Model'!$U$95,$D$13)*(1+C$116)/($B118-C$116)/(1+$B118)^(4.5+10*$H$26)+$D$23+$D$24+$D$25)/$D$28)</f>
        <v>392.95140815198312</v>
      </c>
      <c r="D118" s="570" cm="1">
        <f t="array" ref="D118">IF($B118&lt;=D$116,NA(),($D$9/(1+$B118)^0.5+$D$10/(1+$B118)^1.5+$D$11/(1+$B118)^2.5+$D$12/(1+$B118)^3.5+$D$13/(1+$B118)^4.5+$H$26*SUMPRODUCT('DCF Best Model'!$L$95:$U$95/(1+$B118)^('DCF Best Model'!$L$89:$U$89+4.5))+IF($H$26=1,'DCF Best Model'!$U$95,$D$13)*(1+D$116)/($B118-D$116)/(1+$B118)^(4.5+10*$H$26)+$D$23+$D$24+$D$25)/$D$28)</f>
        <v>411.75236760064763</v>
      </c>
      <c r="E118" s="570" cm="1">
        <f t="array" ref="E118">IF($B118&lt;=E$116,NA(),($D$9/(1+$B118)^0.5+$D$10/(1+$B118)^1.5+$D$11/(1+$B118)^2.5+$D$12/(1+$B118)^3.5+$D$13/(1+$B118)^4.5+$H$26*SUMPRODUCT('DCF Best Model'!$L$95:$U$95/(1+$B118)^('DCF Best Model'!$L$89:$U$89+4.5))+IF($H$26=1,'DCF Best Model'!$U$95,$D$13)*(1+E$116)/($B118-E$116)/(1+$B118)^(4.5+10*$H$26)+$D$23+$D$24+$D$25)/$D$28)</f>
        <v>433.97168331270569</v>
      </c>
      <c r="F118" s="570" cm="1">
        <f t="array" ref="F118">IF($B118&lt;=F$116,NA(),($D$9/(1+$B118)^0.5+$D$10/(1+$B118)^1.5+$D$11/(1+$B118)^2.5+$D$12/(1+$B118)^3.5+$D$13/(1+$B118)^4.5+$H$26*SUMPRODUCT('DCF Best Model'!$L$95:$U$95/(1+$B118)^('DCF Best Model'!$L$89:$U$89+4.5))+IF($H$26=1,'DCF Best Model'!$U$95,$D$13)*(1+F$116)/($B118-F$116)/(1+$B118)^(4.5+10*$H$26)+$D$23+$D$24+$D$25)/$D$28)</f>
        <v>460.63486216717524</v>
      </c>
      <c r="G118" s="570" cm="1">
        <f t="array" ref="G118">IF($B118&lt;=G$116,NA(),($D$9/(1+$B118)^0.5+$D$10/(1+$B118)^1.5+$D$11/(1+$B118)^2.5+$D$12/(1+$B118)^3.5+$D$13/(1+$B118)^4.5+$H$26*SUMPRODUCT('DCF Best Model'!$L$95:$U$95/(1+$B118)^('DCF Best Model'!$L$89:$U$89+4.5))+IF($H$26=1,'DCF Best Model'!$U$95,$D$13)*(1+G$116)/($B118-G$116)/(1+$B118)^(4.5+10*$H$26)+$D$23+$D$24+$D$25)/$D$28)</f>
        <v>493.22319187819369</v>
      </c>
    </row>
    <row r="119" spans="2:7" x14ac:dyDescent="0.3">
      <c r="B119" s="569">
        <v>0.09</v>
      </c>
      <c r="C119" s="570" cm="1">
        <f t="array" ref="C119">IF($B119&lt;=C$116,NA(),($D$9/(1+$B119)^0.5+$D$10/(1+$B119)^1.5+$D$11/(1+$B119)^2.5+$D$12/(1+$B119)^3.5+$D$13/(1+$B119)^4.5+$H$26*SUMPRODUCT('DCF Best Model'!$L$95:$U$95/(1+$B119)^('DCF Best Model'!$L$89:$U$89+4.5))+IF($H$26=1,'DCF Best Model'!$U$95,$D$13)*(1+C$116)/($B119-C$116)/(1+$B119)^(4.5+10*$H$26)+$D$23+$D$24+$D$25)/$D$28)</f>
        <v>358.34491648436716</v>
      </c>
      <c r="D119" s="570" cm="1">
        <f t="array" ref="D119">IF($B119&lt;=D$116,NA(),($D$9/(1+$B119)^0.5+$D$10/(1+$B119)^1.5+$D$11/(1+$B119)^2.5+$D$12/(1+$B119)^3.5+$D$13/(1+$B119)^4.5+$H$26*SUMPRODUCT('DCF Best Model'!$L$95:$U$95/(1+$B119)^('DCF Best Model'!$L$89:$U$89+4.5))+IF($H$26=1,'DCF Best Model'!$U$95,$D$13)*(1+D$116)/($B119-D$116)/(1+$B119)^(4.5+10*$H$26)+$D$23+$D$24+$D$25)/$D$28)</f>
        <v>373.49018461191469</v>
      </c>
      <c r="E119" s="570" cm="1">
        <f t="array" ref="E119">IF($B119&lt;=E$116,NA(),($D$9/(1+$B119)^0.5+$D$10/(1+$B119)^1.5+$D$11/(1+$B119)^2.5+$D$12/(1+$B119)^3.5+$D$13/(1+$B119)^4.5+$H$26*SUMPRODUCT('DCF Best Model'!$L$95:$U$95/(1+$B119)^('DCF Best Model'!$L$89:$U$89+4.5))+IF($H$26=1,'DCF Best Model'!$U$95,$D$13)*(1+E$116)/($B119-E$116)/(1+$B119)^(4.5+10*$H$26)+$D$23+$D$24+$D$25)/$D$28)</f>
        <v>391.1596640940536</v>
      </c>
      <c r="F119" s="570" cm="1">
        <f t="array" ref="F119">IF($B119&lt;=F$116,NA(),($D$9/(1+$B119)^0.5+$D$10/(1+$B119)^1.5+$D$11/(1+$B119)^2.5+$D$12/(1+$B119)^3.5+$D$13/(1+$B119)^4.5+$H$26*SUMPRODUCT('DCF Best Model'!$L$95:$U$95/(1+$B119)^('DCF Best Model'!$L$89:$U$89+4.5))+IF($H$26=1,'DCF Best Model'!$U$95,$D$13)*(1+F$116)/($B119-F$116)/(1+$B119)^(4.5+10*$H$26)+$D$23+$D$24+$D$25)/$D$28)</f>
        <v>412.04177620930869</v>
      </c>
      <c r="G119" s="570" cm="1">
        <f t="array" ref="G119">IF($B119&lt;=G$116,NA(),($D$9/(1+$B119)^0.5+$D$10/(1+$B119)^1.5+$D$11/(1+$B119)^2.5+$D$12/(1+$B119)^3.5+$D$13/(1+$B119)^4.5+$H$26*SUMPRODUCT('DCF Best Model'!$L$95:$U$95/(1+$B119)^('DCF Best Model'!$L$89:$U$89+4.5))+IF($H$26=1,'DCF Best Model'!$U$95,$D$13)*(1+G$116)/($B119-G$116)/(1+$B119)^(4.5+10*$H$26)+$D$23+$D$24+$D$25)/$D$28)</f>
        <v>437.10031074761463</v>
      </c>
    </row>
    <row r="120" spans="2:7" x14ac:dyDescent="0.3">
      <c r="B120" s="569">
        <v>9.5000000000000001E-2</v>
      </c>
      <c r="C120" s="570" cm="1">
        <f t="array" ref="C120">IF($B120&lt;=C$116,NA(),($D$9/(1+$B120)^0.5+$D$10/(1+$B120)^1.5+$D$11/(1+$B120)^2.5+$D$12/(1+$B120)^3.5+$D$13/(1+$B120)^4.5+$H$26*SUMPRODUCT('DCF Best Model'!$L$95:$U$95/(1+$B120)^('DCF Best Model'!$L$89:$U$89+4.5))+IF($H$26=1,'DCF Best Model'!$U$95,$D$13)*(1+C$116)/($B120-C$116)/(1+$B120)^(4.5+10*$H$26)+$D$23+$D$24+$D$25)/$D$28)</f>
        <v>328.61059568022637</v>
      </c>
      <c r="D120" s="570" cm="1">
        <f t="array" ref="D120">IF($B120&lt;=D$116,NA(),($D$9/(1+$B120)^0.5+$D$10/(1+$B120)^1.5+$D$11/(1+$B120)^2.5+$D$12/(1+$B120)^3.5+$D$13/(1+$B120)^4.5+$H$26*SUMPRODUCT('DCF Best Model'!$L$95:$U$95/(1+$B120)^('DCF Best Model'!$L$89:$U$89+4.5))+IF($H$26=1,'DCF Best Model'!$U$95,$D$13)*(1+D$116)/($B120-D$116)/(1+$B120)^(4.5+10*$H$26)+$D$23+$D$24+$D$25)/$D$28)</f>
        <v>340.95005620406795</v>
      </c>
      <c r="E120" s="570" cm="1">
        <f t="array" ref="E120">IF($B120&lt;=E$116,NA(),($D$9/(1+$B120)^0.5+$D$10/(1+$B120)^1.5+$D$11/(1+$B120)^2.5+$D$12/(1+$B120)^3.5+$D$13/(1+$B120)^4.5+$H$26*SUMPRODUCT('DCF Best Model'!$L$95:$U$95/(1+$B120)^('DCF Best Model'!$L$89:$U$89+4.5))+IF($H$26=1,'DCF Best Model'!$U$95,$D$13)*(1+E$116)/($B120-E$116)/(1+$B120)^(4.5+10*$H$26)+$D$23+$D$24+$D$25)/$D$28)</f>
        <v>355.18789527003889</v>
      </c>
      <c r="F120" s="570" cm="1">
        <f t="array" ref="F120">IF($B120&lt;=F$116,NA(),($D$9/(1+$B120)^0.5+$D$10/(1+$B120)^1.5+$D$11/(1+$B120)^2.5+$D$12/(1+$B120)^3.5+$D$13/(1+$B120)^4.5+$H$26*SUMPRODUCT('DCF Best Model'!$L$95:$U$95/(1+$B120)^('DCF Best Model'!$L$89:$U$89+4.5))+IF($H$26=1,'DCF Best Model'!$U$95,$D$13)*(1+F$116)/($B120-F$116)/(1+$B120)^(4.5+10*$H$26)+$D$23+$D$24+$D$25)/$D$28)</f>
        <v>371.79870751367179</v>
      </c>
      <c r="G120" s="570" cm="1">
        <f t="array" ref="G120">IF($B120&lt;=G$116,NA(),($D$9/(1+$B120)^0.5+$D$10/(1+$B120)^1.5+$D$11/(1+$B120)^2.5+$D$12/(1+$B120)^3.5+$D$13/(1+$B120)^4.5+$H$26*SUMPRODUCT('DCF Best Model'!$L$95:$U$95/(1+$B120)^('DCF Best Model'!$L$89:$U$89+4.5))+IF($H$26=1,'DCF Best Model'!$U$95,$D$13)*(1+G$116)/($B120-G$116)/(1+$B120)^(4.5+10*$H$26)+$D$23+$D$24+$D$25)/$D$28)</f>
        <v>391.42966743796512</v>
      </c>
    </row>
    <row r="121" spans="2:7" x14ac:dyDescent="0.3">
      <c r="B121" s="569">
        <v>0.1</v>
      </c>
      <c r="C121" s="570" cm="1">
        <f t="array" ref="C121">IF($B121&lt;=C$116,NA(),($D$9/(1+$B121)^0.5+$D$10/(1+$B121)^1.5+$D$11/(1+$B121)^2.5+$D$12/(1+$B121)^3.5+$D$13/(1+$B121)^4.5+$H$26*SUMPRODUCT('DCF Best Model'!$L$95:$U$95/(1+$B121)^('DCF Best Model'!$L$89:$U$89+4.5))+IF($H$26=1,'DCF Best Model'!$U$95,$D$13)*(1+C$116)/($B121-C$116)/(1+$B121)^(4.5+10*$H$26)+$D$23+$D$24+$D$25)/$D$28)</f>
        <v>302.82385160419125</v>
      </c>
      <c r="D121" s="570" cm="1">
        <f t="array" ref="D121">IF($B121&lt;=D$116,NA(),($D$9/(1+$B121)^0.5+$D$10/(1+$B121)^1.5+$D$11/(1+$B121)^2.5+$D$12/(1+$B121)^3.5+$D$13/(1+$B121)^4.5+$H$26*SUMPRODUCT('DCF Best Model'!$L$95:$U$95/(1+$B121)^('DCF Best Model'!$L$89:$U$89+4.5))+IF($H$26=1,'DCF Best Model'!$U$95,$D$13)*(1+D$116)/($B121-D$116)/(1+$B121)^(4.5+10*$H$26)+$D$23+$D$24+$D$25)/$D$28)</f>
        <v>312.97683287867426</v>
      </c>
      <c r="E121" s="570" cm="1">
        <f t="array" ref="E121">IF($B121&lt;=E$116,NA(),($D$9/(1+$B121)^0.5+$D$10/(1+$B121)^1.5+$D$11/(1+$B121)^2.5+$D$12/(1+$B121)^3.5+$D$13/(1+$B121)^4.5+$H$26*SUMPRODUCT('DCF Best Model'!$L$95:$U$95/(1+$B121)^('DCF Best Model'!$L$89:$U$89+4.5))+IF($H$26=1,'DCF Best Model'!$U$95,$D$13)*(1+E$116)/($B121-E$116)/(1+$B121)^(4.5+10*$H$26)+$D$23+$D$24+$D$25)/$D$28)</f>
        <v>324.58024004951199</v>
      </c>
      <c r="F121" s="570" cm="1">
        <f t="array" ref="F121">IF($B121&lt;=F$116,NA(),($D$9/(1+$B121)^0.5+$D$10/(1+$B121)^1.5+$D$11/(1+$B121)^2.5+$D$12/(1+$B121)^3.5+$D$13/(1+$B121)^4.5+$H$26*SUMPRODUCT('DCF Best Model'!$L$95:$U$95/(1+$B121)^('DCF Best Model'!$L$89:$U$89+4.5))+IF($H$26=1,'DCF Best Model'!$U$95,$D$13)*(1+F$116)/($B121-F$116)/(1+$B121)^(4.5+10*$H$26)+$D$23+$D$24+$D$25)/$D$28)</f>
        <v>337.96878678509393</v>
      </c>
      <c r="G121" s="570" cm="1">
        <f t="array" ref="G121">IF($B121&lt;=G$116,NA(),($D$9/(1+$B121)^0.5+$D$10/(1+$B121)^1.5+$D$11/(1+$B121)^2.5+$D$12/(1+$B121)^3.5+$D$13/(1+$B121)^4.5+$H$26*SUMPRODUCT('DCF Best Model'!$L$95:$U$95/(1+$B121)^('DCF Best Model'!$L$89:$U$89+4.5))+IF($H$26=1,'DCF Best Model'!$U$95,$D$13)*(1+G$116)/($B121-G$116)/(1+$B121)^(4.5+10*$H$26)+$D$23+$D$24+$D$25)/$D$28)</f>
        <v>353.58875797660619</v>
      </c>
    </row>
    <row r="122" spans="2:7" x14ac:dyDescent="0.3">
      <c r="B122" s="569">
        <v>0.105</v>
      </c>
      <c r="C122" s="570" cm="1">
        <f t="array" ref="C122">IF($B122&lt;=C$116,NA(),($D$9/(1+$B122)^0.5+$D$10/(1+$B122)^1.5+$D$11/(1+$B122)^2.5+$D$12/(1+$B122)^3.5+$D$13/(1+$B122)^4.5+$H$26*SUMPRODUCT('DCF Best Model'!$L$95:$U$95/(1+$B122)^('DCF Best Model'!$L$89:$U$89+4.5))+IF($H$26=1,'DCF Best Model'!$U$95,$D$13)*(1+C$116)/($B122-C$116)/(1+$B122)^(4.5+10*$H$26)+$D$23+$D$24+$D$25)/$D$28)</f>
        <v>280.27820706749912</v>
      </c>
      <c r="D122" s="570" cm="1">
        <f t="array" ref="D122">IF($B122&lt;=D$116,NA(),($D$9/(1+$B122)^0.5+$D$10/(1+$B122)^1.5+$D$11/(1+$B122)^2.5+$D$12/(1+$B122)^3.5+$D$13/(1+$B122)^4.5+$H$26*SUMPRODUCT('DCF Best Model'!$L$95:$U$95/(1+$B122)^('DCF Best Model'!$L$89:$U$89+4.5))+IF($H$26=1,'DCF Best Model'!$U$95,$D$13)*(1+D$116)/($B122-D$116)/(1+$B122)^(4.5+10*$H$26)+$D$23+$D$24+$D$25)/$D$28)</f>
        <v>288.70469143099064</v>
      </c>
      <c r="E122" s="570" cm="1">
        <f t="array" ref="E122">IF($B122&lt;=E$116,NA(),($D$9/(1+$B122)^0.5+$D$10/(1+$B122)^1.5+$D$11/(1+$B122)^2.5+$D$12/(1+$B122)^3.5+$D$13/(1+$B122)^4.5+$H$26*SUMPRODUCT('DCF Best Model'!$L$95:$U$95/(1+$B122)^('DCF Best Model'!$L$89:$U$89+4.5))+IF($H$26=1,'DCF Best Model'!$U$95,$D$13)*(1+E$116)/($B122-E$116)/(1+$B122)^(4.5+10*$H$26)+$D$23+$D$24+$D$25)/$D$28)</f>
        <v>298.25470704294764</v>
      </c>
      <c r="F122" s="570" cm="1">
        <f t="array" ref="F122">IF($B122&lt;=F$116,NA(),($D$9/(1+$B122)^0.5+$D$10/(1+$B122)^1.5+$D$11/(1+$B122)^2.5+$D$12/(1+$B122)^3.5+$D$13/(1+$B122)^4.5+$H$26*SUMPRODUCT('DCF Best Model'!$L$95:$U$95/(1+$B122)^('DCF Best Model'!$L$89:$U$89+4.5))+IF($H$26=1,'DCF Best Model'!$U$95,$D$13)*(1+F$116)/($B122-F$116)/(1+$B122)^(4.5+10*$H$26)+$D$23+$D$24+$D$25)/$D$28)</f>
        <v>309.16901059947003</v>
      </c>
      <c r="G122" s="570" cm="1">
        <f t="array" ref="G122">IF($B122&lt;=G$116,NA(),($D$9/(1+$B122)^0.5+$D$10/(1+$B122)^1.5+$D$11/(1+$B122)^2.5+$D$12/(1+$B122)^3.5+$D$13/(1+$B122)^4.5+$H$26*SUMPRODUCT('DCF Best Model'!$L$95:$U$95/(1+$B122)^('DCF Best Model'!$L$89:$U$89+4.5))+IF($H$26=1,'DCF Best Model'!$U$95,$D$13)*(1+G$116)/($B122-G$116)/(1+$B122)^(4.5+10*$H$26)+$D$23+$D$24+$D$25)/$D$28)</f>
        <v>321.76243778007279</v>
      </c>
    </row>
    <row r="123" spans="2:7" x14ac:dyDescent="0.3">
      <c r="B123" s="569">
        <v>0.11</v>
      </c>
      <c r="C123" s="570" cm="1">
        <f t="array" ref="C123">IF($B123&lt;=C$116,NA(),($D$9/(1+$B123)^0.5+$D$10/(1+$B123)^1.5+$D$11/(1+$B123)^2.5+$D$12/(1+$B123)^3.5+$D$13/(1+$B123)^4.5+$H$26*SUMPRODUCT('DCF Best Model'!$L$95:$U$95/(1+$B123)^('DCF Best Model'!$L$89:$U$89+4.5))+IF($H$26=1,'DCF Best Model'!$U$95,$D$13)*(1+C$116)/($B123-C$116)/(1+$B123)^(4.5+10*$H$26)+$D$23+$D$24+$D$25)/$D$28)</f>
        <v>260.42468102282521</v>
      </c>
      <c r="D123" s="570" cm="1">
        <f t="array" ref="D123">IF($B123&lt;=D$116,NA(),($D$9/(1+$B123)^0.5+$D$10/(1+$B123)^1.5+$D$11/(1+$B123)^2.5+$D$12/(1+$B123)^3.5+$D$13/(1+$B123)^4.5+$H$26*SUMPRODUCT('DCF Best Model'!$L$95:$U$95/(1+$B123)^('DCF Best Model'!$L$89:$U$89+4.5))+IF($H$26=1,'DCF Best Model'!$U$95,$D$13)*(1+D$116)/($B123-D$116)/(1+$B123)^(4.5+10*$H$26)+$D$23+$D$24+$D$25)/$D$28)</f>
        <v>267.47200823327131</v>
      </c>
      <c r="E123" s="570" cm="1">
        <f t="array" ref="E123">IF($B123&lt;=E$116,NA(),($D$9/(1+$B123)^0.5+$D$10/(1+$B123)^1.5+$D$11/(1+$B123)^2.5+$D$12/(1+$B123)^3.5+$D$13/(1+$B123)^4.5+$H$26*SUMPRODUCT('DCF Best Model'!$L$95:$U$95/(1+$B123)^('DCF Best Model'!$L$89:$U$89+4.5))+IF($H$26=1,'DCF Best Model'!$U$95,$D$13)*(1+E$116)/($B123-E$116)/(1+$B123)^(4.5+10*$H$26)+$D$23+$D$24+$D$25)/$D$28)</f>
        <v>275.40025134502309</v>
      </c>
      <c r="F123" s="570" cm="1">
        <f t="array" ref="F123">IF($B123&lt;=F$116,NA(),($D$9/(1+$B123)^0.5+$D$10/(1+$B123)^1.5+$D$11/(1+$B123)^2.5+$D$12/(1+$B123)^3.5+$D$13/(1+$B123)^4.5+$H$26*SUMPRODUCT('DCF Best Model'!$L$95:$U$95/(1+$B123)^('DCF Best Model'!$L$89:$U$89+4.5))+IF($H$26=1,'DCF Best Model'!$U$95,$D$13)*(1+F$116)/($B123-F$116)/(1+$B123)^(4.5+10*$H$26)+$D$23+$D$24+$D$25)/$D$28)</f>
        <v>284.38559353834188</v>
      </c>
      <c r="G123" s="570" cm="1">
        <f t="array" ref="G123">IF($B123&lt;=G$116,NA(),($D$9/(1+$B123)^0.5+$D$10/(1+$B123)^1.5+$D$11/(1+$B123)^2.5+$D$12/(1+$B123)^3.5+$D$13/(1+$B123)^4.5+$H$26*SUMPRODUCT('DCF Best Model'!$L$95:$U$95/(1+$B123)^('DCF Best Model'!$L$89:$U$89+4.5))+IF($H$26=1,'DCF Best Model'!$U$95,$D$13)*(1+G$116)/($B123-G$116)/(1+$B123)^(4.5+10*$H$26)+$D$23+$D$24+$D$25)/$D$28)</f>
        <v>294.65455604499181</v>
      </c>
    </row>
    <row r="124" spans="2:7" x14ac:dyDescent="0.3">
      <c r="B124" s="569">
        <v>0.115</v>
      </c>
      <c r="C124" s="570" cm="1">
        <f t="array" ref="C124">IF($B124&lt;=C$116,NA(),($D$9/(1+$B124)^0.5+$D$10/(1+$B124)^1.5+$D$11/(1+$B124)^2.5+$D$12/(1+$B124)^3.5+$D$13/(1+$B124)^4.5+$H$26*SUMPRODUCT('DCF Best Model'!$L$95:$U$95/(1+$B124)^('DCF Best Model'!$L$89:$U$89+4.5))+IF($H$26=1,'DCF Best Model'!$U$95,$D$13)*(1+C$116)/($B124-C$116)/(1+$B124)^(4.5+10*$H$26)+$D$23+$D$24+$D$25)/$D$28)</f>
        <v>242.83031326658238</v>
      </c>
      <c r="D124" s="570" cm="1">
        <f t="array" ref="D124">IF($B124&lt;=D$116,NA(),($D$9/(1+$B124)^0.5+$D$10/(1+$B124)^1.5+$D$11/(1+$B124)^2.5+$D$12/(1+$B124)^3.5+$D$13/(1+$B124)^4.5+$H$26*SUMPRODUCT('DCF Best Model'!$L$95:$U$95/(1+$B124)^('DCF Best Model'!$L$89:$U$89+4.5))+IF($H$26=1,'DCF Best Model'!$U$95,$D$13)*(1+D$116)/($B124-D$116)/(1+$B124)^(4.5+10*$H$26)+$D$23+$D$24+$D$25)/$D$28)</f>
        <v>248.7646100300199</v>
      </c>
      <c r="E124" s="570" cm="1">
        <f t="array" ref="E124">IF($B124&lt;=E$116,NA(),($D$9/(1+$B124)^0.5+$D$10/(1+$B124)^1.5+$D$11/(1+$B124)^2.5+$D$12/(1+$B124)^3.5+$D$13/(1+$B124)^4.5+$H$26*SUMPRODUCT('DCF Best Model'!$L$95:$U$95/(1+$B124)^('DCF Best Model'!$L$89:$U$89+4.5))+IF($H$26=1,'DCF Best Model'!$U$95,$D$13)*(1+E$116)/($B124-E$116)/(1+$B124)^(4.5+10*$H$26)+$D$23+$D$24+$D$25)/$D$28)</f>
        <v>255.39705935386181</v>
      </c>
      <c r="F124" s="570" cm="1">
        <f t="array" ref="F124">IF($B124&lt;=F$116,NA(),($D$9/(1+$B124)^0.5+$D$10/(1+$B124)^1.5+$D$11/(1+$B124)^2.5+$D$12/(1+$B124)^3.5+$D$13/(1+$B124)^4.5+$H$26*SUMPRODUCT('DCF Best Model'!$L$95:$U$95/(1+$B124)^('DCF Best Model'!$L$89:$U$89+4.5))+IF($H$26=1,'DCF Best Model'!$U$95,$D$13)*(1+F$116)/($B124-F$116)/(1+$B124)^(4.5+10*$H$26)+$D$23+$D$24+$D$25)/$D$28)</f>
        <v>262.85856484318396</v>
      </c>
      <c r="G124" s="570" cm="1">
        <f t="array" ref="G124">IF($B124&lt;=G$116,NA(),($D$9/(1+$B124)^0.5+$D$10/(1+$B124)^1.5+$D$11/(1+$B124)^2.5+$D$12/(1+$B124)^3.5+$D$13/(1+$B124)^4.5+$H$26*SUMPRODUCT('DCF Best Model'!$L$95:$U$95/(1+$B124)^('DCF Best Model'!$L$89:$U$89+4.5))+IF($H$26=1,'DCF Best Model'!$U$95,$D$13)*(1+G$116)/($B124-G$116)/(1+$B124)^(4.5+10*$H$26)+$D$23+$D$24+$D$25)/$D$28)</f>
        <v>271.31493773108241</v>
      </c>
    </row>
    <row r="125" spans="2:7" x14ac:dyDescent="0.3">
      <c r="B125" s="569">
        <v>0.12</v>
      </c>
      <c r="C125" s="570" cm="1">
        <f t="array" ref="C125">IF($B125&lt;=C$116,NA(),($D$9/(1+$B125)^0.5+$D$10/(1+$B125)^1.5+$D$11/(1+$B125)^2.5+$D$12/(1+$B125)^3.5+$D$13/(1+$B125)^4.5+$H$26*SUMPRODUCT('DCF Best Model'!$L$95:$U$95/(1+$B125)^('DCF Best Model'!$L$89:$U$89+4.5))+IF($H$26=1,'DCF Best Model'!$U$95,$D$13)*(1+C$116)/($B125-C$116)/(1+$B125)^(4.5+10*$H$26)+$D$23+$D$24+$D$25)/$D$28)</f>
        <v>227.14913357560297</v>
      </c>
      <c r="D125" s="570" cm="1">
        <f t="array" ref="D125">IF($B125&lt;=D$116,NA(),($D$9/(1+$B125)^0.5+$D$10/(1+$B125)^1.5+$D$11/(1+$B125)^2.5+$D$12/(1+$B125)^3.5+$D$13/(1+$B125)^4.5+$H$26*SUMPRODUCT('DCF Best Model'!$L$95:$U$95/(1+$B125)^('DCF Best Model'!$L$89:$U$89+4.5))+IF($H$26=1,'DCF Best Model'!$U$95,$D$13)*(1+D$116)/($B125-D$116)/(1+$B125)^(4.5+10*$H$26)+$D$23+$D$24+$D$25)/$D$28)</f>
        <v>232.17694723932132</v>
      </c>
      <c r="E125" s="570" cm="1">
        <f t="array" ref="E125">IF($B125&lt;=E$116,NA(),($D$9/(1+$B125)^0.5+$D$10/(1+$B125)^1.5+$D$11/(1+$B125)^2.5+$D$12/(1+$B125)^3.5+$D$13/(1+$B125)^4.5+$H$26*SUMPRODUCT('DCF Best Model'!$L$95:$U$95/(1+$B125)^('DCF Best Model'!$L$89:$U$89+4.5))+IF($H$26=1,'DCF Best Model'!$U$95,$D$13)*(1+E$116)/($B125-E$116)/(1+$B125)^(4.5+10*$H$26)+$D$23+$D$24+$D$25)/$D$28)</f>
        <v>237.76340686567505</v>
      </c>
      <c r="F125" s="570" cm="1">
        <f t="array" ref="F125">IF($B125&lt;=F$116,NA(),($D$9/(1+$B125)^0.5+$D$10/(1+$B125)^1.5+$D$11/(1+$B125)^2.5+$D$12/(1+$B125)^3.5+$D$13/(1+$B125)^4.5+$H$26*SUMPRODUCT('DCF Best Model'!$L$95:$U$95/(1+$B125)^('DCF Best Model'!$L$89:$U$89+4.5))+IF($H$26=1,'DCF Best Model'!$U$95,$D$13)*(1+F$116)/($B125-F$116)/(1+$B125)^(4.5+10*$H$26)+$D$23+$D$24+$D$25)/$D$28)</f>
        <v>244.00709703630571</v>
      </c>
      <c r="G125" s="570" cm="1">
        <f t="array" ref="G125">IF($B125&lt;=G$116,NA(),($D$9/(1+$B125)^0.5+$D$10/(1+$B125)^1.5+$D$11/(1+$B125)^2.5+$D$12/(1+$B125)^3.5+$D$13/(1+$B125)^4.5+$H$26*SUMPRODUCT('DCF Best Model'!$L$95:$U$95/(1+$B125)^('DCF Best Model'!$L$89:$U$89+4.5))+IF($H$26=1,'DCF Best Model'!$U$95,$D$13)*(1+G$116)/($B125-G$116)/(1+$B125)^(4.5+10*$H$26)+$D$23+$D$24+$D$25)/$D$28)</f>
        <v>251.03124847826521</v>
      </c>
    </row>
    <row r="127" spans="2:7" x14ac:dyDescent="0.3">
      <c r="B127" s="1" t="s">
        <v>2239</v>
      </c>
      <c r="C127" s="569">
        <v>0.02</v>
      </c>
      <c r="D127" s="569">
        <v>2.5000000000000001E-2</v>
      </c>
      <c r="E127" s="569">
        <v>0.03</v>
      </c>
      <c r="F127" s="569">
        <v>3.5000000000000003E-2</v>
      </c>
      <c r="G127" s="569">
        <v>0.04</v>
      </c>
    </row>
    <row r="128" spans="2:7" x14ac:dyDescent="0.3">
      <c r="B128" s="569">
        <v>0.08</v>
      </c>
      <c r="C128" s="570" cm="1">
        <f t="array" ref="C128">IF($B128&lt;=C$127,NA(),($E$9/(1+$B128)^0.5+$E$10/(1+$B128)^1.5+$E$11/(1+$B128)^2.5+$E$12/(1+$B128)^3.5+$E$13/(1+$B128)^4.5+$H$26*SUMPRODUCT('DCF Worst Model'!$L$95:$U$95/(1+$B128)^('DCF Worst Model'!$L$89:$U$89+4.5))+IF($H$26=1,'DCF Worst Model'!$U$95,$E$13)*(1+C$127)/($B128-C$127)/(1+$B128)^(4.5+10*$H$26)+$E$23+$E$24+$E$25)/$E$28)</f>
        <v>93.618414885412605</v>
      </c>
      <c r="D128" s="570" cm="1">
        <f t="array" ref="D128">IF($B128&lt;=D$127,NA(),($E$9/(1+$B128)^0.5+$E$10/(1+$B128)^1.5+$E$11/(1+$B128)^2.5+$E$12/(1+$B128)^3.5+$E$13/(1+$B128)^4.5+$H$26*SUMPRODUCT('DCF Worst Model'!$L$95:$U$95/(1+$B128)^('DCF Worst Model'!$L$89:$U$89+4.5))+IF($H$26=1,'DCF Worst Model'!$U$95,$E$13)*(1+D$127)/($B128-D$127)/(1+$B128)^(4.5+10*$H$26)+$E$23+$E$24+$E$25)/$E$28)</f>
        <v>98.064017590347305</v>
      </c>
      <c r="E128" s="570" cm="1">
        <f t="array" ref="E128">IF($B128&lt;=E$127,NA(),($E$9/(1+$B128)^0.5+$E$10/(1+$B128)^1.5+$E$11/(1+$B128)^2.5+$E$12/(1+$B128)^3.5+$E$13/(1+$B128)^4.5+$H$26*SUMPRODUCT('DCF Worst Model'!$L$95:$U$95/(1+$B128)^('DCF Worst Model'!$L$89:$U$89+4.5))+IF($H$26=1,'DCF Worst Model'!$U$95,$E$13)*(1+E$127)/($B128-E$127)/(1+$B128)^(4.5+10*$H$26)+$E$23+$E$24+$E$25)/$E$28)</f>
        <v>103.39874083626894</v>
      </c>
      <c r="F128" s="570" cm="1">
        <f t="array" ref="F128">IF($B128&lt;=F$127,NA(),($E$9/(1+$B128)^0.5+$E$10/(1+$B128)^1.5+$E$11/(1+$B128)^2.5+$E$12/(1+$B128)^3.5+$E$13/(1+$B128)^4.5+$H$26*SUMPRODUCT('DCF Worst Model'!$L$95:$U$95/(1+$B128)^('DCF Worst Model'!$L$89:$U$89+4.5))+IF($H$26=1,'DCF Worst Model'!$U$95,$E$13)*(1+F$127)/($B128-F$127)/(1+$B128)^(4.5+10*$H$26)+$E$23+$E$24+$E$25)/$E$28)</f>
        <v>109.91895813683983</v>
      </c>
      <c r="G128" s="570" cm="1">
        <f t="array" ref="G128">IF($B128&lt;=G$127,NA(),($E$9/(1+$B128)^0.5+$E$10/(1+$B128)^1.5+$E$11/(1+$B128)^2.5+$E$12/(1+$B128)^3.5+$E$13/(1+$B128)^4.5+$H$26*SUMPRODUCT('DCF Worst Model'!$L$95:$U$95/(1+$B128)^('DCF Worst Model'!$L$89:$U$89+4.5))+IF($H$26=1,'DCF Worst Model'!$U$95,$E$13)*(1+G$127)/($B128-G$127)/(1+$B128)^(4.5+10*$H$26)+$E$23+$E$24+$E$25)/$E$28)</f>
        <v>118.06922976255346</v>
      </c>
    </row>
    <row r="129" spans="2:7" x14ac:dyDescent="0.3">
      <c r="B129" s="569">
        <v>8.5000000000000006E-2</v>
      </c>
      <c r="C129" s="570" cm="1">
        <f t="array" ref="C129">IF($B129&lt;=C$127,NA(),($E$9/(1+$B129)^0.5+$E$10/(1+$B129)^1.5+$E$11/(1+$B129)^2.5+$E$12/(1+$B129)^3.5+$E$13/(1+$B129)^4.5+$H$26*SUMPRODUCT('DCF Worst Model'!$L$95:$U$95/(1+$B129)^('DCF Worst Model'!$L$89:$U$89+4.5))+IF($H$26=1,'DCF Worst Model'!$U$95,$E$13)*(1+C$127)/($B129-C$127)/(1+$B129)^(4.5+10*$H$26)+$E$23+$E$24+$E$25)/$E$28)</f>
        <v>85.858891462054572</v>
      </c>
      <c r="D129" s="570" cm="1">
        <f t="array" ref="D129">IF($B129&lt;=D$127,NA(),($E$9/(1+$B129)^0.5+$E$10/(1+$B129)^1.5+$E$11/(1+$B129)^2.5+$E$12/(1+$B129)^3.5+$E$13/(1+$B129)^4.5+$H$26*SUMPRODUCT('DCF Worst Model'!$L$95:$U$95/(1+$B129)^('DCF Worst Model'!$L$89:$U$89+4.5))+IF($H$26=1,'DCF Worst Model'!$U$95,$E$13)*(1+D$127)/($B129-D$127)/(1+$B129)^(4.5+10*$H$26)+$E$23+$E$24+$E$25)/$E$28)</f>
        <v>89.393157313015308</v>
      </c>
      <c r="E129" s="570" cm="1">
        <f t="array" ref="E129">IF($B129&lt;=E$127,NA(),($E$9/(1+$B129)^0.5+$E$10/(1+$B129)^1.5+$E$11/(1+$B129)^2.5+$E$12/(1+$B129)^3.5+$E$13/(1+$B129)^4.5+$H$26*SUMPRODUCT('DCF Worst Model'!$L$95:$U$95/(1+$B129)^('DCF Worst Model'!$L$89:$U$89+4.5))+IF($H$26=1,'DCF Worst Model'!$U$95,$E$13)*(1+E$127)/($B129-E$127)/(1+$B129)^(4.5+10*$H$26)+$E$23+$E$24+$E$25)/$E$28)</f>
        <v>93.570016955059813</v>
      </c>
      <c r="F129" s="570" cm="1">
        <f t="array" ref="F129">IF($B129&lt;=F$127,NA(),($E$9/(1+$B129)^0.5+$E$10/(1+$B129)^1.5+$E$11/(1+$B129)^2.5+$E$12/(1+$B129)^3.5+$E$13/(1+$B129)^4.5+$H$26*SUMPRODUCT('DCF Worst Model'!$L$95:$U$95/(1+$B129)^('DCF Worst Model'!$L$89:$U$89+4.5))+IF($H$26=1,'DCF Worst Model'!$U$95,$E$13)*(1+F$127)/($B129-F$127)/(1+$B129)^(4.5+10*$H$26)+$E$23+$E$24+$E$25)/$E$28)</f>
        <v>98.582248525513222</v>
      </c>
      <c r="G129" s="570" cm="1">
        <f t="array" ref="G129">IF($B129&lt;=G$127,NA(),($E$9/(1+$B129)^0.5+$E$10/(1+$B129)^1.5+$E$11/(1+$B129)^2.5+$E$12/(1+$B129)^3.5+$E$13/(1+$B129)^4.5+$H$26*SUMPRODUCT('DCF Worst Model'!$L$95:$U$95/(1+$B129)^('DCF Worst Model'!$L$89:$U$89+4.5))+IF($H$26=1,'DCF Worst Model'!$U$95,$E$13)*(1+G$127)/($B129-G$127)/(1+$B129)^(4.5+10*$H$26)+$E$23+$E$24+$E$25)/$E$28)</f>
        <v>104.70830933384512</v>
      </c>
    </row>
    <row r="130" spans="2:7" x14ac:dyDescent="0.3">
      <c r="B130" s="569">
        <v>0.09</v>
      </c>
      <c r="C130" s="570" cm="1">
        <f t="array" ref="C130">IF($B130&lt;=C$127,NA(),($E$9/(1+$B130)^0.5+$E$10/(1+$B130)^1.5+$E$11/(1+$B130)^2.5+$E$12/(1+$B130)^3.5+$E$13/(1+$B130)^4.5+$H$26*SUMPRODUCT('DCF Worst Model'!$L$95:$U$95/(1+$B130)^('DCF Worst Model'!$L$89:$U$89+4.5))+IF($H$26=1,'DCF Worst Model'!$U$95,$E$13)*(1+C$127)/($B130-C$127)/(1+$B130)^(4.5+10*$H$26)+$E$23+$E$24+$E$25)/$E$28)</f>
        <v>79.253209465781367</v>
      </c>
      <c r="D130" s="570" cm="1">
        <f t="array" ref="D130">IF($B130&lt;=D$127,NA(),($E$9/(1+$B130)^0.5+$E$10/(1+$B130)^1.5+$E$11/(1+$B130)^2.5+$E$12/(1+$B130)^3.5+$E$13/(1+$B130)^4.5+$H$26*SUMPRODUCT('DCF Worst Model'!$L$95:$U$95/(1+$B130)^('DCF Worst Model'!$L$89:$U$89+4.5))+IF($H$26=1,'DCF Worst Model'!$U$95,$E$13)*(1+D$127)/($B130-D$127)/(1+$B130)^(4.5+10*$H$26)+$E$23+$E$24+$E$25)/$E$28)</f>
        <v>82.10026650523676</v>
      </c>
      <c r="E130" s="570" cm="1">
        <f t="array" ref="E130">IF($B130&lt;=E$127,NA(),($E$9/(1+$B130)^0.5+$E$10/(1+$B130)^1.5+$E$11/(1+$B130)^2.5+$E$12/(1+$B130)^3.5+$E$13/(1+$B130)^4.5+$H$26*SUMPRODUCT('DCF Worst Model'!$L$95:$U$95/(1+$B130)^('DCF Worst Model'!$L$89:$U$89+4.5))+IF($H$26=1,'DCF Worst Model'!$U$95,$E$13)*(1+E$127)/($B130-E$127)/(1+$B130)^(4.5+10*$H$26)+$E$23+$E$24+$E$25)/$E$28)</f>
        <v>85.421833051268038</v>
      </c>
      <c r="F130" s="570" cm="1">
        <f t="array" ref="F130">IF($B130&lt;=F$127,NA(),($E$9/(1+$B130)^0.5+$E$10/(1+$B130)^1.5+$E$11/(1+$B130)^2.5+$E$12/(1+$B130)^3.5+$E$13/(1+$B130)^4.5+$H$26*SUMPRODUCT('DCF Worst Model'!$L$95:$U$95/(1+$B130)^('DCF Worst Model'!$L$89:$U$89+4.5))+IF($H$26=1,'DCF Worst Model'!$U$95,$E$13)*(1+F$127)/($B130-F$127)/(1+$B130)^(4.5+10*$H$26)+$E$23+$E$24+$E$25)/$E$28)</f>
        <v>89.347320787486822</v>
      </c>
      <c r="G130" s="570" cm="1">
        <f t="array" ref="G130">IF($B130&lt;=G$127,NA(),($E$9/(1+$B130)^0.5+$E$10/(1+$B130)^1.5+$E$11/(1+$B130)^2.5+$E$12/(1+$B130)^3.5+$E$13/(1+$B130)^4.5+$H$26*SUMPRODUCT('DCF Worst Model'!$L$95:$U$95/(1+$B130)^('DCF Worst Model'!$L$89:$U$89+4.5))+IF($H$26=1,'DCF Worst Model'!$U$95,$E$13)*(1+G$127)/($B130-G$127)/(1+$B130)^(4.5+10*$H$26)+$E$23+$E$24+$E$25)/$E$28)</f>
        <v>94.057906070949372</v>
      </c>
    </row>
    <row r="131" spans="2:7" x14ac:dyDescent="0.3">
      <c r="B131" s="569">
        <v>9.5000000000000001E-2</v>
      </c>
      <c r="C131" s="570" cm="1">
        <f t="array" ref="C131">IF($B131&lt;=C$127,NA(),($E$9/(1+$B131)^0.5+$E$10/(1+$B131)^1.5+$E$11/(1+$B131)^2.5+$E$12/(1+$B131)^3.5+$E$13/(1+$B131)^4.5+$H$26*SUMPRODUCT('DCF Worst Model'!$L$95:$U$95/(1+$B131)^('DCF Worst Model'!$L$89:$U$89+4.5))+IF($H$26=1,'DCF Worst Model'!$U$95,$E$13)*(1+C$127)/($B131-C$127)/(1+$B131)^(4.5+10*$H$26)+$E$23+$E$24+$E$25)/$E$28)</f>
        <v>73.569155718988341</v>
      </c>
      <c r="D131" s="570" cm="1">
        <f t="array" ref="D131">IF($B131&lt;=D$127,NA(),($E$9/(1+$B131)^0.5+$E$10/(1+$B131)^1.5+$E$11/(1+$B131)^2.5+$E$12/(1+$B131)^3.5+$E$13/(1+$B131)^4.5+$H$26*SUMPRODUCT('DCF Worst Model'!$L$95:$U$95/(1+$B131)^('DCF Worst Model'!$L$89:$U$89+4.5))+IF($H$26=1,'DCF Worst Model'!$U$95,$E$13)*(1+D$127)/($B131-D$127)/(1+$B131)^(4.5+10*$H$26)+$E$23+$E$24+$E$25)/$E$28)</f>
        <v>75.888767867919839</v>
      </c>
      <c r="E131" s="570" cm="1">
        <f t="array" ref="E131">IF($B131&lt;=E$127,NA(),($E$9/(1+$B131)^0.5+$E$10/(1+$B131)^1.5+$E$11/(1+$B131)^2.5+$E$12/(1+$B131)^3.5+$E$13/(1+$B131)^4.5+$H$26*SUMPRODUCT('DCF Worst Model'!$L$95:$U$95/(1+$B131)^('DCF Worst Model'!$L$89:$U$89+4.5))+IF($H$26=1,'DCF Worst Model'!$U$95,$E$13)*(1+E$127)/($B131-E$127)/(1+$B131)^(4.5+10*$H$26)+$E$23+$E$24+$E$25)/$E$28)</f>
        <v>78.565243424379304</v>
      </c>
      <c r="F131" s="570" cm="1">
        <f t="array" ref="F131">IF($B131&lt;=F$127,NA(),($E$9/(1+$B131)^0.5+$E$10/(1+$B131)^1.5+$E$11/(1+$B131)^2.5+$E$12/(1+$B131)^3.5+$E$13/(1+$B131)^4.5+$H$26*SUMPRODUCT('DCF Worst Model'!$L$95:$U$95/(1+$B131)^('DCF Worst Model'!$L$89:$U$89+4.5))+IF($H$26=1,'DCF Worst Model'!$U$95,$E$13)*(1+F$127)/($B131-F$127)/(1+$B131)^(4.5+10*$H$26)+$E$23+$E$24+$E$25)/$E$28)</f>
        <v>81.687798240248668</v>
      </c>
      <c r="G131" s="570" cm="1">
        <f t="array" ref="G131">IF($B131&lt;=G$127,NA(),($E$9/(1+$B131)^0.5+$E$10/(1+$B131)^1.5+$E$11/(1+$B131)^2.5+$E$12/(1+$B131)^3.5+$E$13/(1+$B131)^4.5+$H$26*SUMPRODUCT('DCF Worst Model'!$L$95:$U$95/(1+$B131)^('DCF Worst Model'!$L$89:$U$89+4.5))+IF($H$26=1,'DCF Worst Model'!$U$95,$E$13)*(1+G$127)/($B131-G$127)/(1+$B131)^(4.5+10*$H$26)+$E$23+$E$24+$E$25)/$E$28)</f>
        <v>85.378090295367016</v>
      </c>
    </row>
    <row r="132" spans="2:7" x14ac:dyDescent="0.3">
      <c r="B132" s="569">
        <v>0.1</v>
      </c>
      <c r="C132" s="570" cm="1">
        <f t="array" ref="C132">IF($B132&lt;=C$127,NA(),($E$9/(1+$B132)^0.5+$E$10/(1+$B132)^1.5+$E$11/(1+$B132)^2.5+$E$12/(1+$B132)^3.5+$E$13/(1+$B132)^4.5+$H$26*SUMPRODUCT('DCF Worst Model'!$L$95:$U$95/(1+$B132)^('DCF Worst Model'!$L$89:$U$89+4.5))+IF($H$26=1,'DCF Worst Model'!$U$95,$E$13)*(1+C$127)/($B132-C$127)/(1+$B132)^(4.5+10*$H$26)+$E$23+$E$24+$E$25)/$E$28)</f>
        <v>68.6326305290671</v>
      </c>
      <c r="D132" s="570" cm="1">
        <f t="array" ref="D132">IF($B132&lt;=D$127,NA(),($E$9/(1+$B132)^0.5+$E$10/(1+$B132)^1.5+$E$11/(1+$B132)^2.5+$E$12/(1+$B132)^3.5+$E$13/(1+$B132)^4.5+$H$26*SUMPRODUCT('DCF Worst Model'!$L$95:$U$95/(1+$B132)^('DCF Worst Model'!$L$89:$U$89+4.5))+IF($H$26=1,'DCF Worst Model'!$U$95,$E$13)*(1+D$127)/($B132-D$127)/(1+$B132)^(4.5+10*$H$26)+$E$23+$E$24+$E$25)/$E$28)</f>
        <v>70.541221157211751</v>
      </c>
      <c r="E132" s="570" cm="1">
        <f t="array" ref="E132">IF($B132&lt;=E$127,NA(),($E$9/(1+$B132)^0.5+$E$10/(1+$B132)^1.5+$E$11/(1+$B132)^2.5+$E$12/(1+$B132)^3.5+$E$13/(1+$B132)^4.5+$H$26*SUMPRODUCT('DCF Worst Model'!$L$95:$U$95/(1+$B132)^('DCF Worst Model'!$L$89:$U$89+4.5))+IF($H$26=1,'DCF Worst Model'!$U$95,$E$13)*(1+E$127)/($B132-E$127)/(1+$B132)^(4.5+10*$H$26)+$E$23+$E$24+$E$25)/$E$28)</f>
        <v>72.722467589377075</v>
      </c>
      <c r="F132" s="570" cm="1">
        <f t="array" ref="F132">IF($B132&lt;=F$127,NA(),($E$9/(1+$B132)^0.5+$E$10/(1+$B132)^1.5+$E$11/(1+$B132)^2.5+$E$12/(1+$B132)^3.5+$E$13/(1+$B132)^4.5+$H$26*SUMPRODUCT('DCF Worst Model'!$L$95:$U$95/(1+$B132)^('DCF Worst Model'!$L$89:$U$89+4.5))+IF($H$26=1,'DCF Worst Model'!$U$95,$E$13)*(1+F$127)/($B132-F$127)/(1+$B132)^(4.5+10*$H$26)+$E$23+$E$24+$E$25)/$E$28)</f>
        <v>75.239290395721696</v>
      </c>
      <c r="G132" s="570" cm="1">
        <f t="array" ref="G132">IF($B132&lt;=G$127,NA(),($E$9/(1+$B132)^0.5+$E$10/(1+$B132)^1.5+$E$11/(1+$B132)^2.5+$E$12/(1+$B132)^3.5+$E$13/(1+$B132)^4.5+$H$26*SUMPRODUCT('DCF Worst Model'!$L$95:$U$95/(1+$B132)^('DCF Worst Model'!$L$89:$U$89+4.5))+IF($H$26=1,'DCF Worst Model'!$U$95,$E$13)*(1+G$127)/($B132-G$127)/(1+$B132)^(4.5+10*$H$26)+$E$23+$E$24+$E$25)/$E$28)</f>
        <v>78.175583669790427</v>
      </c>
    </row>
    <row r="133" spans="2:7" x14ac:dyDescent="0.3">
      <c r="B133" s="569">
        <v>0.105</v>
      </c>
      <c r="C133" s="570" cm="1">
        <f t="array" ref="C133">IF($B133&lt;=C$127,NA(),($E$9/(1+$B133)^0.5+$E$10/(1+$B133)^1.5+$E$11/(1+$B133)^2.5+$E$12/(1+$B133)^3.5+$E$13/(1+$B133)^4.5+$H$26*SUMPRODUCT('DCF Worst Model'!$L$95:$U$95/(1+$B133)^('DCF Worst Model'!$L$89:$U$89+4.5))+IF($H$26=1,'DCF Worst Model'!$U$95,$E$13)*(1+C$127)/($B133-C$127)/(1+$B133)^(4.5+10*$H$26)+$E$23+$E$24+$E$25)/$E$28)</f>
        <v>64.3105524509985</v>
      </c>
      <c r="D133" s="570" cm="1">
        <f t="array" ref="D133">IF($B133&lt;=D$127,NA(),($E$9/(1+$B133)^0.5+$E$10/(1+$B133)^1.5+$E$11/(1+$B133)^2.5+$E$12/(1+$B133)^3.5+$E$13/(1+$B133)^4.5+$H$26*SUMPRODUCT('DCF Worst Model'!$L$95:$U$95/(1+$B133)^('DCF Worst Model'!$L$89:$U$89+4.5))+IF($H$26=1,'DCF Worst Model'!$U$95,$E$13)*(1+D$127)/($B133-D$127)/(1+$B133)^(4.5+10*$H$26)+$E$23+$E$24+$E$25)/$E$28)</f>
        <v>65.894590542823551</v>
      </c>
      <c r="E133" s="570" cm="1">
        <f t="array" ref="E133">IF($B133&lt;=E$127,NA(),($E$9/(1+$B133)^0.5+$E$10/(1+$B133)^1.5+$E$11/(1+$B133)^2.5+$E$12/(1+$B133)^3.5+$E$13/(1+$B133)^4.5+$H$26*SUMPRODUCT('DCF Worst Model'!$L$95:$U$95/(1+$B133)^('DCF Worst Model'!$L$89:$U$89+4.5))+IF($H$26=1,'DCF Worst Model'!$U$95,$E$13)*(1+E$127)/($B133-E$127)/(1+$B133)^(4.5+10*$H$26)+$E$23+$E$24+$E$25)/$E$28)</f>
        <v>67.689833713558613</v>
      </c>
      <c r="F133" s="570" cm="1">
        <f t="array" ref="F133">IF($B133&lt;=F$127,NA(),($E$9/(1+$B133)^0.5+$E$10/(1+$B133)^1.5+$E$11/(1+$B133)^2.5+$E$12/(1+$B133)^3.5+$E$13/(1+$B133)^4.5+$H$26*SUMPRODUCT('DCF Worst Model'!$L$95:$U$95/(1+$B133)^('DCF Worst Model'!$L$89:$U$89+4.5))+IF($H$26=1,'DCF Worst Model'!$U$95,$E$13)*(1+F$127)/($B133-F$127)/(1+$B133)^(4.5+10*$H$26)+$E$23+$E$24+$E$25)/$E$28)</f>
        <v>69.741540194398667</v>
      </c>
      <c r="G133" s="570" cm="1">
        <f t="array" ref="G133">IF($B133&lt;=G$127,NA(),($E$9/(1+$B133)^0.5+$E$10/(1+$B133)^1.5+$E$11/(1+$B133)^2.5+$E$12/(1+$B133)^3.5+$E$13/(1+$B133)^4.5+$H$26*SUMPRODUCT('DCF Worst Model'!$L$95:$U$95/(1+$B133)^('DCF Worst Model'!$L$89:$U$89+4.5))+IF($H$26=1,'DCF Worst Model'!$U$95,$E$13)*(1+G$127)/($B133-G$127)/(1+$B133)^(4.5+10*$H$26)+$E$23+$E$24+$E$25)/$E$28)</f>
        <v>72.108893826137219</v>
      </c>
    </row>
    <row r="134" spans="2:7" x14ac:dyDescent="0.3">
      <c r="B134" s="569">
        <v>0.11</v>
      </c>
      <c r="C134" s="570" cm="1">
        <f t="array" ref="C134">IF($B134&lt;=C$127,NA(),($E$9/(1+$B134)^0.5+$E$10/(1+$B134)^1.5+$E$11/(1+$B134)^2.5+$E$12/(1+$B134)^3.5+$E$13/(1+$B134)^4.5+$H$26*SUMPRODUCT('DCF Worst Model'!$L$95:$U$95/(1+$B134)^('DCF Worst Model'!$L$89:$U$89+4.5))+IF($H$26=1,'DCF Worst Model'!$U$95,$E$13)*(1+C$127)/($B134-C$127)/(1+$B134)^(4.5+10*$H$26)+$E$23+$E$24+$E$25)/$E$28)</f>
        <v>60.499461638490345</v>
      </c>
      <c r="D134" s="570" cm="1">
        <f t="array" ref="D134">IF($B134&lt;=D$127,NA(),($E$9/(1+$B134)^0.5+$E$10/(1+$B134)^1.5+$E$11/(1+$B134)^2.5+$E$12/(1+$B134)^3.5+$E$13/(1+$B134)^4.5+$H$26*SUMPRODUCT('DCF Worst Model'!$L$95:$U$95/(1+$B134)^('DCF Worst Model'!$L$89:$U$89+4.5))+IF($H$26=1,'DCF Worst Model'!$U$95,$E$13)*(1+D$127)/($B134-D$127)/(1+$B134)^(4.5+10*$H$26)+$E$23+$E$24+$E$25)/$E$28)</f>
        <v>61.824241257766374</v>
      </c>
      <c r="E134" s="570" cm="1">
        <f t="array" ref="E134">IF($B134&lt;=E$127,NA(),($E$9/(1+$B134)^0.5+$E$10/(1+$B134)^1.5+$E$11/(1+$B134)^2.5+$E$12/(1+$B134)^3.5+$E$13/(1+$B134)^4.5+$H$26*SUMPRODUCT('DCF Worst Model'!$L$95:$U$95/(1+$B134)^('DCF Worst Model'!$L$89:$U$89+4.5))+IF($H$26=1,'DCF Worst Model'!$U$95,$E$13)*(1+E$127)/($B134-E$127)/(1+$B134)^(4.5+10*$H$26)+$E$23+$E$24+$E$25)/$E$28)</f>
        <v>63.31461832945191</v>
      </c>
      <c r="F134" s="570" cm="1">
        <f t="array" ref="F134">IF($B134&lt;=F$127,NA(),($E$9/(1+$B134)^0.5+$E$10/(1+$B134)^1.5+$E$11/(1+$B134)^2.5+$E$12/(1+$B134)^3.5+$E$13/(1+$B134)^4.5+$H$26*SUMPRODUCT('DCF Worst Model'!$L$95:$U$95/(1+$B134)^('DCF Worst Model'!$L$89:$U$89+4.5))+IF($H$26=1,'DCF Worst Model'!$U$95,$E$13)*(1+F$127)/($B134-F$127)/(1+$B134)^(4.5+10*$H$26)+$E$23+$E$24+$E$25)/$E$28)</f>
        <v>65.003712344028855</v>
      </c>
      <c r="G134" s="570" cm="1">
        <f t="array" ref="G134">IF($B134&lt;=G$127,NA(),($E$9/(1+$B134)^0.5+$E$10/(1+$B134)^1.5+$E$11/(1+$B134)^2.5+$E$12/(1+$B134)^3.5+$E$13/(1+$B134)^4.5+$H$26*SUMPRODUCT('DCF Worst Model'!$L$95:$U$95/(1+$B134)^('DCF Worst Model'!$L$89:$U$89+4.5))+IF($H$26=1,'DCF Worst Model'!$U$95,$E$13)*(1+G$127)/($B134-G$127)/(1+$B134)^(4.5+10*$H$26)+$E$23+$E$24+$E$25)/$E$28)</f>
        <v>66.934105503545354</v>
      </c>
    </row>
    <row r="135" spans="2:7" x14ac:dyDescent="0.3">
      <c r="B135" s="569">
        <v>0.115</v>
      </c>
      <c r="C135" s="570" cm="1">
        <f t="array" ref="C135">IF($B135&lt;=C$127,NA(),($E$9/(1+$B135)^0.5+$E$10/(1+$B135)^1.5+$E$11/(1+$B135)^2.5+$E$12/(1+$B135)^3.5+$E$13/(1+$B135)^4.5+$H$26*SUMPRODUCT('DCF Worst Model'!$L$95:$U$95/(1+$B135)^('DCF Worst Model'!$L$89:$U$89+4.5))+IF($H$26=1,'DCF Worst Model'!$U$95,$E$13)*(1+C$127)/($B135-C$127)/(1+$B135)^(4.5+10*$H$26)+$E$23+$E$24+$E$25)/$E$28)</f>
        <v>57.117722292309487</v>
      </c>
      <c r="D135" s="570" cm="1">
        <f t="array" ref="D135">IF($B135&lt;=D$127,NA(),($E$9/(1+$B135)^0.5+$E$10/(1+$B135)^1.5+$E$11/(1+$B135)^2.5+$E$12/(1+$B135)^3.5+$E$13/(1+$B135)^4.5+$H$26*SUMPRODUCT('DCF Worst Model'!$L$95:$U$95/(1+$B135)^('DCF Worst Model'!$L$89:$U$89+4.5))+IF($H$26=1,'DCF Worst Model'!$U$95,$E$13)*(1+D$127)/($B135-D$127)/(1+$B135)^(4.5+10*$H$26)+$E$23+$E$24+$E$25)/$E$28)</f>
        <v>58.233270807679204</v>
      </c>
      <c r="E135" s="570" cm="1">
        <f t="array" ref="E135">IF($B135&lt;=E$127,NA(),($E$9/(1+$B135)^0.5+$E$10/(1+$B135)^1.5+$E$11/(1+$B135)^2.5+$E$12/(1+$B135)^3.5+$E$13/(1+$B135)^4.5+$H$26*SUMPRODUCT('DCF Worst Model'!$L$95:$U$95/(1+$B135)^('DCF Worst Model'!$L$89:$U$89+4.5))+IF($H$26=1,'DCF Worst Model'!$U$95,$E$13)*(1+E$127)/($B135-E$127)/(1+$B135)^(4.5+10*$H$26)+$E$23+$E$24+$E$25)/$E$28)</f>
        <v>59.480060324857128</v>
      </c>
      <c r="F135" s="570" cm="1">
        <f t="array" ref="F135">IF($B135&lt;=F$127,NA(),($E$9/(1+$B135)^0.5+$E$10/(1+$B135)^1.5+$E$11/(1+$B135)^2.5+$E$12/(1+$B135)^3.5+$E$13/(1+$B135)^4.5+$H$26*SUMPRODUCT('DCF Worst Model'!$L$95:$U$95/(1+$B135)^('DCF Worst Model'!$L$89:$U$89+4.5))+IF($H$26=1,'DCF Worst Model'!$U$95,$E$13)*(1+F$127)/($B135-F$127)/(1+$B135)^(4.5+10*$H$26)+$E$23+$E$24+$E$25)/$E$28)</f>
        <v>60.882698531682294</v>
      </c>
      <c r="G135" s="570" cm="1">
        <f t="array" ref="G135">IF($B135&lt;=G$127,NA(),($E$9/(1+$B135)^0.5+$E$10/(1+$B135)^1.5+$E$11/(1+$B135)^2.5+$E$12/(1+$B135)^3.5+$E$13/(1+$B135)^4.5+$H$26*SUMPRODUCT('DCF Worst Model'!$L$95:$U$95/(1+$B135)^('DCF Worst Model'!$L$89:$U$89+4.5))+IF($H$26=1,'DCF Worst Model'!$U$95,$E$13)*(1+G$127)/($B135-G$127)/(1+$B135)^(4.5+10*$H$26)+$E$23+$E$24+$E$25)/$E$28)</f>
        <v>62.472355166084149</v>
      </c>
    </row>
    <row r="136" spans="2:7" x14ac:dyDescent="0.3">
      <c r="B136" s="569">
        <v>0.12</v>
      </c>
      <c r="C136" s="570" cm="1">
        <f t="array" ref="C136">IF($B136&lt;=C$127,NA(),($E$9/(1+$B136)^0.5+$E$10/(1+$B136)^1.5+$E$11/(1+$B136)^2.5+$E$12/(1+$B136)^3.5+$E$13/(1+$B136)^4.5+$H$26*SUMPRODUCT('DCF Worst Model'!$L$95:$U$95/(1+$B136)^('DCF Worst Model'!$L$89:$U$89+4.5))+IF($H$26=1,'DCF Worst Model'!$U$95,$E$13)*(1+C$127)/($B136-C$127)/(1+$B136)^(4.5+10*$H$26)+$E$23+$E$24+$E$25)/$E$28)</f>
        <v>54.10006451179121</v>
      </c>
      <c r="D136" s="570" cm="1">
        <f t="array" ref="D136">IF($B136&lt;=D$127,NA(),($E$9/(1+$B136)^0.5+$E$10/(1+$B136)^1.5+$E$11/(1+$B136)^2.5+$E$12/(1+$B136)^3.5+$E$13/(1+$B136)^4.5+$H$26*SUMPRODUCT('DCF Worst Model'!$L$95:$U$95/(1+$B136)^('DCF Worst Model'!$L$89:$U$89+4.5))+IF($H$26=1,'DCF Worst Model'!$U$95,$E$13)*(1+D$127)/($B136-D$127)/(1+$B136)^(4.5+10*$H$26)+$E$23+$E$24+$E$25)/$E$28)</f>
        <v>55.045209369168994</v>
      </c>
      <c r="E136" s="570" cm="1">
        <f t="array" ref="E136">IF($B136&lt;=E$127,NA(),($E$9/(1+$B136)^0.5+$E$10/(1+$B136)^1.5+$E$11/(1+$B136)^2.5+$E$12/(1+$B136)^3.5+$E$13/(1+$B136)^4.5+$H$26*SUMPRODUCT('DCF Worst Model'!$L$95:$U$95/(1+$B136)^('DCF Worst Model'!$L$89:$U$89+4.5))+IF($H$26=1,'DCF Worst Model'!$U$95,$E$13)*(1+E$127)/($B136-E$127)/(1+$B136)^(4.5+10*$H$26)+$E$23+$E$24+$E$25)/$E$28)</f>
        <v>56.095370321810996</v>
      </c>
      <c r="F136" s="570" cm="1">
        <f t="array" ref="F136">IF($B136&lt;=F$127,NA(),($E$9/(1+$B136)^0.5+$E$10/(1+$B136)^1.5+$E$11/(1+$B136)^2.5+$E$12/(1+$B136)^3.5+$E$13/(1+$B136)^4.5+$H$26*SUMPRODUCT('DCF Worst Model'!$L$95:$U$95/(1+$B136)^('DCF Worst Model'!$L$89:$U$89+4.5))+IF($H$26=1,'DCF Worst Model'!$U$95,$E$13)*(1+F$127)/($B136-F$127)/(1+$B136)^(4.5+10*$H$26)+$E$23+$E$24+$E$25)/$E$28)</f>
        <v>57.269079621822613</v>
      </c>
      <c r="G136" s="570" cm="1">
        <f t="array" ref="G136">IF($B136&lt;=G$127,NA(),($E$9/(1+$B136)^0.5+$E$10/(1+$B136)^1.5+$E$11/(1+$B136)^2.5+$E$12/(1+$B136)^3.5+$E$13/(1+$B136)^4.5+$H$26*SUMPRODUCT('DCF Worst Model'!$L$95:$U$95/(1+$B136)^('DCF Worst Model'!$L$89:$U$89+4.5))+IF($H$26=1,'DCF Worst Model'!$U$95,$E$13)*(1+G$127)/($B136-G$127)/(1+$B136)^(4.5+10*$H$26)+$E$23+$E$24+$E$25)/$E$28)</f>
        <v>58.589502584335712</v>
      </c>
    </row>
    <row r="138" spans="2:7" x14ac:dyDescent="0.3">
      <c r="B138" s="683" t="s">
        <v>2240</v>
      </c>
      <c r="C138" s="683"/>
      <c r="D138" s="683"/>
      <c r="E138" s="683"/>
      <c r="F138" s="683"/>
      <c r="G138" s="683"/>
    </row>
    <row r="139" spans="2:7" x14ac:dyDescent="0.3">
      <c r="B139" s="1" t="s">
        <v>2241</v>
      </c>
      <c r="C139" s="33" t="s">
        <v>1620</v>
      </c>
      <c r="D139" s="33" t="s">
        <v>1621</v>
      </c>
      <c r="E139" s="33" t="s">
        <v>1622</v>
      </c>
      <c r="F139" s="33"/>
      <c r="G139" s="33"/>
    </row>
    <row r="140" spans="2:7" x14ac:dyDescent="0.3">
      <c r="B140" s="571">
        <v>0.05</v>
      </c>
      <c r="C140" s="572" cm="1">
        <f t="array" ref="C140">IF($B140&lt;=$H$19,NA(),($C$9/(1+$B140)^0.5+$C$10/(1+$B140)^1.5+$C$11/(1+$B140)^2.5+$C$12/(1+$B140)^3.5+$C$13/(1+$B140)^4.5+$H$26*SUMPRODUCT('DCF Base Model'!$L$95:$U$95/(1+$B140)^('DCF Base Model'!$L$89:$U$89+4.5))+IF($H$26=1,'DCF Base Model'!$U$95,$C$13)*(1+$H$19)/($B140-$H$19)/(1+$B140)^(4.5+10*$H$26)+$C$23+$C$24+$C$25)/$C$28)</f>
        <v>736.35199882488314</v>
      </c>
      <c r="D140" s="572" cm="1">
        <f t="array" ref="D140">IF($B140&lt;=$H$19,NA(),($D$9/(1+$B140)^0.5+$D$10/(1+$B140)^1.5+$D$11/(1+$B140)^2.5+$D$12/(1+$B140)^3.5+$D$13/(1+$B140)^4.5+$H$26*SUMPRODUCT('DCF Best Model'!$L$95:$U$95/(1+$B140)^('DCF Best Model'!$L$89:$U$89+4.5))+IF($H$26=1,'DCF Best Model'!$U$95,$D$13)*(1+$H$19)/($B140-$H$19)/(1+$B140)^(4.5+10*$H$26)+$D$23+$D$24+$D$25)/$D$28)</f>
        <v>1359.6284510658413</v>
      </c>
      <c r="E140" s="572" cm="1">
        <f t="array" ref="E140">IF($B140&lt;=$H$19,NA(),($E$9/(1+$B140)^0.5+$E$10/(1+$B140)^1.5+$E$11/(1+$B140)^2.5+$E$12/(1+$B140)^3.5+$E$13/(1+$B140)^4.5+$H$26*SUMPRODUCT('DCF Worst Model'!$L$95:$U$95/(1+$B140)^('DCF Worst Model'!$L$89:$U$89+4.5))+IF($H$26=1,'DCF Worst Model'!$U$95,$E$13)*(1+$H$19)/($B140-$H$19)/(1+$B140)^(4.5+10*$H$26)+$E$23+$E$24+$E$25)/$E$28)</f>
        <v>268.46878284986838</v>
      </c>
    </row>
    <row r="141" spans="2:7" x14ac:dyDescent="0.3">
      <c r="B141" s="571">
        <v>5.2500000000000005E-2</v>
      </c>
      <c r="C141" s="572" cm="1">
        <f t="array" ref="C141">IF($B141&lt;=$H$19,NA(),($C$9/(1+$B141)^0.5+$C$10/(1+$B141)^1.5+$C$11/(1+$B141)^2.5+$C$12/(1+$B141)^3.5+$C$13/(1+$B141)^4.5+$H$26*SUMPRODUCT('DCF Base Model'!$L$95:$U$95/(1+$B141)^('DCF Base Model'!$L$89:$U$89+4.5))+IF($H$26=1,'DCF Base Model'!$U$95,$C$13)*(1+$H$19)/($B141-$H$19)/(1+$B141)^(4.5+10*$H$26)+$C$23+$C$24+$C$25)/$C$28)</f>
        <v>648.86440650599945</v>
      </c>
      <c r="D141" s="572" cm="1">
        <f t="array" ref="D141">IF($B141&lt;=$H$19,NA(),($D$9/(1+$B141)^0.5+$D$10/(1+$B141)^1.5+$D$11/(1+$B141)^2.5+$D$12/(1+$B141)^3.5+$D$13/(1+$B141)^4.5+$H$26*SUMPRODUCT('DCF Best Model'!$L$95:$U$95/(1+$B141)^('DCF Best Model'!$L$89:$U$89+4.5))+IF($H$26=1,'DCF Best Model'!$U$95,$D$13)*(1+$H$19)/($B141-$H$19)/(1+$B141)^(4.5+10*$H$26)+$D$23+$D$24+$D$25)/$D$28)</f>
        <v>1196.4634832503998</v>
      </c>
      <c r="E141" s="572" cm="1">
        <f t="array" ref="E141">IF($B141&lt;=$H$19,NA(),($E$9/(1+$B141)^0.5+$E$10/(1+$B141)^1.5+$E$11/(1+$B141)^2.5+$E$12/(1+$B141)^3.5+$E$13/(1+$B141)^4.5+$H$26*SUMPRODUCT('DCF Worst Model'!$L$95:$U$95/(1+$B141)^('DCF Worst Model'!$L$89:$U$89+4.5))+IF($H$26=1,'DCF Worst Model'!$U$95,$E$13)*(1+$H$19)/($B141-$H$19)/(1+$B141)^(4.5+10*$H$26)+$E$23+$E$24+$E$25)/$E$28)</f>
        <v>237.72034861925951</v>
      </c>
    </row>
    <row r="142" spans="2:7" x14ac:dyDescent="0.3">
      <c r="B142" s="571">
        <v>5.5E-2</v>
      </c>
      <c r="C142" s="572" cm="1">
        <f t="array" ref="C142">IF($B142&lt;=$H$19,NA(),($C$9/(1+$B142)^0.5+$C$10/(1+$B142)^1.5+$C$11/(1+$B142)^2.5+$C$12/(1+$B142)^3.5+$C$13/(1+$B142)^4.5+$H$26*SUMPRODUCT('DCF Base Model'!$L$95:$U$95/(1+$B142)^('DCF Base Model'!$L$89:$U$89+4.5))+IF($H$26=1,'DCF Base Model'!$U$95,$C$13)*(1+$H$19)/($B142-$H$19)/(1+$B142)^(4.5+10*$H$26)+$C$23+$C$24+$C$25)/$C$28)</f>
        <v>578.98853038034053</v>
      </c>
      <c r="D142" s="572" cm="1">
        <f t="array" ref="D142">IF($B142&lt;=$H$19,NA(),($D$9/(1+$B142)^0.5+$D$10/(1+$B142)^1.5+$D$11/(1+$B142)^2.5+$D$12/(1+$B142)^3.5+$D$13/(1+$B142)^4.5+$H$26*SUMPRODUCT('DCF Best Model'!$L$95:$U$95/(1+$B142)^('DCF Best Model'!$L$89:$U$89+4.5))+IF($H$26=1,'DCF Best Model'!$U$95,$D$13)*(1+$H$19)/($B142-$H$19)/(1+$B142)^(4.5+10*$H$26)+$D$23+$D$24+$D$25)/$D$28)</f>
        <v>1066.1658070107264</v>
      </c>
      <c r="E142" s="572" cm="1">
        <f t="array" ref="E142">IF($B142&lt;=$H$19,NA(),($E$9/(1+$B142)^0.5+$E$10/(1+$B142)^1.5+$E$11/(1+$B142)^2.5+$E$12/(1+$B142)^3.5+$E$13/(1+$B142)^4.5+$H$26*SUMPRODUCT('DCF Worst Model'!$L$95:$U$95/(1+$B142)^('DCF Worst Model'!$L$89:$U$89+4.5))+IF($H$26=1,'DCF Worst Model'!$U$95,$E$13)*(1+$H$19)/($B142-$H$19)/(1+$B142)^(4.5+10*$H$26)+$E$23+$E$24+$E$25)/$E$28)</f>
        <v>213.15255254143608</v>
      </c>
    </row>
    <row r="143" spans="2:7" x14ac:dyDescent="0.3">
      <c r="B143" s="571">
        <v>5.7500000000000002E-2</v>
      </c>
      <c r="C143" s="572" cm="1">
        <f t="array" ref="C143">IF($B143&lt;=$H$19,NA(),($C$9/(1+$B143)^0.5+$C$10/(1+$B143)^1.5+$C$11/(1+$B143)^2.5+$C$12/(1+$B143)^3.5+$C$13/(1+$B143)^4.5+$H$26*SUMPRODUCT('DCF Base Model'!$L$95:$U$95/(1+$B143)^('DCF Base Model'!$L$89:$U$89+4.5))+IF($H$26=1,'DCF Base Model'!$U$95,$C$13)*(1+$H$19)/($B143-$H$19)/(1+$B143)^(4.5+10*$H$26)+$C$23+$C$24+$C$25)/$C$28)</f>
        <v>521.9189135859441</v>
      </c>
      <c r="D143" s="572" cm="1">
        <f t="array" ref="D143">IF($B143&lt;=$H$19,NA(),($D$9/(1+$B143)^0.5+$D$10/(1+$B143)^1.5+$D$11/(1+$B143)^2.5+$D$12/(1+$B143)^3.5+$D$13/(1+$B143)^4.5+$H$26*SUMPRODUCT('DCF Best Model'!$L$95:$U$95/(1+$B143)^('DCF Best Model'!$L$89:$U$89+4.5))+IF($H$26=1,'DCF Best Model'!$U$95,$D$13)*(1+$H$19)/($B143-$H$19)/(1+$B143)^(4.5+10*$H$26)+$D$23+$D$24+$D$25)/$D$28)</f>
        <v>959.76652965931794</v>
      </c>
      <c r="E143" s="572" cm="1">
        <f t="array" ref="E143">IF($B143&lt;=$H$19,NA(),($E$9/(1+$B143)^0.5+$E$10/(1+$B143)^1.5+$E$11/(1+$B143)^2.5+$E$12/(1+$B143)^3.5+$E$13/(1+$B143)^4.5+$H$26*SUMPRODUCT('DCF Worst Model'!$L$95:$U$95/(1+$B143)^('DCF Worst Model'!$L$89:$U$89+4.5))+IF($H$26=1,'DCF Worst Model'!$U$95,$E$13)*(1+$H$19)/($B143-$H$19)/(1+$B143)^(4.5+10*$H$26)+$E$23+$E$24+$E$25)/$E$28)</f>
        <v>193.07933592262052</v>
      </c>
    </row>
    <row r="144" spans="2:7" x14ac:dyDescent="0.3">
      <c r="B144" s="571">
        <v>6.0000000000000005E-2</v>
      </c>
      <c r="C144" s="572" cm="1">
        <f t="array" ref="C144">IF($B144&lt;=$H$19,NA(),($C$9/(1+$B144)^0.5+$C$10/(1+$B144)^1.5+$C$11/(1+$B144)^2.5+$C$12/(1+$B144)^3.5+$C$13/(1+$B144)^4.5+$H$26*SUMPRODUCT('DCF Base Model'!$L$95:$U$95/(1+$B144)^('DCF Base Model'!$L$89:$U$89+4.5))+IF($H$26=1,'DCF Base Model'!$U$95,$C$13)*(1+$H$19)/($B144-$H$19)/(1+$B144)^(4.5+10*$H$26)+$C$23+$C$24+$C$25)/$C$28)</f>
        <v>474.45197293792995</v>
      </c>
      <c r="D144" s="572" cm="1">
        <f t="array" ref="D144">IF($B144&lt;=$H$19,NA(),($D$9/(1+$B144)^0.5+$D$10/(1+$B144)^1.5+$D$11/(1+$B144)^2.5+$D$12/(1+$B144)^3.5+$D$13/(1+$B144)^4.5+$H$26*SUMPRODUCT('DCF Best Model'!$L$95:$U$95/(1+$B144)^('DCF Best Model'!$L$89:$U$89+4.5))+IF($H$26=1,'DCF Best Model'!$U$95,$D$13)*(1+$H$19)/($B144-$H$19)/(1+$B144)^(4.5+10*$H$26)+$D$23+$D$24+$D$25)/$D$28)</f>
        <v>871.28652146015804</v>
      </c>
      <c r="E144" s="572" cm="1">
        <f t="array" ref="E144">IF($B144&lt;=$H$19,NA(),($E$9/(1+$B144)^0.5+$E$10/(1+$B144)^1.5+$E$11/(1+$B144)^2.5+$E$12/(1+$B144)^3.5+$E$13/(1+$B144)^4.5+$H$26*SUMPRODUCT('DCF Worst Model'!$L$95:$U$95/(1+$B144)^('DCF Worst Model'!$L$89:$U$89+4.5))+IF($H$26=1,'DCF Worst Model'!$U$95,$E$13)*(1+$H$19)/($B144-$H$19)/(1+$B144)^(4.5+10*$H$26)+$E$23+$E$24+$E$25)/$E$28)</f>
        <v>176.37666713778384</v>
      </c>
    </row>
    <row r="145" spans="2:5" x14ac:dyDescent="0.3">
      <c r="B145" s="571">
        <v>6.25E-2</v>
      </c>
      <c r="C145" s="572" cm="1">
        <f t="array" ref="C145">IF($B145&lt;=$H$19,NA(),($C$9/(1+$B145)^0.5+$C$10/(1+$B145)^1.5+$C$11/(1+$B145)^2.5+$C$12/(1+$B145)^3.5+$C$13/(1+$B145)^4.5+$H$26*SUMPRODUCT('DCF Base Model'!$L$95:$U$95/(1+$B145)^('DCF Base Model'!$L$89:$U$89+4.5))+IF($H$26=1,'DCF Base Model'!$U$95,$C$13)*(1+$H$19)/($B145-$H$19)/(1+$B145)^(4.5+10*$H$26)+$C$23+$C$24+$C$25)/$C$28)</f>
        <v>434.3698921409632</v>
      </c>
      <c r="D145" s="572" cm="1">
        <f t="array" ref="D145">IF($B145&lt;=$H$19,NA(),($D$9/(1+$B145)^0.5+$D$10/(1+$B145)^1.5+$D$11/(1+$B145)^2.5+$D$12/(1+$B145)^3.5+$D$13/(1+$B145)^4.5+$H$26*SUMPRODUCT('DCF Best Model'!$L$95:$U$95/(1+$B145)^('DCF Best Model'!$L$89:$U$89+4.5))+IF($H$26=1,'DCF Best Model'!$U$95,$D$13)*(1+$H$19)/($B145-$H$19)/(1+$B145)^(4.5+10*$H$26)+$D$23+$D$24+$D$25)/$D$28)</f>
        <v>796.58650289651609</v>
      </c>
      <c r="E145" s="572" cm="1">
        <f t="array" ref="E145">IF($B145&lt;=$H$19,NA(),($E$9/(1+$B145)^0.5+$E$10/(1+$B145)^1.5+$E$11/(1+$B145)^2.5+$E$12/(1+$B145)^3.5+$E$13/(1+$B145)^4.5+$H$26*SUMPRODUCT('DCF Worst Model'!$L$95:$U$95/(1+$B145)^('DCF Worst Model'!$L$89:$U$89+4.5))+IF($H$26=1,'DCF Worst Model'!$U$95,$E$13)*(1+$H$19)/($B145-$H$19)/(1+$B145)^(4.5+10*$H$26)+$E$23+$E$24+$E$25)/$E$28)</f>
        <v>162.26637722147515</v>
      </c>
    </row>
    <row r="146" spans="2:5" x14ac:dyDescent="0.3">
      <c r="B146" s="571">
        <v>6.5000000000000002E-2</v>
      </c>
      <c r="C146" s="572" cm="1">
        <f t="array" ref="C146">IF($B146&lt;=$H$19,NA(),($C$9/(1+$B146)^0.5+$C$10/(1+$B146)^1.5+$C$11/(1+$B146)^2.5+$C$12/(1+$B146)^3.5+$C$13/(1+$B146)^4.5+$H$26*SUMPRODUCT('DCF Base Model'!$L$95:$U$95/(1+$B146)^('DCF Base Model'!$L$89:$U$89+4.5))+IF($H$26=1,'DCF Base Model'!$U$95,$C$13)*(1+$H$19)/($B146-$H$19)/(1+$B146)^(4.5+10*$H$26)+$C$23+$C$24+$C$25)/$C$28)</f>
        <v>400.08856081540677</v>
      </c>
      <c r="D146" s="572" cm="1">
        <f t="array" ref="D146">IF($B146&lt;=$H$19,NA(),($D$9/(1+$B146)^0.5+$D$10/(1+$B146)^1.5+$D$11/(1+$B146)^2.5+$D$12/(1+$B146)^3.5+$D$13/(1+$B146)^4.5+$H$26*SUMPRODUCT('DCF Best Model'!$L$95:$U$95/(1+$B146)^('DCF Best Model'!$L$89:$U$89+4.5))+IF($H$26=1,'DCF Best Model'!$U$95,$D$13)*(1+$H$19)/($B146-$H$19)/(1+$B146)^(4.5+10*$H$26)+$D$23+$D$24+$D$25)/$D$28)</f>
        <v>732.70995180913076</v>
      </c>
      <c r="E146" s="572" cm="1">
        <f t="array" ref="E146">IF($B146&lt;=$H$19,NA(),($E$9/(1+$B146)^0.5+$E$10/(1+$B146)^1.5+$E$11/(1+$B146)^2.5+$E$12/(1+$B146)^3.5+$E$13/(1+$B146)^4.5+$H$26*SUMPRODUCT('DCF Worst Model'!$L$95:$U$95/(1+$B146)^('DCF Worst Model'!$L$89:$U$89+4.5))+IF($H$26=1,'DCF Worst Model'!$U$95,$E$13)*(1+$H$19)/($B146-$H$19)/(1+$B146)^(4.5+10*$H$26)+$E$23+$E$24+$E$25)/$E$28)</f>
        <v>150.19263735162767</v>
      </c>
    </row>
    <row r="147" spans="2:5" x14ac:dyDescent="0.3">
      <c r="B147" s="571">
        <v>6.7500000000000004E-2</v>
      </c>
      <c r="C147" s="572" cm="1">
        <f t="array" ref="C147">IF($B147&lt;=$H$19,NA(),($C$9/(1+$B147)^0.5+$C$10/(1+$B147)^1.5+$C$11/(1+$B147)^2.5+$C$12/(1+$B147)^3.5+$C$13/(1+$B147)^4.5+$H$26*SUMPRODUCT('DCF Base Model'!$L$95:$U$95/(1+$B147)^('DCF Base Model'!$L$89:$U$89+4.5))+IF($H$26=1,'DCF Base Model'!$U$95,$C$13)*(1+$H$19)/($B147-$H$19)/(1+$B147)^(4.5+10*$H$26)+$C$23+$C$24+$C$25)/$C$28)</f>
        <v>370.44633795579824</v>
      </c>
      <c r="D147" s="572" cm="1">
        <f t="array" ref="D147">IF($B147&lt;=$H$19,NA(),($D$9/(1+$B147)^0.5+$D$10/(1+$B147)^1.5+$D$11/(1+$B147)^2.5+$D$12/(1+$B147)^3.5+$D$13/(1+$B147)^4.5+$H$26*SUMPRODUCT('DCF Best Model'!$L$95:$U$95/(1+$B147)^('DCF Best Model'!$L$89:$U$89+4.5))+IF($H$26=1,'DCF Best Model'!$U$95,$D$13)*(1+$H$19)/($B147-$H$19)/(1+$B147)^(4.5+10*$H$26)+$D$23+$D$24+$D$25)/$D$28)</f>
        <v>677.48884779399771</v>
      </c>
      <c r="E147" s="572" cm="1">
        <f t="array" ref="E147">IF($B147&lt;=$H$19,NA(),($E$9/(1+$B147)^0.5+$E$10/(1+$B147)^1.5+$E$11/(1+$B147)^2.5+$E$12/(1+$B147)^3.5+$E$13/(1+$B147)^4.5+$H$26*SUMPRODUCT('DCF Worst Model'!$L$95:$U$95/(1+$B147)^('DCF Worst Model'!$L$89:$U$89+4.5))+IF($H$26=1,'DCF Worst Model'!$U$95,$E$13)*(1+$H$19)/($B147-$H$19)/(1+$B147)^(4.5+10*$H$26)+$E$23+$E$24+$E$25)/$E$28)</f>
        <v>139.74784534287565</v>
      </c>
    </row>
    <row r="148" spans="2:5" x14ac:dyDescent="0.3">
      <c r="B148" s="571">
        <v>7.0000000000000007E-2</v>
      </c>
      <c r="C148" s="572" cm="1">
        <f t="array" ref="C148">IF($B148&lt;=$H$19,NA(),($C$9/(1+$B148)^0.5+$C$10/(1+$B148)^1.5+$C$11/(1+$B148)^2.5+$C$12/(1+$B148)^3.5+$C$13/(1+$B148)^4.5+$H$26*SUMPRODUCT('DCF Base Model'!$L$95:$U$95/(1+$B148)^('DCF Base Model'!$L$89:$U$89+4.5))+IF($H$26=1,'DCF Base Model'!$U$95,$C$13)*(1+$H$19)/($B148-$H$19)/(1+$B148)^(4.5+10*$H$26)+$C$23+$C$24+$C$25)/$C$28)</f>
        <v>344.57202913105317</v>
      </c>
      <c r="D148" s="572" cm="1">
        <f t="array" ref="D148">IF($B148&lt;=$H$19,NA(),($D$9/(1+$B148)^0.5+$D$10/(1+$B148)^1.5+$D$11/(1+$B148)^2.5+$D$12/(1+$B148)^3.5+$D$13/(1+$B148)^4.5+$H$26*SUMPRODUCT('DCF Best Model'!$L$95:$U$95/(1+$B148)^('DCF Best Model'!$L$89:$U$89+4.5))+IF($H$26=1,'DCF Best Model'!$U$95,$D$13)*(1+$H$19)/($B148-$H$19)/(1+$B148)^(4.5+10*$H$26)+$D$23+$D$24+$D$25)/$D$28)</f>
        <v>629.29726255457524</v>
      </c>
      <c r="E148" s="572" cm="1">
        <f t="array" ref="E148">IF($B148&lt;=$H$19,NA(),($E$9/(1+$B148)^0.5+$E$10/(1+$B148)^1.5+$E$11/(1+$B148)^2.5+$E$12/(1+$B148)^3.5+$E$13/(1+$B148)^4.5+$H$26*SUMPRODUCT('DCF Worst Model'!$L$95:$U$95/(1+$B148)^('DCF Worst Model'!$L$89:$U$89+4.5))+IF($H$26=1,'DCF Worst Model'!$U$95,$E$13)*(1+$H$19)/($B148-$H$19)/(1+$B148)^(4.5+10*$H$26)+$E$23+$E$24+$E$25)/$E$28)</f>
        <v>130.62630470765473</v>
      </c>
    </row>
    <row r="149" spans="2:5" x14ac:dyDescent="0.3">
      <c r="B149" s="571">
        <v>7.2500000000000009E-2</v>
      </c>
      <c r="C149" s="572" cm="1">
        <f t="array" ref="C149">IF($B149&lt;=$H$19,NA(),($C$9/(1+$B149)^0.5+$C$10/(1+$B149)^1.5+$C$11/(1+$B149)^2.5+$C$12/(1+$B149)^3.5+$C$13/(1+$B149)^4.5+$H$26*SUMPRODUCT('DCF Base Model'!$L$95:$U$95/(1+$B149)^('DCF Base Model'!$L$89:$U$89+4.5))+IF($H$26=1,'DCF Base Model'!$U$95,$C$13)*(1+$H$19)/($B149-$H$19)/(1+$B149)^(4.5+10*$H$26)+$C$23+$C$24+$C$25)/$C$28)</f>
        <v>321.79946000201153</v>
      </c>
      <c r="D149" s="572" cm="1">
        <f t="array" ref="D149">IF($B149&lt;=$H$19,NA(),($D$9/(1+$B149)^0.5+$D$10/(1+$B149)^1.5+$D$11/(1+$B149)^2.5+$D$12/(1+$B149)^3.5+$D$13/(1+$B149)^4.5+$H$26*SUMPRODUCT('DCF Best Model'!$L$95:$U$95/(1+$B149)^('DCF Best Model'!$L$89:$U$89+4.5))+IF($H$26=1,'DCF Best Model'!$U$95,$D$13)*(1+$H$19)/($B149-$H$19)/(1+$B149)^(4.5+10*$H$26)+$D$23+$D$24+$D$25)/$D$28)</f>
        <v>586.89191845877178</v>
      </c>
      <c r="E149" s="572" cm="1">
        <f t="array" ref="E149">IF($B149&lt;=$H$19,NA(),($E$9/(1+$B149)^0.5+$E$10/(1+$B149)^1.5+$E$11/(1+$B149)^2.5+$E$12/(1+$B149)^3.5+$E$13/(1+$B149)^4.5+$H$26*SUMPRODUCT('DCF Worst Model'!$L$95:$U$95/(1+$B149)^('DCF Worst Model'!$L$89:$U$89+4.5))+IF($H$26=1,'DCF Worst Model'!$U$95,$E$13)*(1+$H$19)/($B149-$H$19)/(1+$B149)^(4.5+10*$H$26)+$E$23+$E$24+$E$25)/$E$28)</f>
        <v>122.59425228652817</v>
      </c>
    </row>
    <row r="150" spans="2:5" x14ac:dyDescent="0.3">
      <c r="B150" s="571">
        <v>7.5000000000000011E-2</v>
      </c>
      <c r="C150" s="572" cm="1">
        <f t="array" ref="C150">IF($B150&lt;=$H$19,NA(),($C$9/(1+$B150)^0.5+$C$10/(1+$B150)^1.5+$C$11/(1+$B150)^2.5+$C$12/(1+$B150)^3.5+$C$13/(1+$B150)^4.5+$H$26*SUMPRODUCT('DCF Base Model'!$L$95:$U$95/(1+$B150)^('DCF Base Model'!$L$89:$U$89+4.5))+IF($H$26=1,'DCF Base Model'!$U$95,$C$13)*(1+$H$19)/($B150-$H$19)/(1+$B150)^(4.5+10*$H$26)+$C$23+$C$24+$C$25)/$C$28)</f>
        <v>301.6105253650382</v>
      </c>
      <c r="D150" s="572" cm="1">
        <f t="array" ref="D150">IF($B150&lt;=$H$19,NA(),($D$9/(1+$B150)^0.5+$D$10/(1+$B150)^1.5+$D$11/(1+$B150)^2.5+$D$12/(1+$B150)^3.5+$D$13/(1+$B150)^4.5+$H$26*SUMPRODUCT('DCF Best Model'!$L$95:$U$95/(1+$B150)^('DCF Best Model'!$L$89:$U$89+4.5))+IF($H$26=1,'DCF Best Model'!$U$95,$D$13)*(1+$H$19)/($B150-$H$19)/(1+$B150)^(4.5+10*$H$26)+$D$23+$D$24+$D$25)/$D$28)</f>
        <v>549.30589432880288</v>
      </c>
      <c r="E150" s="572" cm="1">
        <f t="array" ref="E150">IF($B150&lt;=$H$19,NA(),($E$9/(1+$B150)^0.5+$E$10/(1+$B150)^1.5+$E$11/(1+$B150)^2.5+$E$12/(1+$B150)^3.5+$E$13/(1+$B150)^4.5+$H$26*SUMPRODUCT('DCF Worst Model'!$L$95:$U$95/(1+$B150)^('DCF Worst Model'!$L$89:$U$89+4.5))+IF($H$26=1,'DCF Worst Model'!$U$95,$E$13)*(1+$H$19)/($B150-$H$19)/(1+$B150)^(4.5+10*$H$26)+$E$23+$E$24+$E$25)/$E$28)</f>
        <v>115.46987667075624</v>
      </c>
    </row>
    <row r="151" spans="2:5" x14ac:dyDescent="0.3">
      <c r="B151" s="571">
        <v>7.7499999999999999E-2</v>
      </c>
      <c r="C151" s="572" cm="1">
        <f t="array" ref="C151">IF($B151&lt;=$H$19,NA(),($C$9/(1+$B151)^0.5+$C$10/(1+$B151)^1.5+$C$11/(1+$B151)^2.5+$C$12/(1+$B151)^3.5+$C$13/(1+$B151)^4.5+$H$26*SUMPRODUCT('DCF Base Model'!$L$95:$U$95/(1+$B151)^('DCF Base Model'!$L$89:$U$89+4.5))+IF($H$26=1,'DCF Base Model'!$U$95,$C$13)*(1+$H$19)/($B151-$H$19)/(1+$B151)^(4.5+10*$H$26)+$C$23+$C$24+$C$25)/$C$28)</f>
        <v>283.59622273731634</v>
      </c>
      <c r="D151" s="572" cm="1">
        <f t="array" ref="D151">IF($B151&lt;=$H$19,NA(),($D$9/(1+$B151)^0.5+$D$10/(1+$B151)^1.5+$D$11/(1+$B151)^2.5+$D$12/(1+$B151)^3.5+$D$13/(1+$B151)^4.5+$H$26*SUMPRODUCT('DCF Best Model'!$L$95:$U$95/(1+$B151)^('DCF Best Model'!$L$89:$U$89+4.5))+IF($H$26=1,'DCF Best Model'!$U$95,$D$13)*(1+$H$19)/($B151-$H$19)/(1+$B151)^(4.5+10*$H$26)+$D$23+$D$24+$D$25)/$D$28)</f>
        <v>515.77589790141087</v>
      </c>
      <c r="E151" s="572" cm="1">
        <f t="array" ref="E151">IF($B151&lt;=$H$19,NA(),($E$9/(1+$B151)^0.5+$E$10/(1+$B151)^1.5+$E$11/(1+$B151)^2.5+$E$12/(1+$B151)^3.5+$E$13/(1+$B151)^4.5+$H$26*SUMPRODUCT('DCF Worst Model'!$L$95:$U$95/(1+$B151)^('DCF Worst Model'!$L$89:$U$89+4.5))+IF($H$26=1,'DCF Worst Model'!$U$95,$E$13)*(1+$H$19)/($B151-$H$19)/(1+$B151)^(4.5+10*$H$26)+$E$23+$E$24+$E$25)/$E$28)</f>
        <v>109.10964659886598</v>
      </c>
    </row>
    <row r="152" spans="2:5" x14ac:dyDescent="0.3">
      <c r="B152" s="571">
        <v>0.08</v>
      </c>
      <c r="C152" s="572" cm="1">
        <f t="array" ref="C152">IF($B152&lt;=$H$19,NA(),($C$9/(1+$B152)^0.5+$C$10/(1+$B152)^1.5+$C$11/(1+$B152)^2.5+$C$12/(1+$B152)^3.5+$C$13/(1+$B152)^4.5+$H$26*SUMPRODUCT('DCF Base Model'!$L$95:$U$95/(1+$B152)^('DCF Base Model'!$L$89:$U$89+4.5))+IF($H$26=1,'DCF Base Model'!$U$95,$C$13)*(1+$H$19)/($B152-$H$19)/(1+$B152)^(4.5+10*$H$26)+$C$23+$C$24+$C$25)/$C$28)</f>
        <v>267.42937589323213</v>
      </c>
      <c r="D152" s="572" cm="1">
        <f t="array" ref="D152">IF($B152&lt;=$H$19,NA(),($D$9/(1+$B152)^0.5+$D$10/(1+$B152)^1.5+$D$11/(1+$B152)^2.5+$D$12/(1+$B152)^3.5+$D$13/(1+$B152)^4.5+$H$26*SUMPRODUCT('DCF Best Model'!$L$95:$U$95/(1+$B152)^('DCF Best Model'!$L$89:$U$89+4.5))+IF($H$26=1,'DCF Best Model'!$U$95,$D$13)*(1+$H$19)/($B152-$H$19)/(1+$B152)^(4.5+10*$H$26)+$D$23+$D$24+$D$25)/$D$28)</f>
        <v>485.69135662101525</v>
      </c>
      <c r="E152" s="572" cm="1">
        <f t="array" ref="E152">IF($B152&lt;=$H$19,NA(),($E$9/(1+$B152)^0.5+$E$10/(1+$B152)^1.5+$E$11/(1+$B152)^2.5+$E$12/(1+$B152)^3.5+$E$13/(1+$B152)^4.5+$H$26*SUMPRODUCT('DCF Worst Model'!$L$95:$U$95/(1+$B152)^('DCF Worst Model'!$L$89:$U$89+4.5))+IF($H$26=1,'DCF Worst Model'!$U$95,$E$13)*(1+$H$19)/($B152-$H$19)/(1+$B152)^(4.5+10*$H$26)+$E$23+$E$24+$E$25)/$E$28)</f>
        <v>103.39874083626894</v>
      </c>
    </row>
    <row r="153" spans="2:5" x14ac:dyDescent="0.3">
      <c r="B153" s="571">
        <v>8.2500000000000004E-2</v>
      </c>
      <c r="C153" s="572" cm="1">
        <f t="array" ref="C153">IF($B153&lt;=$H$19,NA(),($C$9/(1+$B153)^0.5+$C$10/(1+$B153)^1.5+$C$11/(1+$B153)^2.5+$C$12/(1+$B153)^3.5+$C$13/(1+$B153)^4.5+$H$26*SUMPRODUCT('DCF Base Model'!$L$95:$U$95/(1+$B153)^('DCF Base Model'!$L$89:$U$89+4.5))+IF($H$26=1,'DCF Base Model'!$U$95,$C$13)*(1+$H$19)/($B153-$H$19)/(1+$B153)^(4.5+10*$H$26)+$C$23+$C$24+$C$25)/$C$28)</f>
        <v>252.84515170058148</v>
      </c>
      <c r="D153" s="572" cm="1">
        <f t="array" ref="D153">IF($B153&lt;=$H$19,NA(),($D$9/(1+$B153)^0.5+$D$10/(1+$B153)^1.5+$D$11/(1+$B153)^2.5+$D$12/(1+$B153)^3.5+$D$13/(1+$B153)^4.5+$H$26*SUMPRODUCT('DCF Best Model'!$L$95:$U$95/(1+$B153)^('DCF Best Model'!$L$89:$U$89+4.5))+IF($H$26=1,'DCF Best Model'!$U$95,$D$13)*(1+$H$19)/($B153-$H$19)/(1+$B153)^(4.5+10*$H$26)+$D$23+$D$24+$D$25)/$D$28)</f>
        <v>458.55805398561995</v>
      </c>
      <c r="E153" s="572" cm="1">
        <f t="array" ref="E153">IF($B153&lt;=$H$19,NA(),($E$9/(1+$B153)^0.5+$E$10/(1+$B153)^1.5+$E$11/(1+$B153)^2.5+$E$12/(1+$B153)^3.5+$E$13/(1+$B153)^4.5+$H$26*SUMPRODUCT('DCF Worst Model'!$L$95:$U$95/(1+$B153)^('DCF Worst Model'!$L$89:$U$89+4.5))+IF($H$26=1,'DCF Worst Model'!$U$95,$E$13)*(1+$H$19)/($B153-$H$19)/(1+$B153)^(4.5+10*$H$26)+$E$23+$E$24+$E$25)/$E$28)</f>
        <v>98.244212376867196</v>
      </c>
    </row>
    <row r="154" spans="2:5" x14ac:dyDescent="0.3">
      <c r="B154" s="571">
        <v>8.5000000000000006E-2</v>
      </c>
      <c r="C154" s="572" cm="1">
        <f t="array" ref="C154">IF($B154&lt;=$H$19,NA(),($C$9/(1+$B154)^0.5+$C$10/(1+$B154)^1.5+$C$11/(1+$B154)^2.5+$C$12/(1+$B154)^3.5+$C$13/(1+$B154)^4.5+$H$26*SUMPRODUCT('DCF Base Model'!$L$95:$U$95/(1+$B154)^('DCF Base Model'!$L$89:$U$89+4.5))+IF($H$26=1,'DCF Base Model'!$U$95,$C$13)*(1+$H$19)/($B154-$H$19)/(1+$B154)^(4.5+10*$H$26)+$C$23+$C$24+$C$25)/$C$28)</f>
        <v>239.62689056944558</v>
      </c>
      <c r="D154" s="572" cm="1">
        <f t="array" ref="D154">IF($B154&lt;=$H$19,NA(),($D$9/(1+$B154)^0.5+$D$10/(1+$B154)^1.5+$D$11/(1+$B154)^2.5+$D$12/(1+$B154)^3.5+$D$13/(1+$B154)^4.5+$H$26*SUMPRODUCT('DCF Best Model'!$L$95:$U$95/(1+$B154)^('DCF Best Model'!$L$89:$U$89+4.5))+IF($H$26=1,'DCF Best Model'!$U$95,$D$13)*(1+$H$19)/($B154-$H$19)/(1+$B154)^(4.5+10*$H$26)+$D$23+$D$24+$D$25)/$D$28)</f>
        <v>433.97168331270569</v>
      </c>
      <c r="E154" s="572" cm="1">
        <f t="array" ref="E154">IF($B154&lt;=$H$19,NA(),($E$9/(1+$B154)^0.5+$E$10/(1+$B154)^1.5+$E$11/(1+$B154)^2.5+$E$12/(1+$B154)^3.5+$E$13/(1+$B154)^4.5+$H$26*SUMPRODUCT('DCF Worst Model'!$L$95:$U$95/(1+$B154)^('DCF Worst Model'!$L$89:$U$89+4.5))+IF($H$26=1,'DCF Worst Model'!$U$95,$E$13)*(1+$H$19)/($B154-$H$19)/(1+$B154)^(4.5+10*$H$26)+$E$23+$E$24+$E$25)/$E$28)</f>
        <v>93.570016955059813</v>
      </c>
    </row>
    <row r="155" spans="2:5" x14ac:dyDescent="0.3">
      <c r="B155" s="571">
        <v>8.7499999999999994E-2</v>
      </c>
      <c r="C155" s="572" cm="1">
        <f t="array" ref="C155">IF($B155&lt;=$H$19,NA(),($C$9/(1+$B155)^0.5+$C$10/(1+$B155)^1.5+$C$11/(1+$B155)^2.5+$C$12/(1+$B155)^3.5+$C$13/(1+$B155)^4.5+$H$26*SUMPRODUCT('DCF Base Model'!$L$95:$U$95/(1+$B155)^('DCF Base Model'!$L$89:$U$89+4.5))+IF($H$26=1,'DCF Base Model'!$U$95,$C$13)*(1+$H$19)/($B155-$H$19)/(1+$B155)^(4.5+10*$H$26)+$C$23+$C$24+$C$25)/$C$28)</f>
        <v>227.59563332650879</v>
      </c>
      <c r="D155" s="572" cm="1">
        <f t="array" ref="D155">IF($B155&lt;=$H$19,NA(),($D$9/(1+$B155)^0.5+$D$10/(1+$B155)^1.5+$D$11/(1+$B155)^2.5+$D$12/(1+$B155)^3.5+$D$13/(1+$B155)^4.5+$H$26*SUMPRODUCT('DCF Best Model'!$L$95:$U$95/(1+$B155)^('DCF Best Model'!$L$89:$U$89+4.5))+IF($H$26=1,'DCF Best Model'!$U$95,$D$13)*(1+$H$19)/($B155-$H$19)/(1+$B155)^(4.5+10*$H$26)+$D$23+$D$24+$D$25)/$D$28)</f>
        <v>411.59830057777674</v>
      </c>
      <c r="E155" s="572" cm="1">
        <f t="array" ref="E155">IF($B155&lt;=$H$19,NA(),($E$9/(1+$B155)^0.5+$E$10/(1+$B155)^1.5+$E$11/(1+$B155)^2.5+$E$12/(1+$B155)^3.5+$E$13/(1+$B155)^4.5+$H$26*SUMPRODUCT('DCF Worst Model'!$L$95:$U$95/(1+$B155)^('DCF Worst Model'!$L$89:$U$89+4.5))+IF($H$26=1,'DCF Worst Model'!$U$95,$E$13)*(1+$H$19)/($B155-$H$19)/(1+$B155)^(4.5+10*$H$26)+$E$23+$E$24+$E$25)/$E$28)</f>
        <v>89.313338469296241</v>
      </c>
    </row>
    <row r="156" spans="2:5" x14ac:dyDescent="0.3">
      <c r="B156" s="571">
        <v>0.09</v>
      </c>
      <c r="C156" s="572" cm="1">
        <f t="array" ref="C156">IF($B156&lt;=$H$19,NA(),($C$9/(1+$B156)^0.5+$C$10/(1+$B156)^1.5+$C$11/(1+$B156)^2.5+$C$12/(1+$B156)^3.5+$C$13/(1+$B156)^4.5+$H$26*SUMPRODUCT('DCF Base Model'!$L$95:$U$95/(1+$B156)^('DCF Base Model'!$L$89:$U$89+4.5))+IF($H$26=1,'DCF Base Model'!$U$95,$C$13)*(1+$H$19)/($B156-$H$19)/(1+$B156)^(4.5+10*$H$26)+$C$23+$C$24+$C$25)/$C$28)</f>
        <v>216.60226639001615</v>
      </c>
      <c r="D156" s="572" cm="1">
        <f t="array" ref="D156">IF($B156&lt;=$H$19,NA(),($D$9/(1+$B156)^0.5+$D$10/(1+$B156)^1.5+$D$11/(1+$B156)^2.5+$D$12/(1+$B156)^3.5+$D$13/(1+$B156)^4.5+$H$26*SUMPRODUCT('DCF Best Model'!$L$95:$U$95/(1+$B156)^('DCF Best Model'!$L$89:$U$89+4.5))+IF($H$26=1,'DCF Best Model'!$U$95,$D$13)*(1+$H$19)/($B156-$H$19)/(1+$B156)^(4.5+10*$H$26)+$D$23+$D$24+$D$25)/$D$28)</f>
        <v>391.1596640940536</v>
      </c>
      <c r="E156" s="572" cm="1">
        <f t="array" ref="E156">IF($B156&lt;=$H$19,NA(),($E$9/(1+$B156)^0.5+$E$10/(1+$B156)^1.5+$E$11/(1+$B156)^2.5+$E$12/(1+$B156)^3.5+$E$13/(1+$B156)^4.5+$H$26*SUMPRODUCT('DCF Worst Model'!$L$95:$U$95/(1+$B156)^('DCF Worst Model'!$L$89:$U$89+4.5))+IF($H$26=1,'DCF Worst Model'!$U$95,$E$13)*(1+$H$19)/($B156-$H$19)/(1+$B156)^(4.5+10*$H$26)+$E$23+$E$24+$E$25)/$E$28)</f>
        <v>85.421833051268038</v>
      </c>
    </row>
    <row r="157" spans="2:5" x14ac:dyDescent="0.3">
      <c r="B157" s="571">
        <v>9.2499999999999999E-2</v>
      </c>
      <c r="C157" s="572" cm="1">
        <f t="array" ref="C157">IF($B157&lt;=$H$19,NA(),($C$9/(1+$B157)^0.5+$C$10/(1+$B157)^1.5+$C$11/(1+$B157)^2.5+$C$12/(1+$B157)^3.5+$C$13/(1+$B157)^4.5+$H$26*SUMPRODUCT('DCF Base Model'!$L$95:$U$95/(1+$B157)^('DCF Base Model'!$L$89:$U$89+4.5))+IF($H$26=1,'DCF Base Model'!$U$95,$C$13)*(1+$H$19)/($B157-$H$19)/(1+$B157)^(4.5+10*$H$26)+$C$23+$C$24+$C$25)/$C$28)</f>
        <v>206.5215521205397</v>
      </c>
      <c r="D157" s="572" cm="1">
        <f t="array" ref="D157">IF($B157&lt;=$H$19,NA(),($D$9/(1+$B157)^0.5+$D$10/(1+$B157)^1.5+$D$11/(1+$B157)^2.5+$D$12/(1+$B157)^3.5+$D$13/(1+$B157)^4.5+$H$26*SUMPRODUCT('DCF Best Model'!$L$95:$U$95/(1+$B157)^('DCF Best Model'!$L$89:$U$89+4.5))+IF($H$26=1,'DCF Best Model'!$U$95,$D$13)*(1+$H$19)/($B157-$H$19)/(1+$B157)^(4.5+10*$H$26)+$D$23+$D$24+$D$25)/$D$28)</f>
        <v>372.42209271598847</v>
      </c>
      <c r="E157" s="572" cm="1">
        <f t="array" ref="E157">IF($B157&lt;=$H$19,NA(),($E$9/(1+$B157)^0.5+$E$10/(1+$B157)^1.5+$E$11/(1+$B157)^2.5+$E$12/(1+$B157)^3.5+$E$13/(1+$B157)^4.5+$H$26*SUMPRODUCT('DCF Worst Model'!$L$95:$U$95/(1+$B157)^('DCF Worst Model'!$L$89:$U$89+4.5))+IF($H$26=1,'DCF Worst Model'!$U$95,$E$13)*(1+$H$19)/($B157-$H$19)/(1+$B157)^(4.5+10*$H$26)+$E$23+$E$24+$E$25)/$E$28)</f>
        <v>81.851534559927103</v>
      </c>
    </row>
    <row r="158" spans="2:5" x14ac:dyDescent="0.3">
      <c r="B158" s="571">
        <v>9.5000000000000001E-2</v>
      </c>
      <c r="C158" s="572" cm="1">
        <f t="array" ref="C158">IF($B158&lt;=$H$19,NA(),($C$9/(1+$B158)^0.5+$C$10/(1+$B158)^1.5+$C$11/(1+$B158)^2.5+$C$12/(1+$B158)^3.5+$C$13/(1+$B158)^4.5+$H$26*SUMPRODUCT('DCF Base Model'!$L$95:$U$95/(1+$B158)^('DCF Base Model'!$L$89:$U$89+4.5))+IF($H$26=1,'DCF Base Model'!$U$95,$C$13)*(1+$H$19)/($B158-$H$19)/(1+$B158)^(4.5+10*$H$26)+$C$23+$C$24+$C$25)/$C$28)</f>
        <v>197.24753679960762</v>
      </c>
      <c r="D158" s="572" cm="1">
        <f t="array" ref="D158">IF($B158&lt;=$H$19,NA(),($D$9/(1+$B158)^0.5+$D$10/(1+$B158)^1.5+$D$11/(1+$B158)^2.5+$D$12/(1+$B158)^3.5+$D$13/(1+$B158)^4.5+$H$26*SUMPRODUCT('DCF Best Model'!$L$95:$U$95/(1+$B158)^('DCF Best Model'!$L$89:$U$89+4.5))+IF($H$26=1,'DCF Best Model'!$U$95,$D$13)*(1+$H$19)/($B158-$H$19)/(1+$B158)^(4.5+10*$H$26)+$D$23+$D$24+$D$25)/$D$28)</f>
        <v>355.18789527003889</v>
      </c>
      <c r="E158" s="572" cm="1">
        <f t="array" ref="E158">IF($B158&lt;=$H$19,NA(),($E$9/(1+$B158)^0.5+$E$10/(1+$B158)^1.5+$E$11/(1+$B158)^2.5+$E$12/(1+$B158)^3.5+$E$13/(1+$B158)^4.5+$H$26*SUMPRODUCT('DCF Worst Model'!$L$95:$U$95/(1+$B158)^('DCF Worst Model'!$L$89:$U$89+4.5))+IF($H$26=1,'DCF Worst Model'!$U$95,$E$13)*(1+$H$19)/($B158-$H$19)/(1+$B158)^(4.5+10*$H$26)+$E$23+$E$24+$E$25)/$E$28)</f>
        <v>78.565243424379304</v>
      </c>
    </row>
    <row r="159" spans="2:5" x14ac:dyDescent="0.3">
      <c r="B159" s="571">
        <v>9.7500000000000003E-2</v>
      </c>
      <c r="C159" s="572" cm="1">
        <f t="array" ref="C159">IF($B159&lt;=$H$19,NA(),($C$9/(1+$B159)^0.5+$C$10/(1+$B159)^1.5+$C$11/(1+$B159)^2.5+$C$12/(1+$B159)^3.5+$C$13/(1+$B159)^4.5+$H$26*SUMPRODUCT('DCF Base Model'!$L$95:$U$95/(1+$B159)^('DCF Base Model'!$L$89:$U$89+4.5))+IF($H$26=1,'DCF Base Model'!$U$95,$C$13)*(1+$H$19)/($B159-$H$19)/(1+$B159)^(4.5+10*$H$26)+$C$23+$C$24+$C$25)/$C$28)</f>
        <v>188.68997907286462</v>
      </c>
      <c r="D159" s="572" cm="1">
        <f t="array" ref="D159">IF($B159&lt;=$H$19,NA(),($D$9/(1+$B159)^0.5+$D$10/(1+$B159)^1.5+$D$11/(1+$B159)^2.5+$D$12/(1+$B159)^3.5+$D$13/(1+$B159)^4.5+$H$26*SUMPRODUCT('DCF Best Model'!$L$95:$U$95/(1+$B159)^('DCF Best Model'!$L$89:$U$89+4.5))+IF($H$26=1,'DCF Best Model'!$U$95,$D$13)*(1+$H$19)/($B159-$H$19)/(1+$B159)^(4.5+10*$H$26)+$D$23+$D$24+$D$25)/$D$28)</f>
        <v>339.2887045966973</v>
      </c>
      <c r="E159" s="572" cm="1">
        <f t="array" ref="E159">IF($B159&lt;=$H$19,NA(),($E$9/(1+$B159)^0.5+$E$10/(1+$B159)^1.5+$E$11/(1+$B159)^2.5+$E$12/(1+$B159)^3.5+$E$13/(1+$B159)^4.5+$H$26*SUMPRODUCT('DCF Worst Model'!$L$95:$U$95/(1+$B159)^('DCF Worst Model'!$L$89:$U$89+4.5))+IF($H$26=1,'DCF Worst Model'!$U$95,$E$13)*(1+$H$19)/($B159-$H$19)/(1+$B159)^(4.5+10*$H$26)+$E$23+$E$24+$E$25)/$E$28)</f>
        <v>75.531273522954649</v>
      </c>
    </row>
    <row r="160" spans="2:5" x14ac:dyDescent="0.3">
      <c r="B160" s="571">
        <v>0.1</v>
      </c>
      <c r="C160" s="572" cm="1">
        <f t="array" ref="C160">IF($B160&lt;=$H$19,NA(),($C$9/(1+$B160)^0.5+$C$10/(1+$B160)^1.5+$C$11/(1+$B160)^2.5+$C$12/(1+$B160)^3.5+$C$13/(1+$B160)^4.5+$H$26*SUMPRODUCT('DCF Base Model'!$L$95:$U$95/(1+$B160)^('DCF Base Model'!$L$89:$U$89+4.5))+IF($H$26=1,'DCF Base Model'!$U$95,$C$13)*(1+$H$19)/($B160-$H$19)/(1+$B160)^(4.5+10*$H$26)+$C$23+$C$24+$C$25)/$C$28)</f>
        <v>180.77154374110293</v>
      </c>
      <c r="D160" s="572" cm="1">
        <f t="array" ref="D160">IF($B160&lt;=$H$19,NA(),($D$9/(1+$B160)^0.5+$D$10/(1+$B160)^1.5+$D$11/(1+$B160)^2.5+$D$12/(1+$B160)^3.5+$D$13/(1+$B160)^4.5+$H$26*SUMPRODUCT('DCF Best Model'!$L$95:$U$95/(1+$B160)^('DCF Best Model'!$L$89:$U$89+4.5))+IF($H$26=1,'DCF Best Model'!$U$95,$D$13)*(1+$H$19)/($B160-$H$19)/(1+$B160)^(4.5+10*$H$26)+$D$23+$D$24+$D$25)/$D$28)</f>
        <v>324.58024004951199</v>
      </c>
      <c r="E160" s="572" cm="1">
        <f t="array" ref="E160">IF($B160&lt;=$H$19,NA(),($E$9/(1+$B160)^0.5+$E$10/(1+$B160)^1.5+$E$11/(1+$B160)^2.5+$E$12/(1+$B160)^3.5+$E$13/(1+$B160)^4.5+$H$26*SUMPRODUCT('DCF Worst Model'!$L$95:$U$95/(1+$B160)^('DCF Worst Model'!$L$89:$U$89+4.5))+IF($H$26=1,'DCF Worst Model'!$U$95,$E$13)*(1+$H$19)/($B160-$H$19)/(1+$B160)^(4.5+10*$H$26)+$E$23+$E$24+$E$25)/$E$28)</f>
        <v>72.722467589377075</v>
      </c>
    </row>
    <row r="161" spans="2:5" x14ac:dyDescent="0.3">
      <c r="B161" s="571">
        <v>0.10249999999999999</v>
      </c>
      <c r="C161" s="572" cm="1">
        <f t="array" ref="C161">IF($B161&lt;=$H$19,NA(),($C$9/(1+$B161)^0.5+$C$10/(1+$B161)^1.5+$C$11/(1+$B161)^2.5+$C$12/(1+$B161)^3.5+$C$13/(1+$B161)^4.5+$H$26*SUMPRODUCT('DCF Base Model'!$L$95:$U$95/(1+$B161)^('DCF Base Model'!$L$89:$U$89+4.5))+IF($H$26=1,'DCF Base Model'!$U$95,$C$13)*(1+$H$19)/($B161-$H$19)/(1+$B161)^(4.5+10*$H$26)+$C$23+$C$24+$C$25)/$C$28)</f>
        <v>173.42557615954408</v>
      </c>
      <c r="D161" s="572" cm="1">
        <f t="array" ref="D161">IF($B161&lt;=$H$19,NA(),($D$9/(1+$B161)^0.5+$D$10/(1+$B161)^1.5+$D$11/(1+$B161)^2.5+$D$12/(1+$B161)^3.5+$D$13/(1+$B161)^4.5+$H$26*SUMPRODUCT('DCF Best Model'!$L$95:$U$95/(1+$B161)^('DCF Best Model'!$L$89:$U$89+4.5))+IF($H$26=1,'DCF Best Model'!$U$95,$D$13)*(1+$H$19)/($B161-$H$19)/(1+$B161)^(4.5+10*$H$26)+$D$23+$D$24+$D$25)/$D$28)</f>
        <v>310.93815364982032</v>
      </c>
      <c r="E161" s="572" cm="1">
        <f t="array" ref="E161">IF($B161&lt;=$H$19,NA(),($E$9/(1+$B161)^0.5+$E$10/(1+$B161)^1.5+$E$11/(1+$B161)^2.5+$E$12/(1+$B161)^3.5+$E$13/(1+$B161)^4.5+$H$26*SUMPRODUCT('DCF Worst Model'!$L$95:$U$95/(1+$B161)^('DCF Worst Model'!$L$89:$U$89+4.5))+IF($H$26=1,'DCF Worst Model'!$U$95,$E$13)*(1+$H$19)/($B161-$H$19)/(1+$B161)^(4.5+10*$H$26)+$E$23+$E$24+$E$25)/$E$28)</f>
        <v>70.11541632912251</v>
      </c>
    </row>
    <row r="162" spans="2:5" x14ac:dyDescent="0.3">
      <c r="B162" s="571">
        <v>0.105</v>
      </c>
      <c r="C162" s="572" cm="1">
        <f t="array" ref="C162">IF($B162&lt;=$H$19,NA(),($C$9/(1+$B162)^0.5+$C$10/(1+$B162)^1.5+$C$11/(1+$B162)^2.5+$C$12/(1+$B162)^3.5+$C$13/(1+$B162)^4.5+$H$26*SUMPRODUCT('DCF Base Model'!$L$95:$U$95/(1+$B162)^('DCF Base Model'!$L$89:$U$89+4.5))+IF($H$26=1,'DCF Base Model'!$U$95,$C$13)*(1+$H$19)/($B162-$H$19)/(1+$B162)^(4.5+10*$H$26)+$C$23+$C$24+$C$25)/$C$28)</f>
        <v>166.59432176965703</v>
      </c>
      <c r="D162" s="572" cm="1">
        <f t="array" ref="D162">IF($B162&lt;=$H$19,NA(),($D$9/(1+$B162)^0.5+$D$10/(1+$B162)^1.5+$D$11/(1+$B162)^2.5+$D$12/(1+$B162)^3.5+$D$13/(1+$B162)^4.5+$H$26*SUMPRODUCT('DCF Best Model'!$L$95:$U$95/(1+$B162)^('DCF Best Model'!$L$89:$U$89+4.5))+IF($H$26=1,'DCF Best Model'!$U$95,$D$13)*(1+$H$19)/($B162-$H$19)/(1+$B162)^(4.5+10*$H$26)+$D$23+$D$24+$D$25)/$D$28)</f>
        <v>298.25470704294764</v>
      </c>
      <c r="E162" s="572" cm="1">
        <f t="array" ref="E162">IF($B162&lt;=$H$19,NA(),($E$9/(1+$B162)^0.5+$E$10/(1+$B162)^1.5+$E$11/(1+$B162)^2.5+$E$12/(1+$B162)^3.5+$E$13/(1+$B162)^4.5+$H$26*SUMPRODUCT('DCF Worst Model'!$L$95:$U$95/(1+$B162)^('DCF Worst Model'!$L$89:$U$89+4.5))+IF($H$26=1,'DCF Worst Model'!$U$95,$E$13)*(1+$H$19)/($B162-$H$19)/(1+$B162)^(4.5+10*$H$26)+$E$23+$E$24+$E$25)/$E$28)</f>
        <v>67.689833713558613</v>
      </c>
    </row>
    <row r="163" spans="2:5" x14ac:dyDescent="0.3">
      <c r="B163" s="571">
        <v>0.1075</v>
      </c>
      <c r="C163" s="572" cm="1">
        <f t="array" ref="C163">IF($B163&lt;=$H$19,NA(),($C$9/(1+$B163)^0.5+$C$10/(1+$B163)^1.5+$C$11/(1+$B163)^2.5+$C$12/(1+$B163)^3.5+$C$13/(1+$B163)^4.5+$H$26*SUMPRODUCT('DCF Base Model'!$L$95:$U$95/(1+$B163)^('DCF Base Model'!$L$89:$U$89+4.5))+IF($H$26=1,'DCF Base Model'!$U$95,$C$13)*(1+$H$19)/($B163-$H$19)/(1+$B163)^(4.5+10*$H$26)+$C$23+$C$24+$C$25)/$C$28)</f>
        <v>160.22749024930241</v>
      </c>
      <c r="D163" s="572" cm="1">
        <f t="array" ref="D163">IF($B163&lt;=$H$19,NA(),($D$9/(1+$B163)^0.5+$D$10/(1+$B163)^1.5+$D$11/(1+$B163)^2.5+$D$12/(1+$B163)^3.5+$D$13/(1+$B163)^4.5+$H$26*SUMPRODUCT('DCF Best Model'!$L$95:$U$95/(1+$B163)^('DCF Best Model'!$L$89:$U$89+4.5))+IF($H$26=1,'DCF Best Model'!$U$95,$D$13)*(1+$H$19)/($B163-$H$19)/(1+$B163)^(4.5+10*$H$26)+$D$23+$D$24+$D$25)/$D$28)</f>
        <v>286.43609165440699</v>
      </c>
      <c r="E163" s="572" cm="1">
        <f t="array" ref="E163">IF($B163&lt;=$H$19,NA(),($E$9/(1+$B163)^0.5+$E$10/(1+$B163)^1.5+$E$11/(1+$B163)^2.5+$E$12/(1+$B163)^3.5+$E$13/(1+$B163)^4.5+$H$26*SUMPRODUCT('DCF Worst Model'!$L$95:$U$95/(1+$B163)^('DCF Worst Model'!$L$89:$U$89+4.5))+IF($H$26=1,'DCF Worst Model'!$U$95,$E$13)*(1+$H$19)/($B163-$H$19)/(1+$B163)^(4.5+10*$H$26)+$E$23+$E$24+$E$25)/$E$28)</f>
        <v>65.428053185893873</v>
      </c>
    </row>
    <row r="164" spans="2:5" x14ac:dyDescent="0.3">
      <c r="B164" s="571">
        <v>0.11</v>
      </c>
      <c r="C164" s="572" cm="1">
        <f t="array" ref="C164">IF($B164&lt;=$H$19,NA(),($C$9/(1+$B164)^0.5+$C$10/(1+$B164)^1.5+$C$11/(1+$B164)^2.5+$C$12/(1+$B164)^3.5+$C$13/(1+$B164)^4.5+$H$26*SUMPRODUCT('DCF Base Model'!$L$95:$U$95/(1+$B164)^('DCF Base Model'!$L$89:$U$89+4.5))+IF($H$26=1,'DCF Base Model'!$U$95,$C$13)*(1+$H$19)/($B164-$H$19)/(1+$B164)^(4.5+10*$H$26)+$C$23+$C$24+$C$25)/$C$28)</f>
        <v>154.28108889554807</v>
      </c>
      <c r="D164" s="572" cm="1">
        <f t="array" ref="D164">IF($B164&lt;=$H$19,NA(),($D$9/(1+$B164)^0.5+$D$10/(1+$B164)^1.5+$D$11/(1+$B164)^2.5+$D$12/(1+$B164)^3.5+$D$13/(1+$B164)^4.5+$H$26*SUMPRODUCT('DCF Best Model'!$L$95:$U$95/(1+$B164)^('DCF Best Model'!$L$89:$U$89+4.5))+IF($H$26=1,'DCF Best Model'!$U$95,$D$13)*(1+$H$19)/($B164-$H$19)/(1+$B164)^(4.5+10*$H$26)+$D$23+$D$24+$D$25)/$D$28)</f>
        <v>275.40025134502309</v>
      </c>
      <c r="E164" s="572" cm="1">
        <f t="array" ref="E164">IF($B164&lt;=$H$19,NA(),($E$9/(1+$B164)^0.5+$E$10/(1+$B164)^1.5+$E$11/(1+$B164)^2.5+$E$12/(1+$B164)^3.5+$E$13/(1+$B164)^4.5+$H$26*SUMPRODUCT('DCF Worst Model'!$L$95:$U$95/(1+$B164)^('DCF Worst Model'!$L$89:$U$89+4.5))+IF($H$26=1,'DCF Worst Model'!$U$95,$E$13)*(1+$H$19)/($B164-$H$19)/(1+$B164)^(4.5+10*$H$26)+$E$23+$E$24+$E$25)/$E$28)</f>
        <v>63.31461832945191</v>
      </c>
    </row>
    <row r="165" spans="2:5" x14ac:dyDescent="0.3">
      <c r="B165" s="571">
        <v>0.1125</v>
      </c>
      <c r="C165" s="572" cm="1">
        <f t="array" ref="C165">IF($B165&lt;=$H$19,NA(),($C$9/(1+$B165)^0.5+$C$10/(1+$B165)^1.5+$C$11/(1+$B165)^2.5+$C$12/(1+$B165)^3.5+$C$13/(1+$B165)^4.5+$H$26*SUMPRODUCT('DCF Base Model'!$L$95:$U$95/(1+$B165)^('DCF Base Model'!$L$89:$U$89+4.5))+IF($H$26=1,'DCF Base Model'!$U$95,$C$13)*(1+$H$19)/($B165-$H$19)/(1+$B165)^(4.5+10*$H$26)+$C$23+$C$24+$C$25)/$C$28)</f>
        <v>148.71646812983479</v>
      </c>
      <c r="D165" s="572" cm="1">
        <f t="array" ref="D165">IF($B165&lt;=$H$19,NA(),($D$9/(1+$B165)^0.5+$D$10/(1+$B165)^1.5+$D$11/(1+$B165)^2.5+$D$12/(1+$B165)^3.5+$D$13/(1+$B165)^4.5+$H$26*SUMPRODUCT('DCF Best Model'!$L$95:$U$95/(1+$B165)^('DCF Best Model'!$L$89:$U$89+4.5))+IF($H$26=1,'DCF Best Model'!$U$95,$D$13)*(1+$H$19)/($B165-$H$19)/(1+$B165)^(4.5+10*$H$26)+$D$23+$D$24+$D$25)/$D$28)</f>
        <v>265.07510097331198</v>
      </c>
      <c r="E165" s="572" cm="1">
        <f t="array" ref="E165">IF($B165&lt;=$H$19,NA(),($E$9/(1+$B165)^0.5+$E$10/(1+$B165)^1.5+$E$11/(1+$B165)^2.5+$E$12/(1+$B165)^3.5+$E$13/(1+$B165)^4.5+$H$26*SUMPRODUCT('DCF Worst Model'!$L$95:$U$95/(1+$B165)^('DCF Worst Model'!$L$89:$U$89+4.5))+IF($H$26=1,'DCF Worst Model'!$U$95,$E$13)*(1+$H$19)/($B165-$H$19)/(1+$B165)^(4.5+10*$H$26)+$E$23+$E$24+$E$25)/$E$28)</f>
        <v>61.335947960787038</v>
      </c>
    </row>
    <row r="166" spans="2:5" x14ac:dyDescent="0.3">
      <c r="B166" s="571">
        <v>0.115</v>
      </c>
      <c r="C166" s="572" cm="1">
        <f t="array" ref="C166">IF($B166&lt;=$H$19,NA(),($C$9/(1+$B166)^0.5+$C$10/(1+$B166)^1.5+$C$11/(1+$B166)^2.5+$C$12/(1+$B166)^3.5+$C$13/(1+$B166)^4.5+$H$26*SUMPRODUCT('DCF Base Model'!$L$95:$U$95/(1+$B166)^('DCF Base Model'!$L$89:$U$89+4.5))+IF($H$26=1,'DCF Base Model'!$U$95,$C$13)*(1+$H$19)/($B166-$H$19)/(1+$B166)^(4.5+10*$H$26)+$C$23+$C$24+$C$25)/$C$28)</f>
        <v>143.49953545289827</v>
      </c>
      <c r="D166" s="572" cm="1">
        <f t="array" ref="D166">IF($B166&lt;=$H$19,NA(),($D$9/(1+$B166)^0.5+$D$10/(1+$B166)^1.5+$D$11/(1+$B166)^2.5+$D$12/(1+$B166)^3.5+$D$13/(1+$B166)^4.5+$H$26*SUMPRODUCT('DCF Best Model'!$L$95:$U$95/(1+$B166)^('DCF Best Model'!$L$89:$U$89+4.5))+IF($H$26=1,'DCF Best Model'!$U$95,$D$13)*(1+$H$19)/($B166-$H$19)/(1+$B166)^(4.5+10*$H$26)+$D$23+$D$24+$D$25)/$D$28)</f>
        <v>255.39705935386181</v>
      </c>
      <c r="E166" s="572" cm="1">
        <f t="array" ref="E166">IF($B166&lt;=$H$19,NA(),($E$9/(1+$B166)^0.5+$E$10/(1+$B166)^1.5+$E$11/(1+$B166)^2.5+$E$12/(1+$B166)^3.5+$E$13/(1+$B166)^4.5+$H$26*SUMPRODUCT('DCF Worst Model'!$L$95:$U$95/(1+$B166)^('DCF Worst Model'!$L$89:$U$89+4.5))+IF($H$26=1,'DCF Worst Model'!$U$95,$E$13)*(1+$H$19)/($B166-$H$19)/(1+$B166)^(4.5+10*$H$26)+$E$23+$E$24+$E$25)/$E$28)</f>
        <v>59.480060324857128</v>
      </c>
    </row>
    <row r="167" spans="2:5" x14ac:dyDescent="0.3">
      <c r="B167" s="571">
        <v>0.11749999999999999</v>
      </c>
      <c r="C167" s="572" cm="1">
        <f t="array" ref="C167">IF($B167&lt;=$H$19,NA(),($C$9/(1+$B167)^0.5+$C$10/(1+$B167)^1.5+$C$11/(1+$B167)^2.5+$C$12/(1+$B167)^3.5+$C$13/(1+$B167)^4.5+$H$26*SUMPRODUCT('DCF Base Model'!$L$95:$U$95/(1+$B167)^('DCF Base Model'!$L$89:$U$89+4.5))+IF($H$26=1,'DCF Base Model'!$U$95,$C$13)*(1+$H$19)/($B167-$H$19)/(1+$B167)^(4.5+10*$H$26)+$C$23+$C$24+$C$25)/$C$28)</f>
        <v>138.60010415918356</v>
      </c>
      <c r="D167" s="572" cm="1">
        <f t="array" ref="D167">IF($B167&lt;=$H$19,NA(),($D$9/(1+$B167)^0.5+$D$10/(1+$B167)^1.5+$D$11/(1+$B167)^2.5+$D$12/(1+$B167)^3.5+$D$13/(1+$B167)^4.5+$H$26*SUMPRODUCT('DCF Best Model'!$L$95:$U$95/(1+$B167)^('DCF Best Model'!$L$89:$U$89+4.5))+IF($H$26=1,'DCF Best Model'!$U$95,$D$13)*(1+$H$19)/($B167-$H$19)/(1+$B167)^(4.5+10*$H$26)+$D$23+$D$24+$D$25)/$D$28)</f>
        <v>246.30983373166069</v>
      </c>
      <c r="E167" s="572" cm="1">
        <f t="array" ref="E167">IF($B167&lt;=$H$19,NA(),($E$9/(1+$B167)^0.5+$E$10/(1+$B167)^1.5+$E$11/(1+$B167)^2.5+$E$12/(1+$B167)^3.5+$E$13/(1+$B167)^4.5+$H$26*SUMPRODUCT('DCF Worst Model'!$L$95:$U$95/(1+$B167)^('DCF Worst Model'!$L$89:$U$89+4.5))+IF($H$26=1,'DCF Worst Model'!$U$95,$E$13)*(1+$H$19)/($B167-$H$19)/(1+$B167)^(4.5+10*$H$26)+$E$23+$E$24+$E$25)/$E$28)</f>
        <v>57.736344571823984</v>
      </c>
    </row>
    <row r="168" spans="2:5" x14ac:dyDescent="0.3">
      <c r="B168" s="571">
        <v>0.12</v>
      </c>
      <c r="C168" s="572" cm="1">
        <f t="array" ref="C168">IF($B168&lt;=$H$19,NA(),($C$9/(1+$B168)^0.5+$C$10/(1+$B168)^1.5+$C$11/(1+$B168)^2.5+$C$12/(1+$B168)^3.5+$C$13/(1+$B168)^4.5+$H$26*SUMPRODUCT('DCF Base Model'!$L$95:$U$95/(1+$B168)^('DCF Base Model'!$L$89:$U$89+4.5))+IF($H$26=1,'DCF Base Model'!$U$95,$C$13)*(1+$H$19)/($B168-$H$19)/(1+$B168)^(4.5+10*$H$26)+$C$23+$C$24+$C$25)/$C$28)</f>
        <v>133.991350607215</v>
      </c>
      <c r="D168" s="572" cm="1">
        <f t="array" ref="D168">IF($B168&lt;=$H$19,NA(),($D$9/(1+$B168)^0.5+$D$10/(1+$B168)^1.5+$D$11/(1+$B168)^2.5+$D$12/(1+$B168)^3.5+$D$13/(1+$B168)^4.5+$H$26*SUMPRODUCT('DCF Best Model'!$L$95:$U$95/(1+$B168)^('DCF Best Model'!$L$89:$U$89+4.5))+IF($H$26=1,'DCF Best Model'!$U$95,$D$13)*(1+$H$19)/($B168-$H$19)/(1+$B168)^(4.5+10*$H$26)+$D$23+$D$24+$D$25)/$D$28)</f>
        <v>237.76340686567505</v>
      </c>
      <c r="E168" s="572" cm="1">
        <f t="array" ref="E168">IF($B168&lt;=$H$19,NA(),($E$9/(1+$B168)^0.5+$E$10/(1+$B168)^1.5+$E$11/(1+$B168)^2.5+$E$12/(1+$B168)^3.5+$E$13/(1+$B168)^4.5+$H$26*SUMPRODUCT('DCF Worst Model'!$L$95:$U$95/(1+$B168)^('DCF Worst Model'!$L$89:$U$89+4.5))+IF($H$26=1,'DCF Worst Model'!$U$95,$E$13)*(1+$H$19)/($B168-$H$19)/(1+$B168)^(4.5+10*$H$26)+$E$23+$E$24+$E$25)/$E$28)</f>
        <v>56.095370321810996</v>
      </c>
    </row>
    <row r="169" spans="2:5" x14ac:dyDescent="0.3">
      <c r="B169" s="571">
        <v>0.1225</v>
      </c>
      <c r="C169" s="572" cm="1">
        <f t="array" ref="C169">IF($B169&lt;=$H$19,NA(),($C$9/(1+$B169)^0.5+$C$10/(1+$B169)^1.5+$C$11/(1+$B169)^2.5+$C$12/(1+$B169)^3.5+$C$13/(1+$B169)^4.5+$H$26*SUMPRODUCT('DCF Base Model'!$L$95:$U$95/(1+$B169)^('DCF Base Model'!$L$89:$U$89+4.5))+IF($H$26=1,'DCF Base Model'!$U$95,$C$13)*(1+$H$19)/($B169-$H$19)/(1+$B169)^(4.5+10*$H$26)+$C$23+$C$24+$C$25)/$C$28)</f>
        <v>129.64935950803215</v>
      </c>
      <c r="D169" s="572" cm="1">
        <f t="array" ref="D169">IF($B169&lt;=$H$19,NA(),($D$9/(1+$B169)^0.5+$D$10/(1+$B169)^1.5+$D$11/(1+$B169)^2.5+$D$12/(1+$B169)^3.5+$D$13/(1+$B169)^4.5+$H$26*SUMPRODUCT('DCF Best Model'!$L$95:$U$95/(1+$B169)^('DCF Best Model'!$L$89:$U$89+4.5))+IF($H$26=1,'DCF Best Model'!$U$95,$D$13)*(1+$H$19)/($B169-$H$19)/(1+$B169)^(4.5+10*$H$26)+$D$23+$D$24+$D$25)/$D$28)</f>
        <v>229.71318838944765</v>
      </c>
      <c r="E169" s="572" cm="1">
        <f t="array" ref="E169">IF($B169&lt;=$H$19,NA(),($E$9/(1+$B169)^0.5+$E$10/(1+$B169)^1.5+$E$11/(1+$B169)^2.5+$E$12/(1+$B169)^3.5+$E$13/(1+$B169)^4.5+$H$26*SUMPRODUCT('DCF Worst Model'!$L$95:$U$95/(1+$B169)^('DCF Worst Model'!$L$89:$U$89+4.5))+IF($H$26=1,'DCF Worst Model'!$U$95,$E$13)*(1+$H$19)/($B169-$H$19)/(1+$B169)^(4.5+10*$H$26)+$E$23+$E$24+$E$25)/$E$28)</f>
        <v>54.548728111771375</v>
      </c>
    </row>
    <row r="170" spans="2:5" x14ac:dyDescent="0.3">
      <c r="B170" s="571">
        <v>0.125</v>
      </c>
      <c r="C170" s="572" cm="1">
        <f t="array" ref="C170">IF($B170&lt;=$H$19,NA(),($C$9/(1+$B170)^0.5+$C$10/(1+$B170)^1.5+$C$11/(1+$B170)^2.5+$C$12/(1+$B170)^3.5+$C$13/(1+$B170)^4.5+$H$26*SUMPRODUCT('DCF Base Model'!$L$95:$U$95/(1+$B170)^('DCF Base Model'!$L$89:$U$89+4.5))+IF($H$26=1,'DCF Base Model'!$U$95,$C$13)*(1+$H$19)/($B170-$H$19)/(1+$B170)^(4.5+10*$H$26)+$C$23+$C$24+$C$25)/$C$28)</f>
        <v>125.55274101757195</v>
      </c>
      <c r="D170" s="572" cm="1">
        <f t="array" ref="D170">IF($B170&lt;=$H$19,NA(),($D$9/(1+$B170)^0.5+$D$10/(1+$B170)^1.5+$D$11/(1+$B170)^2.5+$D$12/(1+$B170)^3.5+$D$13/(1+$B170)^4.5+$H$26*SUMPRODUCT('DCF Best Model'!$L$95:$U$95/(1+$B170)^('DCF Best Model'!$L$89:$U$89+4.5))+IF($H$26=1,'DCF Best Model'!$U$95,$D$13)*(1+$H$19)/($B170-$H$19)/(1+$B170)^(4.5+10*$H$26)+$D$23+$D$24+$D$25)/$D$28)</f>
        <v>222.11930018644404</v>
      </c>
      <c r="E170" s="572" cm="1">
        <f t="array" ref="E170">IF($B170&lt;=$H$19,NA(),($E$9/(1+$B170)^0.5+$E$10/(1+$B170)^1.5+$E$11/(1+$B170)^2.5+$E$12/(1+$B170)^3.5+$E$13/(1+$B170)^4.5+$H$26*SUMPRODUCT('DCF Worst Model'!$L$95:$U$95/(1+$B170)^('DCF Worst Model'!$L$89:$U$89+4.5))+IF($H$26=1,'DCF Worst Model'!$U$95,$E$13)*(1+$H$19)/($B170-$H$19)/(1+$B170)^(4.5+10*$H$26)+$E$23+$E$24+$E$25)/$E$28)</f>
        <v>53.088895035638259</v>
      </c>
    </row>
    <row r="171" spans="2:5" x14ac:dyDescent="0.3">
      <c r="B171" s="571">
        <v>0.1275</v>
      </c>
      <c r="C171" s="572" cm="1">
        <f t="array" ref="C171">IF($B171&lt;=$H$19,NA(),($C$9/(1+$B171)^0.5+$C$10/(1+$B171)^1.5+$C$11/(1+$B171)^2.5+$C$12/(1+$B171)^3.5+$C$13/(1+$B171)^4.5+$H$26*SUMPRODUCT('DCF Base Model'!$L$95:$U$95/(1+$B171)^('DCF Base Model'!$L$89:$U$89+4.5))+IF($H$26=1,'DCF Base Model'!$U$95,$C$13)*(1+$H$19)/($B171-$H$19)/(1+$B171)^(4.5+10*$H$26)+$C$23+$C$24+$C$25)/$C$28)</f>
        <v>121.6823067448685</v>
      </c>
      <c r="D171" s="572" cm="1">
        <f t="array" ref="D171">IF($B171&lt;=$H$19,NA(),($D$9/(1+$B171)^0.5+$D$10/(1+$B171)^1.5+$D$11/(1+$B171)^2.5+$D$12/(1+$B171)^3.5+$D$13/(1+$B171)^4.5+$H$26*SUMPRODUCT('DCF Best Model'!$L$95:$U$95/(1+$B171)^('DCF Best Model'!$L$89:$U$89+4.5))+IF($H$26=1,'DCF Best Model'!$U$95,$D$13)*(1+$H$19)/($B171-$H$19)/(1+$B171)^(4.5+10*$H$26)+$D$23+$D$24+$D$25)/$D$28)</f>
        <v>214.94597172556362</v>
      </c>
      <c r="E171" s="572" cm="1">
        <f t="array" ref="E171">IF($B171&lt;=$H$19,NA(),($E$9/(1+$B171)^0.5+$E$10/(1+$B171)^1.5+$E$11/(1+$B171)^2.5+$E$12/(1+$B171)^3.5+$E$13/(1+$B171)^4.5+$H$26*SUMPRODUCT('DCF Worst Model'!$L$95:$U$95/(1+$B171)^('DCF Worst Model'!$L$89:$U$89+4.5))+IF($H$26=1,'DCF Worst Model'!$U$95,$E$13)*(1+$H$19)/($B171-$H$19)/(1+$B171)^(4.5+10*$H$26)+$E$23+$E$24+$E$25)/$E$28)</f>
        <v>51.709121055871371</v>
      </c>
    </row>
    <row r="172" spans="2:5" x14ac:dyDescent="0.3">
      <c r="B172" s="571">
        <v>0.13</v>
      </c>
      <c r="C172" s="572" cm="1">
        <f t="array" ref="C172">IF($B172&lt;=$H$19,NA(),($C$9/(1+$B172)^0.5+$C$10/(1+$B172)^1.5+$C$11/(1+$B172)^2.5+$C$12/(1+$B172)^3.5+$C$13/(1+$B172)^4.5+$H$26*SUMPRODUCT('DCF Base Model'!$L$95:$U$95/(1+$B172)^('DCF Base Model'!$L$89:$U$89+4.5))+IF($H$26=1,'DCF Base Model'!$U$95,$C$13)*(1+$H$19)/($B172-$H$19)/(1+$B172)^(4.5+10*$H$26)+$C$23+$C$24+$C$25)/$C$28)</f>
        <v>118.02079436556819</v>
      </c>
      <c r="D172" s="572" cm="1">
        <f t="array" ref="D172">IF($B172&lt;=$H$19,NA(),($D$9/(1+$B172)^0.5+$D$10/(1+$B172)^1.5+$D$11/(1+$B172)^2.5+$D$12/(1+$B172)^3.5+$D$13/(1+$B172)^4.5+$H$26*SUMPRODUCT('DCF Best Model'!$L$95:$U$95/(1+$B172)^('DCF Best Model'!$L$89:$U$89+4.5))+IF($H$26=1,'DCF Best Model'!$U$95,$D$13)*(1+$H$19)/($B172-$H$19)/(1+$B172)^(4.5+10*$H$26)+$D$23+$D$24+$D$25)/$D$28)</f>
        <v>208.16102611315722</v>
      </c>
      <c r="E172" s="572" cm="1">
        <f t="array" ref="E172">IF($B172&lt;=$H$19,NA(),($E$9/(1+$B172)^0.5+$E$10/(1+$B172)^1.5+$E$11/(1+$B172)^2.5+$E$12/(1+$B172)^3.5+$E$13/(1+$B172)^4.5+$H$26*SUMPRODUCT('DCF Worst Model'!$L$95:$U$95/(1+$B172)^('DCF Worst Model'!$L$89:$U$89+4.5))+IF($H$26=1,'DCF Worst Model'!$U$95,$E$13)*(1+$H$19)/($B172-$H$19)/(1+$B172)^(4.5+10*$H$26)+$E$23+$E$24+$E$25)/$E$28)</f>
        <v>50.403332368888549</v>
      </c>
    </row>
    <row r="173" spans="2:5" x14ac:dyDescent="0.3">
      <c r="B173" s="571">
        <v>0.13250000000000001</v>
      </c>
      <c r="C173" s="572" cm="1">
        <f t="array" ref="C173">IF($B173&lt;=$H$19,NA(),($C$9/(1+$B173)^0.5+$C$10/(1+$B173)^1.5+$C$11/(1+$B173)^2.5+$C$12/(1+$B173)^3.5+$C$13/(1+$B173)^4.5+$H$26*SUMPRODUCT('DCF Base Model'!$L$95:$U$95/(1+$B173)^('DCF Base Model'!$L$89:$U$89+4.5))+IF($H$26=1,'DCF Base Model'!$U$95,$C$13)*(1+$H$19)/($B173-$H$19)/(1+$B173)^(4.5+10*$H$26)+$C$23+$C$24+$C$25)/$C$28)</f>
        <v>114.55263254207621</v>
      </c>
      <c r="D173" s="572" cm="1">
        <f t="array" ref="D173">IF($B173&lt;=$H$19,NA(),($D$9/(1+$B173)^0.5+$D$10/(1+$B173)^1.5+$D$11/(1+$B173)^2.5+$D$12/(1+$B173)^3.5+$D$13/(1+$B173)^4.5+$H$26*SUMPRODUCT('DCF Best Model'!$L$95:$U$95/(1+$B173)^('DCF Best Model'!$L$89:$U$89+4.5))+IF($H$26=1,'DCF Best Model'!$U$95,$D$13)*(1+$H$19)/($B173-$H$19)/(1+$B173)^(4.5+10*$H$26)+$D$23+$D$24+$D$25)/$D$28)</f>
        <v>201.73544137278742</v>
      </c>
      <c r="E173" s="572" cm="1">
        <f t="array" ref="E173">IF($B173&lt;=$H$19,NA(),($E$9/(1+$B173)^0.5+$E$10/(1+$B173)^1.5+$E$11/(1+$B173)^2.5+$E$12/(1+$B173)^3.5+$E$13/(1+$B173)^4.5+$H$26*SUMPRODUCT('DCF Worst Model'!$L$95:$U$95/(1+$B173)^('DCF Worst Model'!$L$89:$U$89+4.5))+IF($H$26=1,'DCF Worst Model'!$U$95,$E$13)*(1+$H$19)/($B173-$H$19)/(1+$B173)^(4.5+10*$H$26)+$E$23+$E$24+$E$25)/$E$28)</f>
        <v>49.166048912729366</v>
      </c>
    </row>
    <row r="174" spans="2:5" x14ac:dyDescent="0.3">
      <c r="B174" s="571">
        <v>0.13500000000000001</v>
      </c>
      <c r="C174" s="572" cm="1">
        <f t="array" ref="C174">IF($B174&lt;=$H$19,NA(),($C$9/(1+$B174)^0.5+$C$10/(1+$B174)^1.5+$C$11/(1+$B174)^2.5+$C$12/(1+$B174)^3.5+$C$13/(1+$B174)^4.5+$H$26*SUMPRODUCT('DCF Base Model'!$L$95:$U$95/(1+$B174)^('DCF Base Model'!$L$89:$U$89+4.5))+IF($H$26=1,'DCF Base Model'!$U$95,$C$13)*(1+$H$19)/($B174-$H$19)/(1+$B174)^(4.5+10*$H$26)+$C$23+$C$24+$C$25)/$C$28)</f>
        <v>111.26373943235946</v>
      </c>
      <c r="D174" s="572" cm="1">
        <f t="array" ref="D174">IF($B174&lt;=$H$19,NA(),($D$9/(1+$B174)^0.5+$D$10/(1+$B174)^1.5+$D$11/(1+$B174)^2.5+$D$12/(1+$B174)^3.5+$D$13/(1+$B174)^4.5+$H$26*SUMPRODUCT('DCF Best Model'!$L$95:$U$95/(1+$B174)^('DCF Best Model'!$L$89:$U$89+4.5))+IF($H$26=1,'DCF Best Model'!$U$95,$D$13)*(1+$H$19)/($B174-$H$19)/(1+$B174)^(4.5+10*$H$26)+$D$23+$D$24+$D$25)/$D$28)</f>
        <v>195.64297441422653</v>
      </c>
      <c r="E174" s="572" cm="1">
        <f t="array" ref="E174">IF($B174&lt;=$H$19,NA(),($E$9/(1+$B174)^0.5+$E$10/(1+$B174)^1.5+$E$11/(1+$B174)^2.5+$E$12/(1+$B174)^3.5+$E$13/(1+$B174)^4.5+$H$26*SUMPRODUCT('DCF Worst Model'!$L$95:$U$95/(1+$B174)^('DCF Worst Model'!$L$89:$U$89+4.5))+IF($H$26=1,'DCF Worst Model'!$U$95,$E$13)*(1+$H$19)/($B174-$H$19)/(1+$B174)^(4.5+10*$H$26)+$E$23+$E$24+$E$25)/$E$28)</f>
        <v>47.992313659897945</v>
      </c>
    </row>
    <row r="175" spans="2:5" x14ac:dyDescent="0.3">
      <c r="B175" s="571">
        <v>0.13750000000000001</v>
      </c>
      <c r="C175" s="572" cm="1">
        <f t="array" ref="C175">IF($B175&lt;=$H$19,NA(),($C$9/(1+$B175)^0.5+$C$10/(1+$B175)^1.5+$C$11/(1+$B175)^2.5+$C$12/(1+$B175)^3.5+$C$13/(1+$B175)^4.5+$H$26*SUMPRODUCT('DCF Base Model'!$L$95:$U$95/(1+$B175)^('DCF Base Model'!$L$89:$U$89+4.5))+IF($H$26=1,'DCF Base Model'!$U$95,$C$13)*(1+$H$19)/($B175-$H$19)/(1+$B175)^(4.5+10*$H$26)+$C$23+$C$24+$C$25)/$C$28)</f>
        <v>108.14134931929084</v>
      </c>
      <c r="D175" s="572" cm="1">
        <f t="array" ref="D175">IF($B175&lt;=$H$19,NA(),($D$9/(1+$B175)^0.5+$D$10/(1+$B175)^1.5+$D$11/(1+$B175)^2.5+$D$12/(1+$B175)^3.5+$D$13/(1+$B175)^4.5+$H$26*SUMPRODUCT('DCF Best Model'!$L$95:$U$95/(1+$B175)^('DCF Best Model'!$L$89:$U$89+4.5))+IF($H$26=1,'DCF Best Model'!$U$95,$D$13)*(1+$H$19)/($B175-$H$19)/(1+$B175)^(4.5+10*$H$26)+$D$23+$D$24+$D$25)/$D$28)</f>
        <v>189.8598374859491</v>
      </c>
      <c r="E175" s="572" cm="1">
        <f t="array" ref="E175">IF($B175&lt;=$H$19,NA(),($E$9/(1+$B175)^0.5+$E$10/(1+$B175)^1.5+$E$11/(1+$B175)^2.5+$E$12/(1+$B175)^3.5+$E$13/(1+$B175)^4.5+$H$26*SUMPRODUCT('DCF Worst Model'!$L$95:$U$95/(1+$B175)^('DCF Worst Model'!$L$89:$U$89+4.5))+IF($H$26=1,'DCF Worst Model'!$U$95,$E$13)*(1+$H$19)/($B175-$H$19)/(1+$B175)^(4.5+10*$H$26)+$E$23+$E$24+$E$25)/$E$28)</f>
        <v>46.877631776853299</v>
      </c>
    </row>
    <row r="176" spans="2:5" x14ac:dyDescent="0.3">
      <c r="B176" s="571">
        <v>0.14000000000000001</v>
      </c>
      <c r="C176" s="572" cm="1">
        <f t="array" ref="C176">IF($B176&lt;=$H$19,NA(),($C$9/(1+$B176)^0.5+$C$10/(1+$B176)^1.5+$C$11/(1+$B176)^2.5+$C$12/(1+$B176)^3.5+$C$13/(1+$B176)^4.5+$H$26*SUMPRODUCT('DCF Base Model'!$L$95:$U$95/(1+$B176)^('DCF Base Model'!$L$89:$U$89+4.5))+IF($H$26=1,'DCF Base Model'!$U$95,$C$13)*(1+$H$19)/($B176-$H$19)/(1+$B176)^(4.5+10*$H$26)+$C$23+$C$24+$C$25)/$C$28)</f>
        <v>105.17386288663464</v>
      </c>
      <c r="D176" s="572" cm="1">
        <f t="array" ref="D176">IF($B176&lt;=$H$19,NA(),($D$9/(1+$B176)^0.5+$D$10/(1+$B176)^1.5+$D$11/(1+$B176)^2.5+$D$12/(1+$B176)^3.5+$D$13/(1+$B176)^4.5+$H$26*SUMPRODUCT('DCF Best Model'!$L$95:$U$95/(1+$B176)^('DCF Best Model'!$L$89:$U$89+4.5))+IF($H$26=1,'DCF Best Model'!$U$95,$D$13)*(1+$H$19)/($B176-$H$19)/(1+$B176)^(4.5+10*$H$26)+$D$23+$D$24+$D$25)/$D$28)</f>
        <v>184.36441876099403</v>
      </c>
      <c r="E176" s="572" cm="1">
        <f t="array" ref="E176">IF($B176&lt;=$H$19,NA(),($E$9/(1+$B176)^0.5+$E$10/(1+$B176)^1.5+$E$11/(1+$B176)^2.5+$E$12/(1+$B176)^3.5+$E$13/(1+$B176)^4.5+$H$26*SUMPRODUCT('DCF Worst Model'!$L$95:$U$95/(1+$B176)^('DCF Worst Model'!$L$89:$U$89+4.5))+IF($H$26=1,'DCF Worst Model'!$U$95,$E$13)*(1+$H$19)/($B176-$H$19)/(1+$B176)^(4.5+10*$H$26)+$E$23+$E$24+$E$25)/$E$28)</f>
        <v>45.817918080441515</v>
      </c>
    </row>
    <row r="177" spans="2:10" x14ac:dyDescent="0.3">
      <c r="B177" s="571">
        <v>0.14250000000000002</v>
      </c>
      <c r="C177" s="572" cm="1">
        <f t="array" ref="C177">IF($B177&lt;=$H$19,NA(),($C$9/(1+$B177)^0.5+$C$10/(1+$B177)^1.5+$C$11/(1+$B177)^2.5+$C$12/(1+$B177)^3.5+$C$13/(1+$B177)^4.5+$H$26*SUMPRODUCT('DCF Base Model'!$L$95:$U$95/(1+$B177)^('DCF Base Model'!$L$89:$U$89+4.5))+IF($H$26=1,'DCF Base Model'!$U$95,$C$13)*(1+$H$19)/($B177-$H$19)/(1+$B177)^(4.5+10*$H$26)+$C$23+$C$24+$C$25)/$C$28)</f>
        <v>102.35071746313587</v>
      </c>
      <c r="D177" s="572" cm="1">
        <f t="array" ref="D177">IF($B177&lt;=$H$19,NA(),($D$9/(1+$B177)^0.5+$D$10/(1+$B177)^1.5+$D$11/(1+$B177)^2.5+$D$12/(1+$B177)^3.5+$D$13/(1+$B177)^4.5+$H$26*SUMPRODUCT('DCF Best Model'!$L$95:$U$95/(1+$B177)^('DCF Best Model'!$L$89:$U$89+4.5))+IF($H$26=1,'DCF Best Model'!$U$95,$D$13)*(1+$H$19)/($B177-$H$19)/(1+$B177)^(4.5+10*$H$26)+$D$23+$D$24+$D$25)/$D$28)</f>
        <v>179.13704019054742</v>
      </c>
      <c r="E177" s="572" cm="1">
        <f t="array" ref="E177">IF($B177&lt;=$H$19,NA(),($E$9/(1+$B177)^0.5+$E$10/(1+$B177)^1.5+$E$11/(1+$B177)^2.5+$E$12/(1+$B177)^3.5+$E$13/(1+$B177)^4.5+$H$26*SUMPRODUCT('DCF Worst Model'!$L$95:$U$95/(1+$B177)^('DCF Worst Model'!$L$89:$U$89+4.5))+IF($H$26=1,'DCF Worst Model'!$U$95,$E$13)*(1+$H$19)/($B177-$H$19)/(1+$B177)^(4.5+10*$H$26)+$E$23+$E$24+$E$25)/$E$28)</f>
        <v>44.809451500621705</v>
      </c>
    </row>
    <row r="178" spans="2:10" x14ac:dyDescent="0.3">
      <c r="B178" s="571">
        <v>0.14500000000000002</v>
      </c>
      <c r="C178" s="572" cm="1">
        <f t="array" ref="C178">IF($B178&lt;=$H$19,NA(),($C$9/(1+$B178)^0.5+$C$10/(1+$B178)^1.5+$C$11/(1+$B178)^2.5+$C$12/(1+$B178)^3.5+$C$13/(1+$B178)^4.5+$H$26*SUMPRODUCT('DCF Base Model'!$L$95:$U$95/(1+$B178)^('DCF Base Model'!$L$89:$U$89+4.5))+IF($H$26=1,'DCF Base Model'!$U$95,$C$13)*(1+$H$19)/($B178-$H$19)/(1+$B178)^(4.5+10*$H$26)+$C$23+$C$24+$C$25)/$C$28)</f>
        <v>99.662274195925903</v>
      </c>
      <c r="D178" s="572" cm="1">
        <f t="array" ref="D178">IF($B178&lt;=$H$19,NA(),($D$9/(1+$B178)^0.5+$D$10/(1+$B178)^1.5+$D$11/(1+$B178)^2.5+$D$12/(1+$B178)^3.5+$D$13/(1+$B178)^4.5+$H$26*SUMPRODUCT('DCF Best Model'!$L$95:$U$95/(1+$B178)^('DCF Best Model'!$L$89:$U$89+4.5))+IF($H$26=1,'DCF Best Model'!$U$95,$D$13)*(1+$H$19)/($B178-$H$19)/(1+$B178)^(4.5+10*$H$26)+$D$23+$D$24+$D$25)/$D$28)</f>
        <v>174.15974695364014</v>
      </c>
      <c r="E178" s="572" cm="1">
        <f t="array" ref="E178">IF($B178&lt;=$H$19,NA(),($E$9/(1+$B178)^0.5+$E$10/(1+$B178)^1.5+$E$11/(1+$B178)^2.5+$E$12/(1+$B178)^3.5+$E$13/(1+$B178)^4.5+$H$26*SUMPRODUCT('DCF Worst Model'!$L$95:$U$95/(1+$B178)^('DCF Worst Model'!$L$89:$U$89+4.5))+IF($H$26=1,'DCF Worst Model'!$U$95,$E$13)*(1+$H$19)/($B178-$H$19)/(1+$B178)^(4.5+10*$H$26)+$E$23+$E$24+$E$25)/$E$28)</f>
        <v>43.848835483298316</v>
      </c>
    </row>
    <row r="179" spans="2:10" x14ac:dyDescent="0.3">
      <c r="B179" s="571">
        <v>0.14750000000000002</v>
      </c>
      <c r="C179" s="572" cm="1">
        <f t="array" ref="C179">IF($B179&lt;=$H$19,NA(),($C$9/(1+$B179)^0.5+$C$10/(1+$B179)^1.5+$C$11/(1+$B179)^2.5+$C$12/(1+$B179)^3.5+$C$13/(1+$B179)^4.5+$H$26*SUMPRODUCT('DCF Base Model'!$L$95:$U$95/(1+$B179)^('DCF Base Model'!$L$89:$U$89+4.5))+IF($H$26=1,'DCF Base Model'!$U$95,$C$13)*(1+$H$19)/($B179-$H$19)/(1+$B179)^(4.5+10*$H$26)+$C$23+$C$24+$C$25)/$C$28)</f>
        <v>97.099719631709462</v>
      </c>
      <c r="D179" s="572" cm="1">
        <f t="array" ref="D179">IF($B179&lt;=$H$19,NA(),($D$9/(1+$B179)^0.5+$D$10/(1+$B179)^1.5+$D$11/(1+$B179)^2.5+$D$12/(1+$B179)^3.5+$D$13/(1+$B179)^4.5+$H$26*SUMPRODUCT('DCF Best Model'!$L$95:$U$95/(1+$B179)^('DCF Best Model'!$L$89:$U$89+4.5))+IF($H$26=1,'DCF Best Model'!$U$95,$D$13)*(1+$H$19)/($B179-$H$19)/(1+$B179)^(4.5+10*$H$26)+$D$23+$D$24+$D$25)/$D$28)</f>
        <v>169.41612379675814</v>
      </c>
      <c r="E179" s="572" cm="1">
        <f t="array" ref="E179">IF($B179&lt;=$H$19,NA(),($E$9/(1+$B179)^0.5+$E$10/(1+$B179)^1.5+$E$11/(1+$B179)^2.5+$E$12/(1+$B179)^3.5+$E$13/(1+$B179)^4.5+$H$26*SUMPRODUCT('DCF Worst Model'!$L$95:$U$95/(1+$B179)^('DCF Worst Model'!$L$89:$U$89+4.5))+IF($H$26=1,'DCF Worst Model'!$U$95,$E$13)*(1+$H$19)/($B179-$H$19)/(1+$B179)^(4.5+10*$H$26)+$E$23+$E$24+$E$25)/$E$28)</f>
        <v>42.932963448553011</v>
      </c>
    </row>
    <row r="180" spans="2:10" x14ac:dyDescent="0.3">
      <c r="B180" s="571">
        <v>0.15000000000000002</v>
      </c>
      <c r="C180" s="572" cm="1">
        <f t="array" ref="C180">IF($B180&lt;=$H$19,NA(),($C$9/(1+$B180)^0.5+$C$10/(1+$B180)^1.5+$C$11/(1+$B180)^2.5+$C$12/(1+$B180)^3.5+$C$13/(1+$B180)^4.5+$H$26*SUMPRODUCT('DCF Base Model'!$L$95:$U$95/(1+$B180)^('DCF Base Model'!$L$89:$U$89+4.5))+IF($H$26=1,'DCF Base Model'!$U$95,$C$13)*(1+$H$19)/($B180-$H$19)/(1+$B180)^(4.5+10*$H$26)+$C$23+$C$24+$C$25)/$C$28)</f>
        <v>94.654979604453032</v>
      </c>
      <c r="D180" s="572" cm="1">
        <f t="array" ref="D180">IF($B180&lt;=$H$19,NA(),($D$9/(1+$B180)^0.5+$D$10/(1+$B180)^1.5+$D$11/(1+$B180)^2.5+$D$12/(1+$B180)^3.5+$D$13/(1+$B180)^4.5+$H$26*SUMPRODUCT('DCF Best Model'!$L$95:$U$95/(1+$B180)^('DCF Best Model'!$L$89:$U$89+4.5))+IF($H$26=1,'DCF Best Model'!$U$95,$D$13)*(1+$H$19)/($B180-$H$19)/(1+$B180)^(4.5+10*$H$26)+$D$23+$D$24+$D$25)/$D$28)</f>
        <v>164.8911343415358</v>
      </c>
      <c r="E180" s="572" cm="1">
        <f t="array" ref="E180">IF($B180&lt;=$H$19,NA(),($E$9/(1+$B180)^0.5+$E$10/(1+$B180)^1.5+$E$11/(1+$B180)^2.5+$E$12/(1+$B180)^3.5+$E$13/(1+$B180)^4.5+$H$26*SUMPRODUCT('DCF Worst Model'!$L$95:$U$95/(1+$B180)^('DCF Worst Model'!$L$89:$U$89+4.5))+IF($H$26=1,'DCF Worst Model'!$U$95,$E$13)*(1+$H$19)/($B180-$H$19)/(1+$B180)^(4.5+10*$H$26)+$E$23+$E$24+$E$25)/$E$28)</f>
        <v>42.058988567019185</v>
      </c>
    </row>
    <row r="182" spans="2:10" x14ac:dyDescent="0.3">
      <c r="B182" s="573" t="s">
        <v>2242</v>
      </c>
      <c r="C182" s="576">
        <f>C188</f>
        <v>7.0415502893011142E-2</v>
      </c>
      <c r="D182" s="576">
        <f>D188</f>
        <v>9.7288086220238282E-2</v>
      </c>
      <c r="E182" s="576" t="str">
        <f>E188</f>
        <v>below 5.0%</v>
      </c>
    </row>
    <row r="183" spans="2:10" x14ac:dyDescent="0.3">
      <c r="B183" t="s">
        <v>2243</v>
      </c>
      <c r="C183" s="575" cm="1">
        <f t="array" ref="C183">IF(ISNUMBER(C182),IF(C182&lt;=$H$19,NA(),($C$9/(1+C182)^0.5+$C$10/(1+C182)^1.5+$C$11/(1+C182)^2.5+$C$12/(1+C182)^3.5+$C$13/(1+C182)^4.5+$H$26*SUMPRODUCT('DCF Base Model'!$L$95:$U$95/(1+C182)^('DCF Base Model'!$L$89:$U$89+4.5))+IF($H$26=1,'DCF Base Model'!$U$95,$C$13)*(1+$H$19)/(C182-$H$19)/(1+C182)^(4.5+10*$H$26)+$C$23+$C$24+$C$25)/$C$28),"n/a")</f>
        <v>340.58782341997585</v>
      </c>
      <c r="D183" s="575" cm="1">
        <f t="array" ref="D183">IF(ISNUMBER(D182),IF(D182&lt;=$H$19,NA(),($D$9/(1+D182)^0.5+$D$10/(1+D182)^1.5+$D$11/(1+D182)^2.5+$D$12/(1+D182)^3.5+$D$13/(1+D182)^4.5+$H$26*SUMPRODUCT('DCF Best Model'!$L$95:$U$95/(1+D182)^('DCF Best Model'!$L$89:$U$89+4.5))+IF($H$26=1,'DCF Best Model'!$U$95,$D$13)*(1+$H$19)/(D182-$H$19)/(1+D182)^(4.5+10*$H$26)+$D$23+$D$24+$D$25)/$D$28),"n/a")</f>
        <v>340.5883397203591</v>
      </c>
      <c r="E183" s="575" t="str" cm="1">
        <f t="array" ref="E183">IF(ISNUMBER(E182),IF(E182&lt;=$H$19,NA(),($E$9/(1+E182)^0.5+$E$10/(1+E182)^1.5+$E$11/(1+E182)^2.5+$E$12/(1+E182)^3.5+$E$13/(1+E182)^4.5+$H$26*SUMPRODUCT('DCF Worst Model'!$L$95:$U$95/(1+E182)^('DCF Worst Model'!$L$89:$U$89+4.5))+IF($H$26=1,'DCF Worst Model'!$U$95,$E$13)*(1+$H$19)/(E182-$H$19)/(1+E182)^(4.5+10*$H$26)+$E$23+$E$24+$E$25)/$E$28),"n/a")</f>
        <v>n/a</v>
      </c>
    </row>
    <row r="184" spans="2:10" x14ac:dyDescent="0.3">
      <c r="B184" s="646" t="s">
        <v>2247</v>
      </c>
      <c r="C184" s="646"/>
      <c r="D184" s="646"/>
      <c r="E184" s="646"/>
      <c r="F184" s="646"/>
      <c r="G184" s="646"/>
      <c r="H184" s="646"/>
      <c r="I184" s="646"/>
      <c r="J184" s="646"/>
    </row>
    <row r="186" spans="2:10" x14ac:dyDescent="0.3">
      <c r="B186" t="s">
        <v>2244</v>
      </c>
      <c r="C186" s="574" cm="1">
        <f t="array" ref="C186">IFERROR(IF(MATCH(TRUE,INDEX(C$140:C$180&lt;$H$24,0),0)=1,"below "&amp;TEXT($B$140,"0.0%"),INDEX($B$140:$B$180,MATCH(TRUE,INDEX(C$140:C$180&lt;$H$24,0),0)-1)+(INDEX(C$140:C$180,MATCH(TRUE,INDEX(C$140:C$180&lt;$H$24,0),0)-1)-$H$24)/(INDEX(C$140:C$180,MATCH(TRUE,INDEX(C$140:C$180&lt;$H$24,0),0)-1)-INDEX(C$140:C$180,MATCH(TRUE,INDEX(C$140:C$180&lt;$H$24,0),0)))*($B$141-$B$140)),"above "&amp;TEXT($B$180,"0.0%"))</f>
        <v>7.0437151942375154E-2</v>
      </c>
      <c r="D186" s="574" cm="1">
        <f t="array" ref="D186">IFERROR(IF(MATCH(TRUE,INDEX(D$140:D$180&lt;$H$24,0),0)=1,"below "&amp;TEXT($B$140,"0.0%"),INDEX($B$140:$B$180,MATCH(TRUE,INDEX(D$140:D$180&lt;$H$24,0),0)-1)+(INDEX(D$140:D$180,MATCH(TRUE,INDEX(D$140:D$180&lt;$H$24,0),0)-1)-$H$24)/(INDEX(D$140:D$180,MATCH(TRUE,INDEX(D$140:D$180&lt;$H$24,0),0)-1)-INDEX(D$140:D$180,MATCH(TRUE,INDEX(D$140:D$180&lt;$H$24,0),0)))*($B$141-$B$140)),"above "&amp;TEXT($B$180,"0.0%"))</f>
        <v>9.7295383389312304E-2</v>
      </c>
      <c r="E186" s="574" t="str" cm="1">
        <f t="array" ref="E186">IFERROR(IF(MATCH(TRUE,INDEX(E$140:E$180&lt;$H$24,0),0)=1,"below "&amp;TEXT($B$140,"0.0%"),INDEX($B$140:$B$180,MATCH(TRUE,INDEX(E$140:E$180&lt;$H$24,0),0)-1)+(INDEX(E$140:E$180,MATCH(TRUE,INDEX(E$140:E$180&lt;$H$24,0),0)-1)-$H$24)/(INDEX(E$140:E$180,MATCH(TRUE,INDEX(E$140:E$180&lt;$H$24,0),0)-1)-INDEX(E$140:E$180,MATCH(TRUE,INDEX(E$140:E$180&lt;$H$24,0),0)))*($B$141-$B$140)),"above "&amp;TEXT($B$180,"0.0%"))</f>
        <v>below 5.0%</v>
      </c>
    </row>
    <row r="187" spans="2:10" x14ac:dyDescent="0.3">
      <c r="B187" t="s">
        <v>2245</v>
      </c>
      <c r="C187" s="575" cm="1">
        <f t="array" ref="C187">IF(ISNUMBER(C186),IF(C186&lt;=$H$19,NA(),($C$9/(1+C186)^0.5+$C$10/(1+C186)^1.5+$C$11/(1+C186)^2.5+$C$12/(1+C186)^3.5+$C$13/(1+C186)^4.5+$H$26*SUMPRODUCT('DCF Base Model'!$L$95:$U$95/(1+C186)^('DCF Base Model'!$L$89:$U$89+4.5))+IF($H$26=1,'DCF Base Model'!$U$95,$C$13)*(1+$H$19)/(C186-$H$19)/(1+C186)^(4.5+10*$H$26)+$C$23+$C$24+$C$25)/$C$28),"n/a")</f>
        <v>340.38252335741311</v>
      </c>
      <c r="D187" s="575" cm="1">
        <f t="array" ref="D187">IF(ISNUMBER(D186),IF(D186&lt;=$H$19,NA(),($D$9/(1+D186)^0.5+$D$10/(1+D186)^1.5+$D$11/(1+D186)^2.5+$D$12/(1+D186)^3.5+$D$13/(1+D186)^4.5+$H$26*SUMPRODUCT('DCF Best Model'!$L$95:$U$95/(1+D186)^('DCF Best Model'!$L$89:$U$89+4.5))+IF($H$26=1,'DCF Best Model'!$U$95,$D$13)*(1+$H$19)/(D186-$H$19)/(1+D186)^(4.5+10*$H$26)+$D$23+$D$24+$D$25)/$D$28),"n/a")</f>
        <v>340.54344436369212</v>
      </c>
      <c r="E187" s="575" t="str" cm="1">
        <f t="array" ref="E187">IF(ISNUMBER(E186),IF(E186&lt;=$H$19,NA(),($E$9/(1+E186)^0.5+$E$10/(1+E186)^1.5+$E$11/(1+E186)^2.5+$E$12/(1+E186)^3.5+$E$13/(1+E186)^4.5+$H$26*SUMPRODUCT('DCF Worst Model'!$L$95:$U$95/(1+E186)^('DCF Worst Model'!$L$89:$U$89+4.5))+IF($H$26=1,'DCF Worst Model'!$U$95,$E$13)*(1+$H$19)/(E186-$H$19)/(1+E186)^(4.5+10*$H$26)+$E$23+$E$24+$E$25)/$E$28),"n/a")</f>
        <v>n/a</v>
      </c>
    </row>
    <row r="188" spans="2:10" x14ac:dyDescent="0.3">
      <c r="B188" t="s">
        <v>2246</v>
      </c>
      <c r="C188" s="574" cm="1">
        <f t="array" ref="C188">IF(ISNUMBER(C186),C186+(C187-$H$24)*(C186-INDEX($B$140:$B$180,MATCH(TRUE,INDEX(C$140:C$180&lt;$H$24,0),0)-1))/(INDEX(C$140:C$180,MATCH(TRUE,INDEX(C$140:C$180&lt;$H$24,0),0)-1)-C187),C186)</f>
        <v>7.0415502893011142E-2</v>
      </c>
      <c r="D188" s="574" cm="1">
        <f t="array" ref="D188">IF(ISNUMBER(D186),D186+(D187-$H$24)*(D186-INDEX($B$140:$B$180,MATCH(TRUE,INDEX(D$140:D$180&lt;$H$24,0),0)-1))/(INDEX(D$140:D$180,MATCH(TRUE,INDEX(D$140:D$180&lt;$H$24,0),0)-1)-D187),D186)</f>
        <v>9.7288086220238282E-2</v>
      </c>
      <c r="E188" s="574" t="str" cm="1">
        <f t="array" ref="E188">IF(ISNUMBER(E186),E186+(E187-$H$24)*(E186-INDEX($B$140:$B$180,MATCH(TRUE,INDEX(E$140:E$180&lt;$H$24,0),0)-1))/(INDEX(E$140:E$180,MATCH(TRUE,INDEX(E$140:E$180&lt;$H$24,0),0)-1)-E187),E186)</f>
        <v>below 5.0%</v>
      </c>
    </row>
  </sheetData>
  <mergeCells count="18">
    <mergeCell ref="B103:G103"/>
    <mergeCell ref="B104:J104"/>
    <mergeCell ref="B138:G138"/>
    <mergeCell ref="B184:J184"/>
    <mergeCell ref="B56:J56"/>
    <mergeCell ref="B80:F80"/>
    <mergeCell ref="B93:F93"/>
    <mergeCell ref="B63:F63"/>
    <mergeCell ref="B58:J58"/>
    <mergeCell ref="B59:J59"/>
    <mergeCell ref="B60:J60"/>
    <mergeCell ref="B61:J61"/>
    <mergeCell ref="B2:J2"/>
    <mergeCell ref="B3:J3"/>
    <mergeCell ref="G5:J5"/>
    <mergeCell ref="B35:G35"/>
    <mergeCell ref="B43:F43"/>
    <mergeCell ref="B42:J42"/>
  </mergeCells>
  <conditionalFormatting sqref="C140:E140">
    <cfRule type="colorScale" priority="46">
      <colorScale>
        <cfvo type="min"/>
        <cfvo type="percentile" val="50"/>
        <cfvo type="max"/>
        <color rgb="FFF4CCCC"/>
        <color rgb="FFFFF2CC"/>
        <color rgb="FFD9EAD3"/>
      </colorScale>
    </cfRule>
  </conditionalFormatting>
  <conditionalFormatting sqref="C141:E141">
    <cfRule type="colorScale" priority="45">
      <colorScale>
        <cfvo type="min"/>
        <cfvo type="percentile" val="50"/>
        <cfvo type="max"/>
        <color rgb="FFF4CCCC"/>
        <color rgb="FFFFF2CC"/>
        <color rgb="FFD9EAD3"/>
      </colorScale>
    </cfRule>
  </conditionalFormatting>
  <conditionalFormatting sqref="C142:E142">
    <cfRule type="colorScale" priority="44">
      <colorScale>
        <cfvo type="min"/>
        <cfvo type="percentile" val="50"/>
        <cfvo type="max"/>
        <color rgb="FFF4CCCC"/>
        <color rgb="FFFFF2CC"/>
        <color rgb="FFD9EAD3"/>
      </colorScale>
    </cfRule>
  </conditionalFormatting>
  <conditionalFormatting sqref="C143:E143">
    <cfRule type="colorScale" priority="43">
      <colorScale>
        <cfvo type="min"/>
        <cfvo type="percentile" val="50"/>
        <cfvo type="max"/>
        <color rgb="FFF4CCCC"/>
        <color rgb="FFFFF2CC"/>
        <color rgb="FFD9EAD3"/>
      </colorScale>
    </cfRule>
  </conditionalFormatting>
  <conditionalFormatting sqref="C144:E144">
    <cfRule type="colorScale" priority="42">
      <colorScale>
        <cfvo type="min"/>
        <cfvo type="percentile" val="50"/>
        <cfvo type="max"/>
        <color rgb="FFF4CCCC"/>
        <color rgb="FFFFF2CC"/>
        <color rgb="FFD9EAD3"/>
      </colorScale>
    </cfRule>
  </conditionalFormatting>
  <conditionalFormatting sqref="C145:E145">
    <cfRule type="colorScale" priority="41">
      <colorScale>
        <cfvo type="min"/>
        <cfvo type="percentile" val="50"/>
        <cfvo type="max"/>
        <color rgb="FFF4CCCC"/>
        <color rgb="FFFFF2CC"/>
        <color rgb="FFD9EAD3"/>
      </colorScale>
    </cfRule>
  </conditionalFormatting>
  <conditionalFormatting sqref="C146:E146">
    <cfRule type="colorScale" priority="40">
      <colorScale>
        <cfvo type="min"/>
        <cfvo type="percentile" val="50"/>
        <cfvo type="max"/>
        <color rgb="FFF4CCCC"/>
        <color rgb="FFFFF2CC"/>
        <color rgb="FFD9EAD3"/>
      </colorScale>
    </cfRule>
  </conditionalFormatting>
  <conditionalFormatting sqref="C147:E147">
    <cfRule type="colorScale" priority="39">
      <colorScale>
        <cfvo type="min"/>
        <cfvo type="percentile" val="50"/>
        <cfvo type="max"/>
        <color rgb="FFF4CCCC"/>
        <color rgb="FFFFF2CC"/>
        <color rgb="FFD9EAD3"/>
      </colorScale>
    </cfRule>
  </conditionalFormatting>
  <conditionalFormatting sqref="C148:E148">
    <cfRule type="colorScale" priority="38">
      <colorScale>
        <cfvo type="min"/>
        <cfvo type="percentile" val="50"/>
        <cfvo type="max"/>
        <color rgb="FFF4CCCC"/>
        <color rgb="FFFFF2CC"/>
        <color rgb="FFD9EAD3"/>
      </colorScale>
    </cfRule>
  </conditionalFormatting>
  <conditionalFormatting sqref="C149:E149">
    <cfRule type="colorScale" priority="37">
      <colorScale>
        <cfvo type="min"/>
        <cfvo type="percentile" val="50"/>
        <cfvo type="max"/>
        <color rgb="FFF4CCCC"/>
        <color rgb="FFFFF2CC"/>
        <color rgb="FFD9EAD3"/>
      </colorScale>
    </cfRule>
  </conditionalFormatting>
  <conditionalFormatting sqref="C150:E150">
    <cfRule type="colorScale" priority="36">
      <colorScale>
        <cfvo type="min"/>
        <cfvo type="percentile" val="50"/>
        <cfvo type="max"/>
        <color rgb="FFF4CCCC"/>
        <color rgb="FFFFF2CC"/>
        <color rgb="FFD9EAD3"/>
      </colorScale>
    </cfRule>
  </conditionalFormatting>
  <conditionalFormatting sqref="C151:E151">
    <cfRule type="colorScale" priority="35">
      <colorScale>
        <cfvo type="min"/>
        <cfvo type="percentile" val="50"/>
        <cfvo type="max"/>
        <color rgb="FFF4CCCC"/>
        <color rgb="FFFFF2CC"/>
        <color rgb="FFD9EAD3"/>
      </colorScale>
    </cfRule>
  </conditionalFormatting>
  <conditionalFormatting sqref="C152:E152">
    <cfRule type="colorScale" priority="34">
      <colorScale>
        <cfvo type="min"/>
        <cfvo type="percentile" val="50"/>
        <cfvo type="max"/>
        <color rgb="FFF4CCCC"/>
        <color rgb="FFFFF2CC"/>
        <color rgb="FFD9EAD3"/>
      </colorScale>
    </cfRule>
  </conditionalFormatting>
  <conditionalFormatting sqref="C153:E153">
    <cfRule type="colorScale" priority="33">
      <colorScale>
        <cfvo type="min"/>
        <cfvo type="percentile" val="50"/>
        <cfvo type="max"/>
        <color rgb="FFF4CCCC"/>
        <color rgb="FFFFF2CC"/>
        <color rgb="FFD9EAD3"/>
      </colorScale>
    </cfRule>
  </conditionalFormatting>
  <conditionalFormatting sqref="C154:E154">
    <cfRule type="colorScale" priority="32">
      <colorScale>
        <cfvo type="min"/>
        <cfvo type="percentile" val="50"/>
        <cfvo type="max"/>
        <color rgb="FFF4CCCC"/>
        <color rgb="FFFFF2CC"/>
        <color rgb="FFD9EAD3"/>
      </colorScale>
    </cfRule>
  </conditionalFormatting>
  <conditionalFormatting sqref="C155:E155">
    <cfRule type="colorScale" priority="31">
      <colorScale>
        <cfvo type="min"/>
        <cfvo type="percentile" val="50"/>
        <cfvo type="max"/>
        <color rgb="FFF4CCCC"/>
        <color rgb="FFFFF2CC"/>
        <color rgb="FFD9EAD3"/>
      </colorScale>
    </cfRule>
  </conditionalFormatting>
  <conditionalFormatting sqref="C156:E156">
    <cfRule type="colorScale" priority="30">
      <colorScale>
        <cfvo type="min"/>
        <cfvo type="percentile" val="50"/>
        <cfvo type="max"/>
        <color rgb="FFF4CCCC"/>
        <color rgb="FFFFF2CC"/>
        <color rgb="FFD9EAD3"/>
      </colorScale>
    </cfRule>
  </conditionalFormatting>
  <conditionalFormatting sqref="C157:E157">
    <cfRule type="colorScale" priority="29">
      <colorScale>
        <cfvo type="min"/>
        <cfvo type="percentile" val="50"/>
        <cfvo type="max"/>
        <color rgb="FFF4CCCC"/>
        <color rgb="FFFFF2CC"/>
        <color rgb="FFD9EAD3"/>
      </colorScale>
    </cfRule>
  </conditionalFormatting>
  <conditionalFormatting sqref="C158:E158">
    <cfRule type="colorScale" priority="28">
      <colorScale>
        <cfvo type="min"/>
        <cfvo type="percentile" val="50"/>
        <cfvo type="max"/>
        <color rgb="FFF4CCCC"/>
        <color rgb="FFFFF2CC"/>
        <color rgb="FFD9EAD3"/>
      </colorScale>
    </cfRule>
  </conditionalFormatting>
  <conditionalFormatting sqref="C159:E159">
    <cfRule type="colorScale" priority="27">
      <colorScale>
        <cfvo type="min"/>
        <cfvo type="percentile" val="50"/>
        <cfvo type="max"/>
        <color rgb="FFF4CCCC"/>
        <color rgb="FFFFF2CC"/>
        <color rgb="FFD9EAD3"/>
      </colorScale>
    </cfRule>
  </conditionalFormatting>
  <conditionalFormatting sqref="C160:E160">
    <cfRule type="colorScale" priority="26">
      <colorScale>
        <cfvo type="min"/>
        <cfvo type="percentile" val="50"/>
        <cfvo type="max"/>
        <color rgb="FFF4CCCC"/>
        <color rgb="FFFFF2CC"/>
        <color rgb="FFD9EAD3"/>
      </colorScale>
    </cfRule>
  </conditionalFormatting>
  <conditionalFormatting sqref="C161:E161">
    <cfRule type="colorScale" priority="25">
      <colorScale>
        <cfvo type="min"/>
        <cfvo type="percentile" val="50"/>
        <cfvo type="max"/>
        <color rgb="FFF4CCCC"/>
        <color rgb="FFFFF2CC"/>
        <color rgb="FFD9EAD3"/>
      </colorScale>
    </cfRule>
  </conditionalFormatting>
  <conditionalFormatting sqref="C162:E162">
    <cfRule type="colorScale" priority="24">
      <colorScale>
        <cfvo type="min"/>
        <cfvo type="percentile" val="50"/>
        <cfvo type="max"/>
        <color rgb="FFF4CCCC"/>
        <color rgb="FFFFF2CC"/>
        <color rgb="FFD9EAD3"/>
      </colorScale>
    </cfRule>
  </conditionalFormatting>
  <conditionalFormatting sqref="C163:E163">
    <cfRule type="colorScale" priority="23">
      <colorScale>
        <cfvo type="min"/>
        <cfvo type="percentile" val="50"/>
        <cfvo type="max"/>
        <color rgb="FFF4CCCC"/>
        <color rgb="FFFFF2CC"/>
        <color rgb="FFD9EAD3"/>
      </colorScale>
    </cfRule>
  </conditionalFormatting>
  <conditionalFormatting sqref="C164:E164">
    <cfRule type="colorScale" priority="22">
      <colorScale>
        <cfvo type="min"/>
        <cfvo type="percentile" val="50"/>
        <cfvo type="max"/>
        <color rgb="FFF4CCCC"/>
        <color rgb="FFFFF2CC"/>
        <color rgb="FFD9EAD3"/>
      </colorScale>
    </cfRule>
  </conditionalFormatting>
  <conditionalFormatting sqref="C165:E165">
    <cfRule type="colorScale" priority="21">
      <colorScale>
        <cfvo type="min"/>
        <cfvo type="percentile" val="50"/>
        <cfvo type="max"/>
        <color rgb="FFF4CCCC"/>
        <color rgb="FFFFF2CC"/>
        <color rgb="FFD9EAD3"/>
      </colorScale>
    </cfRule>
  </conditionalFormatting>
  <conditionalFormatting sqref="C166:E166">
    <cfRule type="colorScale" priority="20">
      <colorScale>
        <cfvo type="min"/>
        <cfvo type="percentile" val="50"/>
        <cfvo type="max"/>
        <color rgb="FFF4CCCC"/>
        <color rgb="FFFFF2CC"/>
        <color rgb="FFD9EAD3"/>
      </colorScale>
    </cfRule>
  </conditionalFormatting>
  <conditionalFormatting sqref="C167:E167">
    <cfRule type="colorScale" priority="19">
      <colorScale>
        <cfvo type="min"/>
        <cfvo type="percentile" val="50"/>
        <cfvo type="max"/>
        <color rgb="FFF4CCCC"/>
        <color rgb="FFFFF2CC"/>
        <color rgb="FFD9EAD3"/>
      </colorScale>
    </cfRule>
  </conditionalFormatting>
  <conditionalFormatting sqref="C168:E168">
    <cfRule type="colorScale" priority="18">
      <colorScale>
        <cfvo type="min"/>
        <cfvo type="percentile" val="50"/>
        <cfvo type="max"/>
        <color rgb="FFF4CCCC"/>
        <color rgb="FFFFF2CC"/>
        <color rgb="FFD9EAD3"/>
      </colorScale>
    </cfRule>
  </conditionalFormatting>
  <conditionalFormatting sqref="C169:E169">
    <cfRule type="colorScale" priority="17">
      <colorScale>
        <cfvo type="min"/>
        <cfvo type="percentile" val="50"/>
        <cfvo type="max"/>
        <color rgb="FFF4CCCC"/>
        <color rgb="FFFFF2CC"/>
        <color rgb="FFD9EAD3"/>
      </colorScale>
    </cfRule>
  </conditionalFormatting>
  <conditionalFormatting sqref="C170:E170">
    <cfRule type="colorScale" priority="16">
      <colorScale>
        <cfvo type="min"/>
        <cfvo type="percentile" val="50"/>
        <cfvo type="max"/>
        <color rgb="FFF4CCCC"/>
        <color rgb="FFFFF2CC"/>
        <color rgb="FFD9EAD3"/>
      </colorScale>
    </cfRule>
  </conditionalFormatting>
  <conditionalFormatting sqref="C171:E171">
    <cfRule type="colorScale" priority="15">
      <colorScale>
        <cfvo type="min"/>
        <cfvo type="percentile" val="50"/>
        <cfvo type="max"/>
        <color rgb="FFF4CCCC"/>
        <color rgb="FFFFF2CC"/>
        <color rgb="FFD9EAD3"/>
      </colorScale>
    </cfRule>
  </conditionalFormatting>
  <conditionalFormatting sqref="C172:E172">
    <cfRule type="colorScale" priority="14">
      <colorScale>
        <cfvo type="min"/>
        <cfvo type="percentile" val="50"/>
        <cfvo type="max"/>
        <color rgb="FFF4CCCC"/>
        <color rgb="FFFFF2CC"/>
        <color rgb="FFD9EAD3"/>
      </colorScale>
    </cfRule>
  </conditionalFormatting>
  <conditionalFormatting sqref="C173:E173">
    <cfRule type="colorScale" priority="13">
      <colorScale>
        <cfvo type="min"/>
        <cfvo type="percentile" val="50"/>
        <cfvo type="max"/>
        <color rgb="FFF4CCCC"/>
        <color rgb="FFFFF2CC"/>
        <color rgb="FFD9EAD3"/>
      </colorScale>
    </cfRule>
  </conditionalFormatting>
  <conditionalFormatting sqref="C174:E174">
    <cfRule type="colorScale" priority="12">
      <colorScale>
        <cfvo type="min"/>
        <cfvo type="percentile" val="50"/>
        <cfvo type="max"/>
        <color rgb="FFF4CCCC"/>
        <color rgb="FFFFF2CC"/>
        <color rgb="FFD9EAD3"/>
      </colorScale>
    </cfRule>
  </conditionalFormatting>
  <conditionalFormatting sqref="C175:E175">
    <cfRule type="colorScale" priority="11">
      <colorScale>
        <cfvo type="min"/>
        <cfvo type="percentile" val="50"/>
        <cfvo type="max"/>
        <color rgb="FFF4CCCC"/>
        <color rgb="FFFFF2CC"/>
        <color rgb="FFD9EAD3"/>
      </colorScale>
    </cfRule>
  </conditionalFormatting>
  <conditionalFormatting sqref="C176:E176">
    <cfRule type="colorScale" priority="10">
      <colorScale>
        <cfvo type="min"/>
        <cfvo type="percentile" val="50"/>
        <cfvo type="max"/>
        <color rgb="FFF4CCCC"/>
        <color rgb="FFFFF2CC"/>
        <color rgb="FFD9EAD3"/>
      </colorScale>
    </cfRule>
  </conditionalFormatting>
  <conditionalFormatting sqref="C177:E177">
    <cfRule type="colorScale" priority="9">
      <colorScale>
        <cfvo type="min"/>
        <cfvo type="percentile" val="50"/>
        <cfvo type="max"/>
        <color rgb="FFF4CCCC"/>
        <color rgb="FFFFF2CC"/>
        <color rgb="FFD9EAD3"/>
      </colorScale>
    </cfRule>
  </conditionalFormatting>
  <conditionalFormatting sqref="C178:E178">
    <cfRule type="colorScale" priority="8">
      <colorScale>
        <cfvo type="min"/>
        <cfvo type="percentile" val="50"/>
        <cfvo type="max"/>
        <color rgb="FFF4CCCC"/>
        <color rgb="FFFFF2CC"/>
        <color rgb="FFD9EAD3"/>
      </colorScale>
    </cfRule>
  </conditionalFormatting>
  <conditionalFormatting sqref="C179:E179">
    <cfRule type="colorScale" priority="7">
      <colorScale>
        <cfvo type="min"/>
        <cfvo type="percentile" val="50"/>
        <cfvo type="max"/>
        <color rgb="FFF4CCCC"/>
        <color rgb="FFFFF2CC"/>
        <color rgb="FFD9EAD3"/>
      </colorScale>
    </cfRule>
  </conditionalFormatting>
  <conditionalFormatting sqref="C180:E180">
    <cfRule type="colorScale" priority="6">
      <colorScale>
        <cfvo type="min"/>
        <cfvo type="percentile" val="50"/>
        <cfvo type="max"/>
        <color rgb="FFF4CCCC"/>
        <color rgb="FFFFF2CC"/>
        <color rgb="FFD9EAD3"/>
      </colorScale>
    </cfRule>
  </conditionalFormatting>
  <conditionalFormatting sqref="C37:G41">
    <cfRule type="colorScale" priority="77">
      <colorScale>
        <cfvo type="min"/>
        <cfvo type="percentile" val="50"/>
        <cfvo type="max"/>
        <color rgb="FFF4CCCC"/>
        <color rgb="FFFFF2CC"/>
        <color rgb="FFD9EAD3"/>
      </colorScale>
    </cfRule>
  </conditionalFormatting>
  <conditionalFormatting sqref="C106:G106">
    <cfRule type="colorScale" priority="73">
      <colorScale>
        <cfvo type="min"/>
        <cfvo type="percentile" val="50"/>
        <cfvo type="max"/>
        <color rgb="FFF4CCCC"/>
        <color rgb="FFFFF2CC"/>
        <color rgb="FFD9EAD3"/>
      </colorScale>
    </cfRule>
  </conditionalFormatting>
  <conditionalFormatting sqref="C107:G107">
    <cfRule type="colorScale" priority="72">
      <colorScale>
        <cfvo type="min"/>
        <cfvo type="percentile" val="50"/>
        <cfvo type="max"/>
        <color rgb="FFF4CCCC"/>
        <color rgb="FFFFF2CC"/>
        <color rgb="FFD9EAD3"/>
      </colorScale>
    </cfRule>
  </conditionalFormatting>
  <conditionalFormatting sqref="C108:G108">
    <cfRule type="colorScale" priority="71">
      <colorScale>
        <cfvo type="min"/>
        <cfvo type="percentile" val="50"/>
        <cfvo type="max"/>
        <color rgb="FFF4CCCC"/>
        <color rgb="FFFFF2CC"/>
        <color rgb="FFD9EAD3"/>
      </colorScale>
    </cfRule>
  </conditionalFormatting>
  <conditionalFormatting sqref="C109:G109">
    <cfRule type="colorScale" priority="70">
      <colorScale>
        <cfvo type="min"/>
        <cfvo type="percentile" val="50"/>
        <cfvo type="max"/>
        <color rgb="FFF4CCCC"/>
        <color rgb="FFFFF2CC"/>
        <color rgb="FFD9EAD3"/>
      </colorScale>
    </cfRule>
  </conditionalFormatting>
  <conditionalFormatting sqref="C110:G110">
    <cfRule type="colorScale" priority="69">
      <colorScale>
        <cfvo type="min"/>
        <cfvo type="percentile" val="50"/>
        <cfvo type="max"/>
        <color rgb="FFF4CCCC"/>
        <color rgb="FFFFF2CC"/>
        <color rgb="FFD9EAD3"/>
      </colorScale>
    </cfRule>
  </conditionalFormatting>
  <conditionalFormatting sqref="C111:G111">
    <cfRule type="colorScale" priority="68">
      <colorScale>
        <cfvo type="min"/>
        <cfvo type="percentile" val="50"/>
        <cfvo type="max"/>
        <color rgb="FFF4CCCC"/>
        <color rgb="FFFFF2CC"/>
        <color rgb="FFD9EAD3"/>
      </colorScale>
    </cfRule>
  </conditionalFormatting>
  <conditionalFormatting sqref="C112:G112">
    <cfRule type="colorScale" priority="67">
      <colorScale>
        <cfvo type="min"/>
        <cfvo type="percentile" val="50"/>
        <cfvo type="max"/>
        <color rgb="FFF4CCCC"/>
        <color rgb="FFFFF2CC"/>
        <color rgb="FFD9EAD3"/>
      </colorScale>
    </cfRule>
  </conditionalFormatting>
  <conditionalFormatting sqref="C113:G113">
    <cfRule type="colorScale" priority="66">
      <colorScale>
        <cfvo type="min"/>
        <cfvo type="percentile" val="50"/>
        <cfvo type="max"/>
        <color rgb="FFF4CCCC"/>
        <color rgb="FFFFF2CC"/>
        <color rgb="FFD9EAD3"/>
      </colorScale>
    </cfRule>
  </conditionalFormatting>
  <conditionalFormatting sqref="C114:G114">
    <cfRule type="colorScale" priority="65">
      <colorScale>
        <cfvo type="min"/>
        <cfvo type="percentile" val="50"/>
        <cfvo type="max"/>
        <color rgb="FFF4CCCC"/>
        <color rgb="FFFFF2CC"/>
        <color rgb="FFD9EAD3"/>
      </colorScale>
    </cfRule>
  </conditionalFormatting>
  <conditionalFormatting sqref="C117:G117">
    <cfRule type="colorScale" priority="64">
      <colorScale>
        <cfvo type="min"/>
        <cfvo type="percentile" val="50"/>
        <cfvo type="max"/>
        <color rgb="FFF4CCCC"/>
        <color rgb="FFFFF2CC"/>
        <color rgb="FFD9EAD3"/>
      </colorScale>
    </cfRule>
  </conditionalFormatting>
  <conditionalFormatting sqref="C118:G118">
    <cfRule type="colorScale" priority="63">
      <colorScale>
        <cfvo type="min"/>
        <cfvo type="percentile" val="50"/>
        <cfvo type="max"/>
        <color rgb="FFF4CCCC"/>
        <color rgb="FFFFF2CC"/>
        <color rgb="FFD9EAD3"/>
      </colorScale>
    </cfRule>
  </conditionalFormatting>
  <conditionalFormatting sqref="C119:G119">
    <cfRule type="colorScale" priority="62">
      <colorScale>
        <cfvo type="min"/>
        <cfvo type="percentile" val="50"/>
        <cfvo type="max"/>
        <color rgb="FFF4CCCC"/>
        <color rgb="FFFFF2CC"/>
        <color rgb="FFD9EAD3"/>
      </colorScale>
    </cfRule>
  </conditionalFormatting>
  <conditionalFormatting sqref="C120:G120">
    <cfRule type="colorScale" priority="61">
      <colorScale>
        <cfvo type="min"/>
        <cfvo type="percentile" val="50"/>
        <cfvo type="max"/>
        <color rgb="FFF4CCCC"/>
        <color rgb="FFFFF2CC"/>
        <color rgb="FFD9EAD3"/>
      </colorScale>
    </cfRule>
  </conditionalFormatting>
  <conditionalFormatting sqref="C121:G121">
    <cfRule type="colorScale" priority="60">
      <colorScale>
        <cfvo type="min"/>
        <cfvo type="percentile" val="50"/>
        <cfvo type="max"/>
        <color rgb="FFF4CCCC"/>
        <color rgb="FFFFF2CC"/>
        <color rgb="FFD9EAD3"/>
      </colorScale>
    </cfRule>
  </conditionalFormatting>
  <conditionalFormatting sqref="C122:G122">
    <cfRule type="colorScale" priority="59">
      <colorScale>
        <cfvo type="min"/>
        <cfvo type="percentile" val="50"/>
        <cfvo type="max"/>
        <color rgb="FFF4CCCC"/>
        <color rgb="FFFFF2CC"/>
        <color rgb="FFD9EAD3"/>
      </colorScale>
    </cfRule>
  </conditionalFormatting>
  <conditionalFormatting sqref="C123:G123">
    <cfRule type="colorScale" priority="58">
      <colorScale>
        <cfvo type="min"/>
        <cfvo type="percentile" val="50"/>
        <cfvo type="max"/>
        <color rgb="FFF4CCCC"/>
        <color rgb="FFFFF2CC"/>
        <color rgb="FFD9EAD3"/>
      </colorScale>
    </cfRule>
  </conditionalFormatting>
  <conditionalFormatting sqref="C124:G124">
    <cfRule type="colorScale" priority="57">
      <colorScale>
        <cfvo type="min"/>
        <cfvo type="percentile" val="50"/>
        <cfvo type="max"/>
        <color rgb="FFF4CCCC"/>
        <color rgb="FFFFF2CC"/>
        <color rgb="FFD9EAD3"/>
      </colorScale>
    </cfRule>
  </conditionalFormatting>
  <conditionalFormatting sqref="C125:G125">
    <cfRule type="colorScale" priority="56">
      <colorScale>
        <cfvo type="min"/>
        <cfvo type="percentile" val="50"/>
        <cfvo type="max"/>
        <color rgb="FFF4CCCC"/>
        <color rgb="FFFFF2CC"/>
        <color rgb="FFD9EAD3"/>
      </colorScale>
    </cfRule>
  </conditionalFormatting>
  <conditionalFormatting sqref="C128:G128">
    <cfRule type="colorScale" priority="55">
      <colorScale>
        <cfvo type="min"/>
        <cfvo type="percentile" val="50"/>
        <cfvo type="max"/>
        <color rgb="FFF4CCCC"/>
        <color rgb="FFFFF2CC"/>
        <color rgb="FFD9EAD3"/>
      </colorScale>
    </cfRule>
  </conditionalFormatting>
  <conditionalFormatting sqref="C129:G129">
    <cfRule type="colorScale" priority="54">
      <colorScale>
        <cfvo type="min"/>
        <cfvo type="percentile" val="50"/>
        <cfvo type="max"/>
        <color rgb="FFF4CCCC"/>
        <color rgb="FFFFF2CC"/>
        <color rgb="FFD9EAD3"/>
      </colorScale>
    </cfRule>
  </conditionalFormatting>
  <conditionalFormatting sqref="C130:G130">
    <cfRule type="colorScale" priority="53">
      <colorScale>
        <cfvo type="min"/>
        <cfvo type="percentile" val="50"/>
        <cfvo type="max"/>
        <color rgb="FFF4CCCC"/>
        <color rgb="FFFFF2CC"/>
        <color rgb="FFD9EAD3"/>
      </colorScale>
    </cfRule>
  </conditionalFormatting>
  <conditionalFormatting sqref="C131:G131">
    <cfRule type="colorScale" priority="52">
      <colorScale>
        <cfvo type="min"/>
        <cfvo type="percentile" val="50"/>
        <cfvo type="max"/>
        <color rgb="FFF4CCCC"/>
        <color rgb="FFFFF2CC"/>
        <color rgb="FFD9EAD3"/>
      </colorScale>
    </cfRule>
  </conditionalFormatting>
  <conditionalFormatting sqref="C132:G132">
    <cfRule type="colorScale" priority="51">
      <colorScale>
        <cfvo type="min"/>
        <cfvo type="percentile" val="50"/>
        <cfvo type="max"/>
        <color rgb="FFF4CCCC"/>
        <color rgb="FFFFF2CC"/>
        <color rgb="FFD9EAD3"/>
      </colorScale>
    </cfRule>
  </conditionalFormatting>
  <conditionalFormatting sqref="C133:G133">
    <cfRule type="colorScale" priority="50">
      <colorScale>
        <cfvo type="min"/>
        <cfvo type="percentile" val="50"/>
        <cfvo type="max"/>
        <color rgb="FFF4CCCC"/>
        <color rgb="FFFFF2CC"/>
        <color rgb="FFD9EAD3"/>
      </colorScale>
    </cfRule>
  </conditionalFormatting>
  <conditionalFormatting sqref="C134:G134">
    <cfRule type="colorScale" priority="49">
      <colorScale>
        <cfvo type="min"/>
        <cfvo type="percentile" val="50"/>
        <cfvo type="max"/>
        <color rgb="FFF4CCCC"/>
        <color rgb="FFFFF2CC"/>
        <color rgb="FFD9EAD3"/>
      </colorScale>
    </cfRule>
  </conditionalFormatting>
  <conditionalFormatting sqref="C135:G135">
    <cfRule type="colorScale" priority="48">
      <colorScale>
        <cfvo type="min"/>
        <cfvo type="percentile" val="50"/>
        <cfvo type="max"/>
        <color rgb="FFF4CCCC"/>
        <color rgb="FFFFF2CC"/>
        <color rgb="FFD9EAD3"/>
      </colorScale>
    </cfRule>
  </conditionalFormatting>
  <conditionalFormatting sqref="C136:G136">
    <cfRule type="colorScale" priority="47">
      <colorScale>
        <cfvo type="min"/>
        <cfvo type="percentile" val="50"/>
        <cfvo type="max"/>
        <color rgb="FFF4CCCC"/>
        <color rgb="FFFFF2CC"/>
        <color rgb="FFD9EAD3"/>
      </colorScale>
    </cfRule>
  </conditionalFormatting>
  <conditionalFormatting sqref="F45:F55">
    <cfRule type="expression" dxfId="7" priority="78">
      <formula>F45="TIES"</formula>
    </cfRule>
  </conditionalFormatting>
  <conditionalFormatting sqref="F95:F102">
    <cfRule type="expression" dxfId="6" priority="1">
      <formula>F95="TIES"</formula>
    </cfRule>
  </conditionalFormatting>
  <printOptions horizontalCentered="1"/>
  <pageMargins left="0.30000000000000004" right="0.30000000000000004" top="0.30000000000000004" bottom="0.30000000000000004" header="0.3" footer="0.3"/>
  <pageSetup scale="62" fitToHeight="0" orientation="landscape"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72F2-0751-4DDC-9435-61C5CEECF048}">
  <sheetPr>
    <tabColor rgb="FF002F6C"/>
  </sheetPr>
  <dimension ref="A1:J60"/>
  <sheetViews>
    <sheetView showGridLines="0" topLeftCell="A24" workbookViewId="0">
      <selection activeCell="D32" sqref="D32"/>
    </sheetView>
  </sheetViews>
  <sheetFormatPr defaultRowHeight="14.4" x14ac:dyDescent="0.3"/>
  <cols>
    <col min="1" max="1" width="4.109375" customWidth="1"/>
    <col min="2" max="2" width="46.77734375" customWidth="1"/>
    <col min="3" max="4" width="14.77734375" customWidth="1"/>
    <col min="5" max="5" width="5.33203125" customWidth="1"/>
    <col min="6" max="6" width="44.33203125" customWidth="1"/>
    <col min="7" max="7" width="44.77734375" customWidth="1"/>
    <col min="8" max="8" width="40.77734375" customWidth="1"/>
  </cols>
  <sheetData>
    <row r="1" spans="1:10" x14ac:dyDescent="0.3">
      <c r="A1" s="588"/>
      <c r="B1" s="588"/>
      <c r="C1" s="588"/>
      <c r="D1" s="588"/>
      <c r="E1" s="588"/>
      <c r="F1" s="588"/>
      <c r="G1" s="588"/>
      <c r="H1" s="588"/>
    </row>
    <row r="2" spans="1:10" ht="23.4" thickBot="1" x14ac:dyDescent="0.45">
      <c r="A2" s="588"/>
      <c r="B2" s="648" t="s">
        <v>2604</v>
      </c>
      <c r="C2" s="648"/>
      <c r="D2" s="648"/>
      <c r="E2" s="648"/>
      <c r="F2" s="648"/>
      <c r="G2" s="648"/>
      <c r="H2" s="648"/>
      <c r="I2" s="648"/>
      <c r="J2" s="648"/>
    </row>
    <row r="3" spans="1:10" x14ac:dyDescent="0.3">
      <c r="A3" s="588"/>
      <c r="B3" s="649" t="str">
        <f>"What has to be true for the base case to be worth "&amp;TEXT('20 DCF Valuation'!$H$24,"$0.00")&amp;"? Each lever is moved alone with everything else at base; $ per share. Added 2026-10-07, 29 Change Log entry 59."</f>
        <v>What has to be true for the base case to be worth $340.59? Each lever is moved alone with everything else at base; $ per share. Added 2026-10-07, 29 Change Log entry 59.</v>
      </c>
      <c r="C3" s="649"/>
      <c r="D3" s="649"/>
      <c r="E3" s="649"/>
      <c r="F3" s="649"/>
      <c r="G3" s="649"/>
      <c r="H3" s="649"/>
      <c r="I3" s="649"/>
      <c r="J3" s="649"/>
    </row>
    <row r="4" spans="1:10" x14ac:dyDescent="0.3">
      <c r="A4" s="588"/>
      <c r="B4" s="588"/>
      <c r="C4" s="588"/>
      <c r="D4" s="588"/>
      <c r="E4" s="588"/>
      <c r="F4" s="588"/>
      <c r="G4" s="588"/>
      <c r="H4" s="588"/>
    </row>
    <row r="5" spans="1:10" x14ac:dyDescent="0.3">
      <c r="A5" s="588"/>
      <c r="B5" s="365" t="s">
        <v>2275</v>
      </c>
      <c r="C5" s="365"/>
      <c r="D5" s="365"/>
      <c r="E5" s="365"/>
      <c r="F5" s="588"/>
      <c r="G5" s="588"/>
      <c r="H5" s="588"/>
    </row>
    <row r="6" spans="1:10" x14ac:dyDescent="0.3">
      <c r="A6" s="588"/>
      <c r="B6" s="365" t="s">
        <v>2276</v>
      </c>
      <c r="C6" s="365" t="s">
        <v>2277</v>
      </c>
      <c r="D6" s="365" t="s">
        <v>2278</v>
      </c>
      <c r="E6" s="365" t="s">
        <v>2279</v>
      </c>
      <c r="F6" s="365" t="s">
        <v>2280</v>
      </c>
      <c r="G6" s="588" t="s">
        <v>2281</v>
      </c>
      <c r="H6" s="588" t="s">
        <v>168</v>
      </c>
    </row>
    <row r="7" spans="1:10" x14ac:dyDescent="0.3">
      <c r="A7" s="588"/>
      <c r="B7" t="s">
        <v>2282</v>
      </c>
      <c r="C7" s="589">
        <f>'20 DCF Valuation'!$H$18</f>
        <v>9.6062886550026177E-2</v>
      </c>
      <c r="D7" s="589">
        <f>'20 DCF Valuation'!$C$182</f>
        <v>7.0415502893011142E-2</v>
      </c>
      <c r="E7" s="590">
        <f>IFERROR(D7-C7,"n/a")</f>
        <v>-2.5647383657015035E-2</v>
      </c>
      <c r="F7" s="589">
        <f>(1-'20 DCF Valuation'!$H$17)*('11 Valuation'!$C$57+'15 Assumptions'!$C$135*'11 Valuation'!$C$58)+'20 DCF Valuation'!$H$17*'20 DCF Valuation'!$H$13*(1-'20 DCF Valuation'!$H$14)</f>
        <v>9.6062886550026177E-2</v>
      </c>
      <c r="G7" s="588" t="s">
        <v>2283</v>
      </c>
      <c r="H7" s="588" t="s">
        <v>2743</v>
      </c>
    </row>
    <row r="8" spans="1:10" x14ac:dyDescent="0.3">
      <c r="A8" s="588"/>
      <c r="B8" s="588" t="s">
        <v>2408</v>
      </c>
      <c r="C8" s="502">
        <f>'20 DCF Valuation'!$C$89</f>
        <v>0.2088104379133004</v>
      </c>
      <c r="D8" s="591">
        <v>0.44100494384765632</v>
      </c>
      <c r="E8" s="592">
        <f>IFERROR(D8-C8,"n/a")</f>
        <v>0.23219450593435592</v>
      </c>
      <c r="F8" s="502">
        <f>'DCF Base Model'!$P$25</f>
        <v>0.28565561423105057</v>
      </c>
      <c r="G8" s="588" t="s">
        <v>2409</v>
      </c>
      <c r="H8" s="588"/>
    </row>
    <row r="9" spans="1:10" x14ac:dyDescent="0.3">
      <c r="A9" s="588"/>
      <c r="B9" s="588" t="s">
        <v>1957</v>
      </c>
      <c r="C9" s="502">
        <f>'15 Assumptions'!$C$80</f>
        <v>0.15</v>
      </c>
      <c r="D9" s="591">
        <v>0.90791893005371072</v>
      </c>
      <c r="E9" s="592">
        <f>IFERROR(D9-C9,"n/a")</f>
        <v>0.75791893005371069</v>
      </c>
      <c r="F9" s="502">
        <f>'11 Valuation'!$C$38/100</f>
        <v>0.28674506464295424</v>
      </c>
      <c r="G9" s="588" t="s">
        <v>2284</v>
      </c>
      <c r="H9" s="588"/>
    </row>
    <row r="10" spans="1:10" x14ac:dyDescent="0.3">
      <c r="A10" s="588"/>
      <c r="B10" s="588" t="s">
        <v>2285</v>
      </c>
      <c r="C10" s="593">
        <f>AVERAGE('15 Assumptions'!$D$74:$G$74)*100</f>
        <v>30</v>
      </c>
      <c r="D10" s="594">
        <v>59.451627731323242</v>
      </c>
      <c r="E10" s="595">
        <f>IFERROR(D10-C10,"n/a")</f>
        <v>29.451627731323242</v>
      </c>
      <c r="F10" s="593">
        <f>AVERAGE('DCF Base Model'!$I$114:$J$114)</f>
        <v>30.451221250117712</v>
      </c>
      <c r="G10" s="588" t="s">
        <v>2286</v>
      </c>
      <c r="H10" s="588"/>
    </row>
    <row r="11" spans="1:10" x14ac:dyDescent="0.3">
      <c r="A11" s="588"/>
      <c r="B11" s="588" t="s">
        <v>2287</v>
      </c>
      <c r="C11" s="567">
        <f>('15 Assumptions'!$G$27-'15 Assumptions'!$C$27)/4*100</f>
        <v>0.50000000000000044</v>
      </c>
      <c r="D11" s="596">
        <v>6.3931083679199228</v>
      </c>
      <c r="E11" s="597">
        <f>IFERROR(D11-C11,"n/a")</f>
        <v>5.8931083679199219</v>
      </c>
      <c r="F11" s="567">
        <f>('17 Model'!$K$25-('17 Model'!$I$25+'17 Model'!$I$64/'17 Model'!$I$23-'17 Model'!$K$64/'17 Model'!$K$23))/1.5*100</f>
        <v>1.5243290048714018</v>
      </c>
      <c r="G11" s="588" t="s">
        <v>2288</v>
      </c>
      <c r="H11" s="588"/>
    </row>
    <row r="12" spans="1:10" x14ac:dyDescent="0.3">
      <c r="A12" s="588"/>
      <c r="B12" s="646" t="s">
        <v>2744</v>
      </c>
      <c r="C12" s="646"/>
      <c r="D12" s="646"/>
      <c r="E12" s="646"/>
      <c r="F12" s="646"/>
      <c r="G12" s="646"/>
      <c r="H12" s="646"/>
      <c r="I12" s="646"/>
      <c r="J12" s="646"/>
    </row>
    <row r="13" spans="1:10" x14ac:dyDescent="0.3">
      <c r="A13" s="588"/>
      <c r="B13" s="588" t="s">
        <v>2595</v>
      </c>
      <c r="C13" s="596">
        <v>193.52645840684036</v>
      </c>
      <c r="D13" s="588"/>
      <c r="E13" s="588"/>
      <c r="F13" s="588"/>
      <c r="G13" s="588"/>
      <c r="H13" s="588"/>
    </row>
    <row r="14" spans="1:10" x14ac:dyDescent="0.3">
      <c r="A14" s="588"/>
      <c r="B14" s="365" t="s">
        <v>2745</v>
      </c>
      <c r="C14" s="365"/>
      <c r="D14" s="365"/>
      <c r="E14" s="365"/>
      <c r="F14" s="588"/>
      <c r="G14" s="588"/>
      <c r="H14" s="588"/>
    </row>
    <row r="15" spans="1:10" x14ac:dyDescent="0.3">
      <c r="A15" s="588"/>
      <c r="B15" s="365" t="s">
        <v>2289</v>
      </c>
      <c r="C15" s="365" t="s">
        <v>1685</v>
      </c>
      <c r="D15" s="365" t="s">
        <v>1686</v>
      </c>
      <c r="E15" s="365" t="s">
        <v>1687</v>
      </c>
      <c r="F15" s="365" t="s">
        <v>2290</v>
      </c>
      <c r="G15" s="588" t="s">
        <v>2291</v>
      </c>
      <c r="H15" s="588"/>
    </row>
    <row r="16" spans="1:10" x14ac:dyDescent="0.3">
      <c r="A16" s="588"/>
      <c r="B16" t="s">
        <v>2300</v>
      </c>
      <c r="C16" s="598">
        <v>193.52645840684036</v>
      </c>
      <c r="D16" s="598">
        <v>348.27401988098728</v>
      </c>
      <c r="E16" s="598">
        <v>77.246174191031528</v>
      </c>
      <c r="F16" s="599"/>
      <c r="G16" s="588" t="s">
        <v>2301</v>
      </c>
      <c r="H16" s="588"/>
    </row>
    <row r="17" spans="1:8" x14ac:dyDescent="0.3">
      <c r="A17" s="588"/>
      <c r="B17" s="588" t="s">
        <v>2302</v>
      </c>
      <c r="C17" s="600">
        <v>193.52645840684036</v>
      </c>
      <c r="D17" s="600">
        <v>348.27401988098728</v>
      </c>
      <c r="E17" s="600">
        <v>77.246174191031528</v>
      </c>
      <c r="F17" s="601">
        <f t="shared" ref="F17:F22" si="0">C17-C16</f>
        <v>0</v>
      </c>
      <c r="G17" s="588" t="s">
        <v>2303</v>
      </c>
      <c r="H17" s="588"/>
    </row>
    <row r="18" spans="1:8" x14ac:dyDescent="0.3">
      <c r="A18" s="588"/>
      <c r="B18" s="588" t="s">
        <v>2304</v>
      </c>
      <c r="C18" s="600">
        <v>206.07274894377167</v>
      </c>
      <c r="D18" s="600">
        <v>348.27401988098728</v>
      </c>
      <c r="E18" s="600">
        <v>77.246174191031528</v>
      </c>
      <c r="F18" s="601">
        <f t="shared" si="0"/>
        <v>12.546290536931309</v>
      </c>
      <c r="G18" s="588" t="s">
        <v>2305</v>
      </c>
      <c r="H18" s="588"/>
    </row>
    <row r="19" spans="1:8" x14ac:dyDescent="0.3">
      <c r="A19" s="588"/>
      <c r="B19" s="588" t="s">
        <v>2306</v>
      </c>
      <c r="C19" s="600">
        <v>206.07274894377167</v>
      </c>
      <c r="D19" s="600">
        <v>348.27401988098728</v>
      </c>
      <c r="E19" s="600">
        <v>77.246174191031528</v>
      </c>
      <c r="F19" s="601">
        <f t="shared" si="0"/>
        <v>0</v>
      </c>
      <c r="G19" s="588" t="s">
        <v>2307</v>
      </c>
      <c r="H19" s="588"/>
    </row>
    <row r="20" spans="1:8" x14ac:dyDescent="0.3">
      <c r="A20" s="588"/>
      <c r="B20" s="588" t="s">
        <v>2308</v>
      </c>
      <c r="C20" s="600">
        <v>236.67282720365915</v>
      </c>
      <c r="D20" s="600">
        <v>348.27401988098728</v>
      </c>
      <c r="E20" s="600">
        <v>77.246174191031528</v>
      </c>
      <c r="F20" s="601">
        <f t="shared" si="0"/>
        <v>30.600078259887482</v>
      </c>
      <c r="G20" s="588" t="s">
        <v>2309</v>
      </c>
      <c r="H20" s="588"/>
    </row>
    <row r="21" spans="1:8" x14ac:dyDescent="0.3">
      <c r="A21" s="588"/>
      <c r="B21" s="588" t="s">
        <v>2310</v>
      </c>
      <c r="C21" s="600">
        <v>252.30203990006996</v>
      </c>
      <c r="D21" s="600">
        <v>371.25693518673097</v>
      </c>
      <c r="E21" s="600">
        <v>81.629433381281714</v>
      </c>
      <c r="F21" s="601">
        <f t="shared" si="0"/>
        <v>15.629212696410804</v>
      </c>
      <c r="G21" s="588" t="s">
        <v>2311</v>
      </c>
      <c r="H21" s="588"/>
    </row>
    <row r="22" spans="1:8" x14ac:dyDescent="0.3">
      <c r="A22" s="588"/>
      <c r="B22" s="588" t="s">
        <v>2312</v>
      </c>
      <c r="C22" s="600">
        <v>301.25128616243393</v>
      </c>
      <c r="D22" s="600">
        <v>443.17812285462679</v>
      </c>
      <c r="E22" s="600">
        <v>95.320696468035109</v>
      </c>
      <c r="F22" s="601">
        <f t="shared" si="0"/>
        <v>48.949246262363971</v>
      </c>
      <c r="G22" s="588" t="s">
        <v>2313</v>
      </c>
      <c r="H22" s="588"/>
    </row>
    <row r="23" spans="1:8" x14ac:dyDescent="0.3">
      <c r="A23" s="588"/>
      <c r="B23" s="588"/>
      <c r="C23" s="588"/>
      <c r="D23" s="588"/>
      <c r="E23" s="588"/>
      <c r="F23" s="588"/>
      <c r="G23" s="588"/>
      <c r="H23" s="588"/>
    </row>
    <row r="24" spans="1:8" x14ac:dyDescent="0.3">
      <c r="A24" s="588"/>
      <c r="B24" s="365" t="s">
        <v>2746</v>
      </c>
      <c r="C24" s="365"/>
      <c r="D24" s="365"/>
      <c r="E24" s="365"/>
      <c r="F24" s="588"/>
      <c r="G24" s="588"/>
      <c r="H24" s="588"/>
    </row>
    <row r="25" spans="1:8" x14ac:dyDescent="0.3">
      <c r="A25" s="588"/>
      <c r="B25" s="365" t="s">
        <v>2292</v>
      </c>
      <c r="C25" s="365" t="s">
        <v>2293</v>
      </c>
      <c r="D25" s="365" t="s">
        <v>2294</v>
      </c>
      <c r="E25" s="365" t="s">
        <v>2295</v>
      </c>
      <c r="F25" s="365"/>
      <c r="G25" s="588"/>
      <c r="H25" s="588"/>
    </row>
    <row r="26" spans="1:8" x14ac:dyDescent="0.3">
      <c r="A26" s="588"/>
      <c r="B26" t="s">
        <v>2300</v>
      </c>
      <c r="C26" s="602">
        <v>157.4</v>
      </c>
      <c r="D26" s="598">
        <v>157.37414414529405</v>
      </c>
      <c r="E26" s="603">
        <f t="shared" ref="E26:E33" si="1">D26-C26</f>
        <v>-2.5855854705952197E-2</v>
      </c>
      <c r="G26" s="588"/>
      <c r="H26" s="588"/>
    </row>
    <row r="27" spans="1:8" x14ac:dyDescent="0.3">
      <c r="A27" s="588"/>
      <c r="B27" s="588" t="s">
        <v>2314</v>
      </c>
      <c r="C27" s="604">
        <v>174.5</v>
      </c>
      <c r="D27" s="600">
        <v>174.50459702122373</v>
      </c>
      <c r="E27" s="597">
        <f t="shared" si="1"/>
        <v>4.5970212237307351E-3</v>
      </c>
      <c r="F27" s="588"/>
      <c r="G27" s="588"/>
      <c r="H27" s="588"/>
    </row>
    <row r="28" spans="1:8" x14ac:dyDescent="0.3">
      <c r="A28" s="588"/>
      <c r="B28" s="588" t="s">
        <v>2315</v>
      </c>
      <c r="C28" s="604">
        <v>168.9</v>
      </c>
      <c r="D28" s="600">
        <v>168.86897654500234</v>
      </c>
      <c r="E28" s="597">
        <f t="shared" si="1"/>
        <v>-3.1023454997665567E-2</v>
      </c>
      <c r="F28" s="588"/>
      <c r="G28" s="588"/>
      <c r="H28" s="588"/>
    </row>
    <row r="29" spans="1:8" x14ac:dyDescent="0.3">
      <c r="A29" s="588"/>
      <c r="B29" s="588" t="s">
        <v>2316</v>
      </c>
      <c r="C29" s="604">
        <v>161.9</v>
      </c>
      <c r="D29" s="600">
        <v>161.90715829154158</v>
      </c>
      <c r="E29" s="597">
        <f t="shared" si="1"/>
        <v>7.1582915415717707E-3</v>
      </c>
      <c r="F29" s="588"/>
      <c r="G29" s="588"/>
      <c r="H29" s="588"/>
    </row>
    <row r="30" spans="1:8" x14ac:dyDescent="0.3">
      <c r="A30" s="588"/>
      <c r="B30" s="588" t="s">
        <v>2317</v>
      </c>
      <c r="C30" s="604">
        <v>175.3</v>
      </c>
      <c r="D30" s="600">
        <v>175.27637718960776</v>
      </c>
      <c r="E30" s="597">
        <f t="shared" si="1"/>
        <v>-2.3622810392254223E-2</v>
      </c>
      <c r="F30" s="588"/>
      <c r="G30" s="588"/>
      <c r="H30" s="588"/>
    </row>
    <row r="31" spans="1:8" x14ac:dyDescent="0.3">
      <c r="A31" s="588"/>
      <c r="B31" s="588" t="s">
        <v>2318</v>
      </c>
      <c r="C31" s="604">
        <v>215.6</v>
      </c>
      <c r="D31" s="600">
        <v>215.57688833980419</v>
      </c>
      <c r="E31" s="597">
        <f t="shared" si="1"/>
        <v>-2.3111660195809236E-2</v>
      </c>
      <c r="F31" s="588"/>
      <c r="G31" s="588"/>
      <c r="H31" s="588"/>
    </row>
    <row r="32" spans="1:8" x14ac:dyDescent="0.3">
      <c r="A32" s="588"/>
      <c r="B32" s="588" t="s">
        <v>2319</v>
      </c>
      <c r="C32" s="604">
        <v>262.10000000000002</v>
      </c>
      <c r="D32" s="600">
        <v>262.06865274588392</v>
      </c>
      <c r="E32" s="597">
        <f t="shared" si="1"/>
        <v>-3.1347254116099066E-2</v>
      </c>
      <c r="F32" s="588"/>
      <c r="G32" s="588"/>
      <c r="H32" s="588"/>
    </row>
    <row r="33" spans="1:10" x14ac:dyDescent="0.3">
      <c r="A33" s="588"/>
      <c r="B33" s="588" t="s">
        <v>2320</v>
      </c>
      <c r="C33" s="604">
        <v>317.5</v>
      </c>
      <c r="D33" s="600">
        <v>317.54212982105855</v>
      </c>
      <c r="E33" s="597">
        <f t="shared" si="1"/>
        <v>4.2129821058551897E-2</v>
      </c>
      <c r="F33" s="588"/>
      <c r="G33" s="588"/>
      <c r="H33" s="588"/>
    </row>
    <row r="34" spans="1:10" x14ac:dyDescent="0.3">
      <c r="A34" s="588"/>
      <c r="B34" s="588"/>
      <c r="C34" s="588"/>
      <c r="D34" s="588"/>
      <c r="E34" s="588"/>
      <c r="F34" s="588"/>
      <c r="G34" s="588"/>
      <c r="H34" s="588"/>
    </row>
    <row r="35" spans="1:10" x14ac:dyDescent="0.3">
      <c r="A35" s="588"/>
      <c r="B35" s="365" t="s">
        <v>2296</v>
      </c>
      <c r="C35" s="365"/>
      <c r="D35" s="365"/>
      <c r="E35" s="365"/>
      <c r="F35" s="588"/>
      <c r="G35" s="588"/>
      <c r="H35" s="588"/>
    </row>
    <row r="36" spans="1:10" ht="105" customHeight="1" x14ac:dyDescent="0.3">
      <c r="A36" s="588"/>
      <c r="B36" s="646" t="str">
        <f>"To reach "&amp;TEXT('20 DCF Valuation'!$H$24,"$0.00")&amp;" with everything else at base, the base case needs a WACC of "&amp;IF(ISNUMBER(D7),TEXT(D7,"0.00%"),D7)&amp;" against "&amp;TEXT(C7,"0.00%")&amp;" today, or a terminal operating margin of "&amp;IF(ISNUMBER(D8),TEXT(D8,"0.0%"),D8)&amp;" against "&amp;TEXT(C8,"0.0%")&amp;" in the base, which is the derived steady state (FY2030E is "&amp;TEXT(F8,"0.0%")&amp;"), or Cloud revenue of "&amp;IF(ISNUMBER(D10),TEXT(D10,"0"),D10)&amp;" cents per capex dollar against "&amp;TEXT(C10,"0")&amp;" (history "&amp;TEXT(F10,"0")&amp;"), or pre-ramp margin expansion of "&amp;IF(ISNUMBER(D11),TEXT(D11,"0.0"),D11)&amp;" points a year against "&amp;TEXT(C11,"0.0")&amp;" ("&amp;TEXT(F11,"0.0")&amp;" from FY2024 to TTM). "&amp;IF(ISNUMBER(D9),"A return on new capital of "&amp;TEXT(D9,"0%")&amp;" would also do it, against "&amp;TEXT(C9,"0%")&amp;" in the base and a TTM ROIC of "&amp;TEXT(F9,"0%")&amp;". ","No return on new capital gets there on its own: "&amp;H9&amp;". ")&amp;"Each lever alone sits far outside its own history, so the price needs several at once. Layered, Cloud at 30 cents, 1pp a year of margin, a 20% return and a 0.8 beta reach "&amp;TEXT(C22,"$0")&amp;". The Best case reaches the price at a WACC of "&amp;IF(ISNUMBER('20 DCF Valuation'!$D$182),TEXT('20 DCF Valuation'!$D$182,"0.00%"),'20 DCF Valuation'!$D$182)&amp;"."</f>
        <v>To reach $340.59 with everything else at base, the base case needs a WACC of 7.04% against 9.61% today, or a terminal operating margin of 44.1% against 20.9% in the base, which is the derived steady state (FY2030E is 28.6%), or Cloud revenue of 59 cents per capex dollar against 30 (history 30), or pre-ramp margin expansion of 6.4 points a year against 0.5 (1.5 from FY2024 to TTM). A return on new capital of 91% would also do it, against 15% in the base and a TTM ROIC of 29%. Each lever alone sits far outside its own history, so the price needs several at once. Layered, Cloud at 30 cents, 1pp a year of margin, a 20% return and a 0.8 beta reach $301. The Best case reaches the price at a WACC of 9.73%.</v>
      </c>
      <c r="C36" s="646"/>
      <c r="D36" s="646"/>
      <c r="E36" s="646"/>
      <c r="F36" s="646"/>
      <c r="G36" s="646"/>
      <c r="H36" s="646"/>
      <c r="I36" s="646"/>
      <c r="J36" s="646"/>
    </row>
    <row r="37" spans="1:10" x14ac:dyDescent="0.3">
      <c r="A37" s="588"/>
      <c r="B37" s="588"/>
      <c r="C37" s="588"/>
      <c r="D37" s="588"/>
      <c r="E37" s="588"/>
      <c r="F37" s="588"/>
      <c r="G37" s="588"/>
      <c r="H37" s="588"/>
    </row>
    <row r="38" spans="1:10" x14ac:dyDescent="0.3">
      <c r="A38" s="588"/>
      <c r="B38" s="365" t="s">
        <v>2297</v>
      </c>
      <c r="C38" s="365"/>
      <c r="D38" s="365"/>
      <c r="E38" s="365"/>
      <c r="F38" s="588"/>
      <c r="G38" s="588"/>
      <c r="H38" s="588"/>
    </row>
    <row r="39" spans="1:10" x14ac:dyDescent="0.3">
      <c r="A39" s="588"/>
      <c r="B39" s="365" t="s">
        <v>176</v>
      </c>
      <c r="C39" s="365" t="s">
        <v>1620</v>
      </c>
      <c r="D39" s="365" t="s">
        <v>1621</v>
      </c>
      <c r="E39" s="365" t="s">
        <v>1622</v>
      </c>
      <c r="F39" s="365"/>
      <c r="G39" s="588"/>
      <c r="H39" s="588"/>
    </row>
    <row r="40" spans="1:10" x14ac:dyDescent="0.3">
      <c r="A40" s="588"/>
      <c r="B40" t="s">
        <v>2242</v>
      </c>
      <c r="C40" s="589">
        <f>'20 DCF Valuation'!C182</f>
        <v>7.0415502893011142E-2</v>
      </c>
      <c r="D40" s="589">
        <f>'20 DCF Valuation'!D182</f>
        <v>9.7288086220238282E-2</v>
      </c>
      <c r="E40" s="589" t="str">
        <f>'20 DCF Valuation'!E182</f>
        <v>below 5.0%</v>
      </c>
      <c r="G40" s="588"/>
      <c r="H40" s="588"/>
    </row>
    <row r="41" spans="1:10" x14ac:dyDescent="0.3">
      <c r="A41" s="588"/>
      <c r="B41" s="588" t="s">
        <v>2298</v>
      </c>
      <c r="C41" s="605">
        <f>'20 DCF Valuation'!$H$18</f>
        <v>9.6062886550026177E-2</v>
      </c>
      <c r="D41" s="605">
        <f>'20 DCF Valuation'!$H$18</f>
        <v>9.6062886550026177E-2</v>
      </c>
      <c r="E41" s="605">
        <f>'20 DCF Valuation'!$H$18</f>
        <v>9.6062886550026177E-2</v>
      </c>
      <c r="F41" s="588"/>
      <c r="G41" s="588"/>
      <c r="H41" s="588"/>
    </row>
    <row r="42" spans="1:10" x14ac:dyDescent="0.3">
      <c r="A42" s="588"/>
      <c r="B42" s="588"/>
      <c r="C42" s="588"/>
      <c r="D42" s="588"/>
      <c r="E42" s="588"/>
      <c r="F42" s="588"/>
      <c r="G42" s="588"/>
      <c r="H42" s="588"/>
    </row>
    <row r="43" spans="1:10" ht="42" customHeight="1" x14ac:dyDescent="0.3">
      <c r="A43" s="588"/>
      <c r="B43" s="606" t="s">
        <v>2299</v>
      </c>
      <c r="C43" s="588"/>
      <c r="D43" s="588"/>
      <c r="E43" s="588"/>
      <c r="F43" s="588"/>
      <c r="G43" s="588"/>
      <c r="H43" s="588"/>
    </row>
    <row r="44" spans="1:10" x14ac:dyDescent="0.3">
      <c r="A44" s="588"/>
      <c r="B44" s="588"/>
      <c r="C44" s="588"/>
      <c r="D44" s="588"/>
      <c r="E44" s="588"/>
      <c r="F44" s="588"/>
      <c r="G44" s="588"/>
      <c r="H44" s="588"/>
    </row>
    <row r="45" spans="1:10" x14ac:dyDescent="0.3">
      <c r="A45" s="588"/>
      <c r="B45" s="588"/>
      <c r="C45" s="588"/>
      <c r="D45" s="588"/>
      <c r="E45" s="588"/>
      <c r="F45" s="588"/>
      <c r="G45" s="588"/>
      <c r="H45" s="588"/>
    </row>
    <row r="46" spans="1:10" x14ac:dyDescent="0.3">
      <c r="A46" s="588"/>
      <c r="B46" s="588"/>
      <c r="C46" s="588"/>
      <c r="D46" s="588"/>
      <c r="E46" s="588"/>
      <c r="F46" s="588"/>
      <c r="G46" s="588"/>
      <c r="H46" s="588"/>
    </row>
    <row r="47" spans="1:10" x14ac:dyDescent="0.3">
      <c r="A47" s="588"/>
      <c r="B47" s="588"/>
      <c r="C47" s="588"/>
      <c r="D47" s="588"/>
      <c r="E47" s="588"/>
      <c r="F47" s="588"/>
      <c r="G47" s="588"/>
      <c r="H47" s="588"/>
    </row>
    <row r="48" spans="1:10" x14ac:dyDescent="0.3">
      <c r="A48" s="588"/>
      <c r="B48" s="588"/>
      <c r="C48" s="588"/>
      <c r="D48" s="588"/>
      <c r="E48" s="588"/>
      <c r="F48" s="588"/>
      <c r="G48" s="588"/>
      <c r="H48" s="588"/>
    </row>
    <row r="49" spans="1:8" x14ac:dyDescent="0.3">
      <c r="A49" s="588"/>
      <c r="B49" s="588"/>
      <c r="C49" s="588"/>
      <c r="D49" s="588"/>
      <c r="E49" s="588"/>
      <c r="F49" s="588"/>
      <c r="G49" s="588"/>
      <c r="H49" s="588"/>
    </row>
    <row r="50" spans="1:8" x14ac:dyDescent="0.3">
      <c r="A50" s="588"/>
      <c r="B50" s="588"/>
      <c r="C50" s="588"/>
      <c r="D50" s="588"/>
      <c r="E50" s="588"/>
      <c r="F50" s="588"/>
      <c r="G50" s="588"/>
      <c r="H50" s="588"/>
    </row>
    <row r="51" spans="1:8" x14ac:dyDescent="0.3">
      <c r="A51" s="588"/>
      <c r="B51" s="588"/>
      <c r="C51" s="588"/>
      <c r="D51" s="588"/>
      <c r="E51" s="588"/>
      <c r="F51" s="588"/>
      <c r="G51" s="588"/>
      <c r="H51" s="588"/>
    </row>
    <row r="52" spans="1:8" x14ac:dyDescent="0.3">
      <c r="A52" s="588"/>
      <c r="B52" s="588"/>
      <c r="C52" s="588"/>
      <c r="D52" s="588"/>
      <c r="E52" s="588"/>
      <c r="F52" s="588"/>
      <c r="G52" s="588"/>
      <c r="H52" s="588"/>
    </row>
    <row r="53" spans="1:8" x14ac:dyDescent="0.3">
      <c r="A53" s="588"/>
      <c r="B53" s="588"/>
      <c r="C53" s="588"/>
      <c r="D53" s="588"/>
      <c r="E53" s="588"/>
      <c r="F53" s="588"/>
      <c r="G53" s="588"/>
      <c r="H53" s="588"/>
    </row>
    <row r="54" spans="1:8" x14ac:dyDescent="0.3">
      <c r="A54" s="588"/>
      <c r="B54" s="588"/>
      <c r="C54" s="588"/>
      <c r="D54" s="588"/>
      <c r="E54" s="588"/>
      <c r="F54" s="588"/>
      <c r="G54" s="588"/>
      <c r="H54" s="588"/>
    </row>
    <row r="55" spans="1:8" x14ac:dyDescent="0.3">
      <c r="A55" s="588"/>
      <c r="B55" s="588"/>
      <c r="C55" s="588"/>
      <c r="D55" s="588"/>
      <c r="E55" s="588"/>
      <c r="F55" s="588"/>
      <c r="G55" s="588"/>
      <c r="H55" s="588"/>
    </row>
    <row r="56" spans="1:8" x14ac:dyDescent="0.3">
      <c r="A56" s="588"/>
      <c r="B56" s="588"/>
      <c r="C56" s="588"/>
      <c r="D56" s="588"/>
      <c r="E56" s="588"/>
      <c r="F56" s="588"/>
      <c r="G56" s="588"/>
      <c r="H56" s="588"/>
    </row>
    <row r="57" spans="1:8" x14ac:dyDescent="0.3">
      <c r="A57" s="588"/>
      <c r="B57" s="588"/>
      <c r="C57" s="588"/>
      <c r="D57" s="588"/>
      <c r="E57" s="588"/>
      <c r="F57" s="588"/>
      <c r="G57" s="588"/>
      <c r="H57" s="588"/>
    </row>
    <row r="58" spans="1:8" x14ac:dyDescent="0.3">
      <c r="A58" s="588"/>
      <c r="B58" s="588"/>
      <c r="C58" s="588"/>
      <c r="D58" s="588"/>
      <c r="E58" s="588"/>
      <c r="F58" s="588"/>
      <c r="G58" s="588"/>
      <c r="H58" s="588"/>
    </row>
    <row r="59" spans="1:8" x14ac:dyDescent="0.3">
      <c r="A59" s="588"/>
      <c r="B59" s="588"/>
      <c r="C59" s="588"/>
      <c r="D59" s="588"/>
      <c r="E59" s="588"/>
      <c r="F59" s="588"/>
      <c r="G59" s="588"/>
      <c r="H59" s="588"/>
    </row>
    <row r="60" spans="1:8" x14ac:dyDescent="0.3">
      <c r="A60" s="588"/>
      <c r="B60" s="588"/>
      <c r="C60" s="588"/>
      <c r="D60" s="588"/>
      <c r="E60" s="588"/>
      <c r="F60" s="588"/>
      <c r="G60" s="588"/>
      <c r="H60" s="588"/>
    </row>
  </sheetData>
  <mergeCells count="4">
    <mergeCell ref="B2:J2"/>
    <mergeCell ref="B3:J3"/>
    <mergeCell ref="B12:J12"/>
    <mergeCell ref="B36:J3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7053-6CDB-4470-806C-9FF91BA51FAD}">
  <sheetPr>
    <tabColor rgb="FF4472C4"/>
    <pageSetUpPr fitToPage="1"/>
  </sheetPr>
  <dimension ref="A1:T60"/>
  <sheetViews>
    <sheetView showGridLines="0" topLeftCell="A49" workbookViewId="0">
      <selection activeCell="I12" sqref="I12"/>
    </sheetView>
  </sheetViews>
  <sheetFormatPr defaultRowHeight="14.4" x14ac:dyDescent="0.3"/>
  <cols>
    <col min="1" max="1" width="2.21875" customWidth="1"/>
    <col min="2" max="2" width="32.44140625" customWidth="1"/>
    <col min="3" max="3" width="15.109375" bestFit="1" customWidth="1"/>
    <col min="4" max="10" width="13.33203125" customWidth="1"/>
    <col min="13" max="13" width="27.77734375" customWidth="1"/>
    <col min="14" max="20" width="13.33203125" customWidth="1"/>
  </cols>
  <sheetData>
    <row r="1" spans="1:20" x14ac:dyDescent="0.3">
      <c r="A1" s="296"/>
      <c r="B1" s="296"/>
      <c r="C1" s="296"/>
      <c r="D1" s="296"/>
      <c r="E1" s="296"/>
      <c r="F1" s="296"/>
      <c r="G1" s="296"/>
      <c r="H1" s="296"/>
      <c r="I1" s="296"/>
      <c r="J1" s="296"/>
    </row>
    <row r="2" spans="1:20" ht="28.05" customHeight="1" thickBot="1" x14ac:dyDescent="0.45">
      <c r="A2" s="296"/>
      <c r="B2" s="648" t="s">
        <v>2596</v>
      </c>
      <c r="C2" s="648"/>
      <c r="D2" s="648"/>
      <c r="E2" s="648"/>
      <c r="F2" s="648"/>
      <c r="G2" s="648"/>
      <c r="H2" s="648"/>
      <c r="I2" s="648"/>
      <c r="J2" s="648"/>
    </row>
    <row r="3" spans="1:20" x14ac:dyDescent="0.3">
      <c r="A3" s="296"/>
      <c r="B3" s="687" t="str">
        <f>"Reported versus normalized earnings and the valuation distortion  |  Scenario: "&amp;'16 Scenarios'!F6</f>
        <v>Reported versus normalized earnings and the valuation distortion  |  Scenario: BASE CASE</v>
      </c>
      <c r="C3" s="687"/>
      <c r="D3" s="687"/>
      <c r="E3" s="687"/>
      <c r="F3" s="687"/>
      <c r="G3" s="687"/>
      <c r="H3" s="687"/>
      <c r="I3" s="687"/>
      <c r="J3" s="687"/>
    </row>
    <row r="4" spans="1:20" x14ac:dyDescent="0.3">
      <c r="A4" s="296"/>
      <c r="B4" s="296"/>
      <c r="C4" s="296"/>
      <c r="D4" s="296"/>
      <c r="E4" s="296"/>
      <c r="F4" s="296"/>
      <c r="G4" s="296"/>
      <c r="H4" s="296"/>
      <c r="I4" s="296"/>
      <c r="J4" s="296"/>
      <c r="M4" s="636" t="s">
        <v>2619</v>
      </c>
    </row>
    <row r="5" spans="1:20" x14ac:dyDescent="0.3">
      <c r="A5" s="296"/>
      <c r="B5" s="297" t="s">
        <v>1461</v>
      </c>
      <c r="C5" s="298" t="s">
        <v>1462</v>
      </c>
      <c r="D5" s="298" t="s">
        <v>1463</v>
      </c>
      <c r="E5" s="298" t="s">
        <v>1465</v>
      </c>
      <c r="F5" s="298" t="s">
        <v>1466</v>
      </c>
      <c r="G5" s="298" t="s">
        <v>1496</v>
      </c>
      <c r="H5" s="298" t="s">
        <v>2617</v>
      </c>
      <c r="I5" s="298" t="s">
        <v>2618</v>
      </c>
      <c r="J5" s="299"/>
      <c r="M5" s="297" t="s">
        <v>2289</v>
      </c>
      <c r="N5" s="297" t="s">
        <v>2620</v>
      </c>
      <c r="O5" s="297" t="s">
        <v>1930</v>
      </c>
      <c r="P5" s="297" t="s">
        <v>2621</v>
      </c>
      <c r="Q5" s="297" t="s">
        <v>2622</v>
      </c>
      <c r="R5" s="297" t="s">
        <v>2623</v>
      </c>
      <c r="S5" s="297" t="s">
        <v>2624</v>
      </c>
      <c r="T5" s="297" t="s">
        <v>87</v>
      </c>
    </row>
    <row r="6" spans="1:20" x14ac:dyDescent="0.3">
      <c r="A6" s="296"/>
      <c r="B6" s="299" t="s">
        <v>7</v>
      </c>
      <c r="C6" s="465">
        <f>'17 Model'!H38</f>
        <v>5.800581669548813</v>
      </c>
      <c r="D6" s="465">
        <f>'17 Model'!H48</f>
        <v>5.7762395849709174</v>
      </c>
      <c r="E6" s="466">
        <f>'17 Model'!H83</f>
        <v>23.870019920048787</v>
      </c>
      <c r="F6" s="466">
        <f>'17 Model'!H84</f>
        <v>23.970612361761503</v>
      </c>
      <c r="G6" s="473">
        <f t="shared" ref="G6:G14" si="0">IF(C6=0,0,1-D6/C6)</f>
        <v>4.1964902771188806E-3</v>
      </c>
      <c r="H6" s="465">
        <f t="shared" ref="H6:H14" si="1">C6-D6</f>
        <v>2.4342084577895662E-2</v>
      </c>
      <c r="I6" s="635">
        <f t="shared" ref="I6:I14" si="2">IF(RIGHT(B6,1)="E",1,0)</f>
        <v>0</v>
      </c>
      <c r="J6" s="468"/>
      <c r="M6" s="299" t="s">
        <v>2631</v>
      </c>
      <c r="N6" s="465" t="s">
        <v>87</v>
      </c>
      <c r="O6" s="637">
        <f>C9</f>
        <v>19.920466595970307</v>
      </c>
      <c r="P6" s="465">
        <f>O6</f>
        <v>19.920466595970307</v>
      </c>
      <c r="Q6" s="637">
        <f>IF(N6="Total",0,MIN(P5,P6))</f>
        <v>0</v>
      </c>
      <c r="R6" s="465">
        <f>IF(AND(N6="Change",O6&gt;=0),O6,0)</f>
        <v>0</v>
      </c>
      <c r="S6" s="637">
        <f>IF(AND(N6="Change",O6&lt;0),-O6,0)</f>
        <v>0</v>
      </c>
      <c r="T6" s="465">
        <f>IF(N6="Total",O6,0)</f>
        <v>19.920466595970307</v>
      </c>
    </row>
    <row r="7" spans="1:20" x14ac:dyDescent="0.3">
      <c r="A7" s="296"/>
      <c r="B7" s="299" t="s">
        <v>8</v>
      </c>
      <c r="C7" s="465">
        <f>'17 Model'!I38</f>
        <v>8.0435446292279256</v>
      </c>
      <c r="D7" s="465">
        <f>'17 Model'!I48</f>
        <v>7.8078203583192742</v>
      </c>
      <c r="E7" s="466">
        <f>'17 Model'!I83</f>
        <v>23.39764477916059</v>
      </c>
      <c r="F7" s="466">
        <f>'17 Model'!I84</f>
        <v>24.104038177501341</v>
      </c>
      <c r="G7" s="473">
        <f t="shared" si="0"/>
        <v>2.930601889770057E-2</v>
      </c>
      <c r="H7" s="465">
        <f t="shared" si="1"/>
        <v>0.23572427090865133</v>
      </c>
      <c r="I7" s="635">
        <f t="shared" si="2"/>
        <v>0</v>
      </c>
      <c r="J7" s="468"/>
      <c r="M7" s="299" t="s">
        <v>2632</v>
      </c>
      <c r="N7" s="465" t="s">
        <v>1930</v>
      </c>
      <c r="O7" s="637">
        <f>D9-C9</f>
        <v>-9.6007651521331265</v>
      </c>
      <c r="P7" s="465">
        <f>P6+O7</f>
        <v>10.319701443837181</v>
      </c>
      <c r="Q7" s="637">
        <f>IF(N7="Total",0,MIN(P6,P7))</f>
        <v>10.319701443837181</v>
      </c>
      <c r="R7" s="465">
        <f>IF(AND(N7="Change",O7&gt;=0),O7,0)</f>
        <v>0</v>
      </c>
      <c r="S7" s="637">
        <f>IF(AND(N7="Change",O7&lt;0),-O7,0)</f>
        <v>9.6007651521331265</v>
      </c>
      <c r="T7" s="465">
        <f>IF(N7="Total",O7,0)</f>
        <v>0</v>
      </c>
    </row>
    <row r="8" spans="1:20" x14ac:dyDescent="0.3">
      <c r="A8" s="296"/>
      <c r="B8" s="299" t="s">
        <v>9</v>
      </c>
      <c r="C8" s="465">
        <f>'17 Model'!J38</f>
        <v>10.807031888798038</v>
      </c>
      <c r="D8" s="465">
        <f>'17 Model'!J48</f>
        <v>9.2515780866721187</v>
      </c>
      <c r="E8" s="466">
        <f>'17 Model'!J83</f>
        <v>28.906179163198907</v>
      </c>
      <c r="F8" s="466">
        <f>'17 Model'!J84</f>
        <v>33.766131256031983</v>
      </c>
      <c r="G8" s="473">
        <f t="shared" si="0"/>
        <v>0.14392978739502149</v>
      </c>
      <c r="H8" s="465">
        <f t="shared" si="1"/>
        <v>1.5554538021259194</v>
      </c>
      <c r="I8" s="635">
        <f t="shared" si="2"/>
        <v>0</v>
      </c>
      <c r="J8" s="468"/>
      <c r="M8" s="299" t="s">
        <v>2633</v>
      </c>
      <c r="N8" s="465" t="s">
        <v>87</v>
      </c>
      <c r="O8" s="637">
        <f>D9</f>
        <v>10.319701443837181</v>
      </c>
      <c r="P8" s="465">
        <f>O8</f>
        <v>10.319701443837181</v>
      </c>
      <c r="Q8" s="637">
        <f>IF(N8="Total",0,MIN(P7,P8))</f>
        <v>0</v>
      </c>
      <c r="R8" s="465">
        <f>IF(AND(N8="Change",O8&gt;=0),O8,0)</f>
        <v>0</v>
      </c>
      <c r="S8" s="637">
        <f>IF(AND(N8="Change",O8&lt;0),-O8,0)</f>
        <v>0</v>
      </c>
      <c r="T8" s="465">
        <f>IF(N8="Total",O8,0)</f>
        <v>10.319701443837181</v>
      </c>
    </row>
    <row r="9" spans="1:20" x14ac:dyDescent="0.3">
      <c r="A9" s="296"/>
      <c r="B9" s="299" t="s">
        <v>11</v>
      </c>
      <c r="C9" s="465">
        <f>'17 Model'!K38</f>
        <v>19.920466595970307</v>
      </c>
      <c r="D9" s="465">
        <f>'17 Model'!K48</f>
        <v>10.319701443837181</v>
      </c>
      <c r="E9" s="466">
        <f>'17 Model'!K83</f>
        <v>17.097491083311152</v>
      </c>
      <c r="F9" s="466">
        <f>'17 Model'!K84</f>
        <v>33.003861773869126</v>
      </c>
      <c r="G9" s="473">
        <f t="shared" si="0"/>
        <v>0.48195483302962672</v>
      </c>
      <c r="H9" s="465">
        <f t="shared" si="1"/>
        <v>9.6007651521331265</v>
      </c>
      <c r="I9" s="635">
        <f t="shared" si="2"/>
        <v>0</v>
      </c>
      <c r="J9" s="468"/>
      <c r="M9" s="299" t="s">
        <v>2634</v>
      </c>
      <c r="N9" s="465" t="s">
        <v>1930</v>
      </c>
      <c r="O9" s="637">
        <f>D14-D9</f>
        <v>7.7154257551702496</v>
      </c>
      <c r="P9" s="465">
        <f>P8+O9</f>
        <v>18.03512719900743</v>
      </c>
      <c r="Q9" s="637">
        <f>IF(N9="Total",0,MIN(P8,P9))</f>
        <v>10.319701443837181</v>
      </c>
      <c r="R9" s="465">
        <f>IF(AND(N9="Change",O9&gt;=0),O9,0)</f>
        <v>7.7154257551702496</v>
      </c>
      <c r="S9" s="637">
        <f>IF(AND(N9="Change",O9&lt;0),-O9,0)</f>
        <v>0</v>
      </c>
      <c r="T9" s="465">
        <f>IF(N9="Total",O9,0)</f>
        <v>0</v>
      </c>
    </row>
    <row r="10" spans="1:20" x14ac:dyDescent="0.3">
      <c r="A10" s="296"/>
      <c r="B10" s="299" t="s">
        <v>973</v>
      </c>
      <c r="C10" s="465">
        <f>'17 Model'!L38</f>
        <v>20.553247614776289</v>
      </c>
      <c r="D10" s="465">
        <f>'17 Model'!L48</f>
        <v>11.818616286237164</v>
      </c>
      <c r="E10" s="466">
        <f>'17 Model'!L83</f>
        <v>16.571103816953023</v>
      </c>
      <c r="F10" s="466">
        <f>'17 Model'!L84</f>
        <v>28.818094415724342</v>
      </c>
      <c r="G10" s="473">
        <f t="shared" si="0"/>
        <v>0.4249757260871786</v>
      </c>
      <c r="H10" s="465">
        <f t="shared" si="1"/>
        <v>8.7346313285391251</v>
      </c>
      <c r="I10" s="635">
        <f t="shared" si="2"/>
        <v>1</v>
      </c>
      <c r="J10" s="468"/>
      <c r="M10" s="299" t="s">
        <v>2635</v>
      </c>
      <c r="N10" s="465" t="s">
        <v>87</v>
      </c>
      <c r="O10" s="637">
        <f>D14</f>
        <v>18.03512719900743</v>
      </c>
      <c r="P10" s="465">
        <f>O10</f>
        <v>18.03512719900743</v>
      </c>
      <c r="Q10" s="637">
        <f>IF(N10="Total",0,MIN(P9,P10))</f>
        <v>0</v>
      </c>
      <c r="R10" s="465">
        <f>IF(AND(N10="Change",O10&gt;=0),O10,0)</f>
        <v>0</v>
      </c>
      <c r="S10" s="637">
        <f>IF(AND(N10="Change",O10&lt;0),-O10,0)</f>
        <v>0</v>
      </c>
      <c r="T10" s="465">
        <f>IF(N10="Total",O10,0)</f>
        <v>18.03512719900743</v>
      </c>
    </row>
    <row r="11" spans="1:20" x14ac:dyDescent="0.3">
      <c r="A11" s="296"/>
      <c r="B11" s="299" t="s">
        <v>974</v>
      </c>
      <c r="C11" s="465">
        <f>'17 Model'!M38</f>
        <v>13.602702520535706</v>
      </c>
      <c r="D11" s="465">
        <f>'17 Model'!M48</f>
        <v>13.602702520535706</v>
      </c>
      <c r="E11" s="466">
        <f>'17 Model'!M83</f>
        <v>25.038406852301492</v>
      </c>
      <c r="F11" s="466">
        <f>'17 Model'!M84</f>
        <v>25.038406852301492</v>
      </c>
      <c r="G11" s="473">
        <f t="shared" si="0"/>
        <v>0</v>
      </c>
      <c r="H11" s="465">
        <f t="shared" si="1"/>
        <v>0</v>
      </c>
      <c r="I11" s="635">
        <f t="shared" si="2"/>
        <v>1</v>
      </c>
      <c r="J11" s="468"/>
      <c r="M11" s="638" t="s">
        <v>2625</v>
      </c>
    </row>
    <row r="12" spans="1:20" x14ac:dyDescent="0.3">
      <c r="A12" s="296"/>
      <c r="B12" s="299" t="s">
        <v>975</v>
      </c>
      <c r="C12" s="465">
        <f>'17 Model'!N38</f>
        <v>15.172883850422677</v>
      </c>
      <c r="D12" s="465">
        <f>'17 Model'!N48</f>
        <v>15.172883850422677</v>
      </c>
      <c r="E12" s="466">
        <f>'17 Model'!N83</f>
        <v>22.447281832353315</v>
      </c>
      <c r="F12" s="466">
        <f>'17 Model'!N84</f>
        <v>22.447281832353315</v>
      </c>
      <c r="G12" s="473">
        <f t="shared" si="0"/>
        <v>0</v>
      </c>
      <c r="H12" s="465">
        <f t="shared" si="1"/>
        <v>0</v>
      </c>
      <c r="I12" s="635">
        <f t="shared" si="2"/>
        <v>1</v>
      </c>
      <c r="J12" s="468"/>
    </row>
    <row r="13" spans="1:20" x14ac:dyDescent="0.3">
      <c r="A13" s="296"/>
      <c r="B13" s="299" t="s">
        <v>976</v>
      </c>
      <c r="C13" s="465">
        <f>'17 Model'!O38</f>
        <v>16.613404518839797</v>
      </c>
      <c r="D13" s="465">
        <f>'17 Model'!O48</f>
        <v>16.613404518839797</v>
      </c>
      <c r="E13" s="466">
        <f>'17 Model'!O83</f>
        <v>20.500915367092091</v>
      </c>
      <c r="F13" s="466">
        <f>'17 Model'!O84</f>
        <v>20.500915367092091</v>
      </c>
      <c r="G13" s="473">
        <f t="shared" si="0"/>
        <v>0</v>
      </c>
      <c r="H13" s="465">
        <f t="shared" si="1"/>
        <v>0</v>
      </c>
      <c r="I13" s="635">
        <f t="shared" si="2"/>
        <v>1</v>
      </c>
      <c r="J13" s="468"/>
    </row>
    <row r="14" spans="1:20" x14ac:dyDescent="0.3">
      <c r="A14" s="296"/>
      <c r="B14" s="299" t="s">
        <v>977</v>
      </c>
      <c r="C14" s="465">
        <f>'17 Model'!P38</f>
        <v>18.03512719900743</v>
      </c>
      <c r="D14" s="465">
        <f>'17 Model'!P48</f>
        <v>18.03512719900743</v>
      </c>
      <c r="E14" s="466">
        <f>'17 Model'!P83</f>
        <v>18.884812745803337</v>
      </c>
      <c r="F14" s="466">
        <f>'17 Model'!P84</f>
        <v>18.884812745803337</v>
      </c>
      <c r="G14" s="473">
        <f t="shared" si="0"/>
        <v>0</v>
      </c>
      <c r="H14" s="465">
        <f t="shared" si="1"/>
        <v>0</v>
      </c>
      <c r="I14" s="635">
        <f t="shared" si="2"/>
        <v>1</v>
      </c>
      <c r="J14" s="468"/>
    </row>
    <row r="15" spans="1:20" x14ac:dyDescent="0.3">
      <c r="A15" s="296"/>
      <c r="B15" s="299"/>
      <c r="C15" s="299"/>
      <c r="D15" s="299"/>
      <c r="E15" s="299"/>
      <c r="F15" s="299"/>
      <c r="G15" s="299"/>
      <c r="H15" s="299"/>
      <c r="I15" s="299"/>
      <c r="J15" s="299"/>
    </row>
    <row r="16" spans="1:20" x14ac:dyDescent="0.3">
      <c r="A16" s="296"/>
      <c r="B16" s="299"/>
      <c r="C16" s="299"/>
      <c r="D16" s="299"/>
      <c r="E16" s="299"/>
      <c r="F16" s="299"/>
      <c r="G16" s="299"/>
      <c r="H16" s="299"/>
      <c r="I16" s="299"/>
      <c r="J16" s="299"/>
    </row>
    <row r="17" spans="1:10" x14ac:dyDescent="0.3">
      <c r="A17" s="296"/>
      <c r="B17" s="299"/>
      <c r="C17" s="299"/>
      <c r="D17" s="299"/>
      <c r="E17" s="299"/>
      <c r="F17" s="299"/>
      <c r="G17" s="299"/>
      <c r="H17" s="299"/>
      <c r="I17" s="299"/>
      <c r="J17" s="299"/>
    </row>
    <row r="18" spans="1:10" x14ac:dyDescent="0.3">
      <c r="A18" s="296"/>
      <c r="B18" s="299"/>
      <c r="C18" s="299"/>
      <c r="D18" s="299"/>
      <c r="E18" s="299"/>
      <c r="F18" s="299"/>
      <c r="G18" s="299"/>
      <c r="H18" s="299"/>
      <c r="I18" s="299"/>
      <c r="J18" s="299"/>
    </row>
    <row r="19" spans="1:10" x14ac:dyDescent="0.3">
      <c r="A19" s="296"/>
      <c r="B19" s="299"/>
      <c r="C19" s="299"/>
      <c r="D19" s="299"/>
      <c r="E19" s="299"/>
      <c r="F19" s="299"/>
      <c r="G19" s="299"/>
      <c r="H19" s="299"/>
      <c r="I19" s="299"/>
      <c r="J19" s="299"/>
    </row>
    <row r="20" spans="1:10" x14ac:dyDescent="0.3">
      <c r="A20" s="296"/>
      <c r="B20" s="299"/>
      <c r="C20" s="299"/>
      <c r="D20" s="299"/>
      <c r="E20" s="299"/>
      <c r="F20" s="299"/>
      <c r="G20" s="299"/>
      <c r="H20" s="299"/>
      <c r="I20" s="299"/>
      <c r="J20" s="299"/>
    </row>
    <row r="21" spans="1:10" x14ac:dyDescent="0.3">
      <c r="A21" s="296"/>
      <c r="B21" s="299"/>
      <c r="C21" s="299"/>
      <c r="D21" s="299"/>
      <c r="E21" s="299"/>
      <c r="F21" s="299"/>
      <c r="G21" s="299"/>
      <c r="H21" s="299"/>
      <c r="I21" s="299"/>
      <c r="J21" s="299"/>
    </row>
    <row r="22" spans="1:10" x14ac:dyDescent="0.3">
      <c r="A22" s="296"/>
      <c r="B22" s="299"/>
      <c r="C22" s="299"/>
      <c r="D22" s="299"/>
      <c r="E22" s="299"/>
      <c r="F22" s="299"/>
      <c r="G22" s="299"/>
      <c r="H22" s="299"/>
      <c r="I22" s="299"/>
      <c r="J22" s="299"/>
    </row>
    <row r="23" spans="1:10" x14ac:dyDescent="0.3">
      <c r="A23" s="296"/>
      <c r="B23" s="299"/>
      <c r="C23" s="299"/>
      <c r="D23" s="299"/>
      <c r="E23" s="299"/>
      <c r="F23" s="299"/>
      <c r="G23" s="299"/>
      <c r="H23" s="299"/>
      <c r="I23" s="299"/>
      <c r="J23" s="299"/>
    </row>
    <row r="24" spans="1:10" x14ac:dyDescent="0.3">
      <c r="A24" s="296"/>
      <c r="B24" s="299"/>
      <c r="C24" s="299"/>
      <c r="D24" s="299"/>
      <c r="E24" s="299"/>
      <c r="F24" s="299"/>
      <c r="G24" s="299"/>
      <c r="H24" s="299"/>
      <c r="I24" s="299"/>
      <c r="J24" s="299"/>
    </row>
    <row r="25" spans="1:10" x14ac:dyDescent="0.3">
      <c r="A25" s="296"/>
      <c r="B25" s="299"/>
      <c r="C25" s="299"/>
      <c r="D25" s="299"/>
      <c r="E25" s="299"/>
      <c r="F25" s="299"/>
      <c r="G25" s="299"/>
      <c r="H25" s="299"/>
      <c r="I25" s="299"/>
      <c r="J25" s="299"/>
    </row>
    <row r="26" spans="1:10" x14ac:dyDescent="0.3">
      <c r="A26" s="296"/>
      <c r="B26" s="299"/>
      <c r="C26" s="299"/>
      <c r="D26" s="299"/>
      <c r="E26" s="299"/>
      <c r="F26" s="299"/>
      <c r="G26" s="299"/>
      <c r="H26" s="299"/>
      <c r="I26" s="299"/>
      <c r="J26" s="299"/>
    </row>
    <row r="27" spans="1:10" x14ac:dyDescent="0.3">
      <c r="A27" s="296"/>
      <c r="B27" s="299"/>
      <c r="C27" s="299"/>
      <c r="D27" s="299"/>
      <c r="E27" s="299"/>
      <c r="F27" s="299"/>
      <c r="G27" s="299"/>
      <c r="H27" s="299"/>
      <c r="I27" s="299"/>
      <c r="J27" s="299"/>
    </row>
    <row r="28" spans="1:10" x14ac:dyDescent="0.3">
      <c r="A28" s="296"/>
      <c r="B28" s="299"/>
      <c r="C28" s="299"/>
      <c r="D28" s="299"/>
      <c r="E28" s="299"/>
      <c r="F28" s="299"/>
      <c r="G28" s="299"/>
      <c r="H28" s="299"/>
      <c r="I28" s="299"/>
      <c r="J28" s="299"/>
    </row>
    <row r="29" spans="1:10" x14ac:dyDescent="0.3">
      <c r="A29" s="296"/>
      <c r="B29" s="299"/>
      <c r="C29" s="299"/>
      <c r="D29" s="299"/>
      <c r="E29" s="299"/>
      <c r="F29" s="299"/>
      <c r="G29" s="299"/>
      <c r="H29" s="299"/>
      <c r="I29" s="299"/>
      <c r="J29" s="299"/>
    </row>
    <row r="30" spans="1:10" x14ac:dyDescent="0.3">
      <c r="A30" s="296"/>
      <c r="B30" s="300"/>
      <c r="C30" s="300"/>
      <c r="D30" s="300"/>
      <c r="E30" s="300"/>
      <c r="F30" s="300"/>
      <c r="G30" s="300"/>
      <c r="H30" s="300"/>
      <c r="I30" s="300"/>
      <c r="J30" s="300"/>
    </row>
    <row r="31" spans="1:10" x14ac:dyDescent="0.3">
      <c r="A31" s="296"/>
      <c r="B31" s="296"/>
      <c r="C31" s="296"/>
      <c r="D31" s="296"/>
      <c r="E31" s="296"/>
      <c r="F31" s="296"/>
      <c r="G31" s="296"/>
      <c r="H31" s="296"/>
      <c r="I31" s="296"/>
      <c r="J31" s="296"/>
    </row>
    <row r="32" spans="1:10" x14ac:dyDescent="0.3">
      <c r="A32" s="296"/>
      <c r="B32" s="296"/>
      <c r="C32" s="296"/>
      <c r="D32" s="296"/>
      <c r="E32" s="296"/>
      <c r="F32" s="296"/>
      <c r="G32" s="296"/>
      <c r="H32" s="296"/>
      <c r="I32" s="296"/>
      <c r="J32" s="296"/>
    </row>
    <row r="33" spans="1:10" x14ac:dyDescent="0.3">
      <c r="A33" s="296"/>
      <c r="B33" s="296"/>
      <c r="C33" s="296"/>
      <c r="D33" s="296"/>
      <c r="E33" s="296"/>
      <c r="F33" s="296"/>
      <c r="G33" s="296"/>
      <c r="H33" s="296"/>
      <c r="I33" s="296"/>
      <c r="J33" s="296"/>
    </row>
    <row r="34" spans="1:10" x14ac:dyDescent="0.3">
      <c r="A34" s="296"/>
      <c r="B34" s="296"/>
      <c r="C34" s="296"/>
      <c r="D34" s="296"/>
      <c r="E34" s="296"/>
      <c r="F34" s="296"/>
      <c r="G34" s="296"/>
      <c r="H34" s="296"/>
      <c r="I34" s="296"/>
      <c r="J34" s="296"/>
    </row>
    <row r="35" spans="1:10" x14ac:dyDescent="0.3">
      <c r="A35" s="296"/>
      <c r="B35" s="296"/>
      <c r="C35" s="296"/>
      <c r="D35" s="296"/>
      <c r="E35" s="296"/>
      <c r="F35" s="296"/>
      <c r="G35" s="296"/>
      <c r="H35" s="296"/>
      <c r="I35" s="296"/>
      <c r="J35" s="296"/>
    </row>
    <row r="36" spans="1:10" x14ac:dyDescent="0.3">
      <c r="A36" s="296"/>
      <c r="B36" s="296"/>
      <c r="C36" s="296"/>
      <c r="D36" s="296"/>
      <c r="E36" s="296"/>
      <c r="F36" s="296"/>
      <c r="G36" s="296"/>
      <c r="H36" s="296"/>
      <c r="I36" s="296"/>
      <c r="J36" s="296"/>
    </row>
    <row r="37" spans="1:10" x14ac:dyDescent="0.3">
      <c r="A37" s="296"/>
      <c r="B37" s="296"/>
      <c r="C37" s="296"/>
      <c r="D37" s="296"/>
      <c r="E37" s="296"/>
      <c r="F37" s="296"/>
      <c r="G37" s="296"/>
      <c r="H37" s="296"/>
      <c r="I37" s="296"/>
      <c r="J37" s="296"/>
    </row>
    <row r="38" spans="1:10" x14ac:dyDescent="0.3">
      <c r="A38" s="296"/>
      <c r="B38" s="296"/>
      <c r="C38" s="296"/>
      <c r="D38" s="296"/>
      <c r="E38" s="296"/>
      <c r="F38" s="296"/>
      <c r="G38" s="296"/>
      <c r="H38" s="296"/>
      <c r="I38" s="296"/>
      <c r="J38" s="296"/>
    </row>
    <row r="39" spans="1:10" x14ac:dyDescent="0.3">
      <c r="A39" s="296"/>
      <c r="B39" s="296"/>
      <c r="C39" s="296"/>
      <c r="D39" s="296"/>
      <c r="E39" s="296"/>
      <c r="F39" s="296"/>
      <c r="G39" s="296"/>
      <c r="H39" s="296"/>
      <c r="I39" s="296"/>
      <c r="J39" s="296"/>
    </row>
    <row r="40" spans="1:10" x14ac:dyDescent="0.3">
      <c r="A40" s="296"/>
      <c r="B40" s="296"/>
      <c r="C40" s="296"/>
      <c r="D40" s="296"/>
      <c r="E40" s="296"/>
      <c r="F40" s="296"/>
      <c r="G40" s="296"/>
      <c r="H40" s="296"/>
      <c r="I40" s="296"/>
      <c r="J40" s="296"/>
    </row>
    <row r="41" spans="1:10" x14ac:dyDescent="0.3">
      <c r="A41" s="296"/>
      <c r="B41" s="296"/>
      <c r="C41" s="296"/>
      <c r="D41" s="296"/>
      <c r="E41" s="296"/>
      <c r="F41" s="296"/>
      <c r="G41" s="296"/>
      <c r="H41" s="296"/>
      <c r="I41" s="296"/>
      <c r="J41" s="296"/>
    </row>
    <row r="42" spans="1:10" x14ac:dyDescent="0.3">
      <c r="A42" s="296"/>
      <c r="B42" s="296"/>
      <c r="C42" s="296"/>
      <c r="D42" s="296"/>
      <c r="E42" s="296"/>
      <c r="F42" s="296"/>
      <c r="G42" s="296"/>
      <c r="H42" s="296"/>
      <c r="I42" s="296"/>
      <c r="J42" s="296"/>
    </row>
    <row r="43" spans="1:10" x14ac:dyDescent="0.3">
      <c r="A43" s="296"/>
      <c r="B43" s="296"/>
      <c r="C43" s="296"/>
      <c r="D43" s="296"/>
      <c r="E43" s="296"/>
      <c r="F43" s="296"/>
      <c r="G43" s="296"/>
      <c r="H43" s="296"/>
      <c r="I43" s="296"/>
      <c r="J43" s="296"/>
    </row>
    <row r="44" spans="1:10" x14ac:dyDescent="0.3">
      <c r="A44" s="296"/>
      <c r="B44" s="296"/>
      <c r="C44" s="296"/>
      <c r="D44" s="296"/>
      <c r="E44" s="296"/>
      <c r="F44" s="296"/>
      <c r="G44" s="296"/>
      <c r="H44" s="296"/>
      <c r="I44" s="296"/>
      <c r="J44" s="296"/>
    </row>
    <row r="45" spans="1:10" x14ac:dyDescent="0.3">
      <c r="A45" s="296"/>
      <c r="B45" s="296"/>
      <c r="C45" s="296"/>
      <c r="D45" s="296"/>
      <c r="E45" s="296"/>
      <c r="F45" s="296"/>
      <c r="G45" s="296"/>
      <c r="H45" s="296"/>
      <c r="I45" s="296"/>
      <c r="J45" s="296"/>
    </row>
    <row r="46" spans="1:10" x14ac:dyDescent="0.3">
      <c r="A46" s="296"/>
      <c r="B46" s="296"/>
      <c r="C46" s="296"/>
      <c r="D46" s="296"/>
      <c r="E46" s="296"/>
      <c r="F46" s="296"/>
      <c r="G46" s="296"/>
      <c r="H46" s="296"/>
      <c r="I46" s="296"/>
      <c r="J46" s="296"/>
    </row>
    <row r="47" spans="1:10" x14ac:dyDescent="0.3">
      <c r="A47" s="296"/>
      <c r="B47" s="296"/>
      <c r="C47" s="296"/>
      <c r="D47" s="296"/>
      <c r="E47" s="296"/>
      <c r="F47" s="296"/>
      <c r="G47" s="296"/>
      <c r="H47" s="296"/>
      <c r="I47" s="296"/>
      <c r="J47" s="296"/>
    </row>
    <row r="48" spans="1:10" x14ac:dyDescent="0.3">
      <c r="A48" s="296"/>
      <c r="B48" s="296"/>
      <c r="C48" s="296"/>
      <c r="D48" s="296"/>
      <c r="E48" s="296"/>
      <c r="F48" s="296"/>
      <c r="G48" s="296"/>
      <c r="H48" s="296"/>
      <c r="I48" s="296"/>
      <c r="J48" s="296"/>
    </row>
    <row r="49" spans="1:10" x14ac:dyDescent="0.3">
      <c r="A49" s="296"/>
      <c r="B49" s="296"/>
      <c r="C49" s="296"/>
      <c r="D49" s="296"/>
      <c r="E49" s="296"/>
      <c r="F49" s="296"/>
      <c r="G49" s="296"/>
      <c r="H49" s="296"/>
      <c r="I49" s="296"/>
      <c r="J49" s="296"/>
    </row>
    <row r="50" spans="1:10" x14ac:dyDescent="0.3">
      <c r="A50" s="296"/>
      <c r="B50" s="296"/>
      <c r="C50" s="296"/>
      <c r="D50" s="296"/>
      <c r="E50" s="296"/>
      <c r="F50" s="296"/>
      <c r="G50" s="296"/>
      <c r="H50" s="296"/>
      <c r="I50" s="296"/>
      <c r="J50" s="296"/>
    </row>
    <row r="51" spans="1:10" x14ac:dyDescent="0.3">
      <c r="A51" s="296"/>
      <c r="B51" s="296"/>
      <c r="C51" s="296"/>
      <c r="D51" s="296"/>
      <c r="E51" s="296"/>
      <c r="F51" s="296"/>
      <c r="G51" s="296"/>
      <c r="H51" s="296"/>
      <c r="I51" s="296"/>
      <c r="J51" s="296"/>
    </row>
    <row r="52" spans="1:10" x14ac:dyDescent="0.3">
      <c r="A52" s="296"/>
      <c r="B52" s="296"/>
      <c r="C52" s="296"/>
      <c r="D52" s="296"/>
      <c r="E52" s="296"/>
      <c r="F52" s="296"/>
      <c r="G52" s="296"/>
      <c r="H52" s="296"/>
      <c r="I52" s="296"/>
      <c r="J52" s="296"/>
    </row>
    <row r="53" spans="1:10" x14ac:dyDescent="0.3">
      <c r="A53" s="296"/>
      <c r="B53" s="296"/>
      <c r="C53" s="296"/>
      <c r="D53" s="296"/>
      <c r="E53" s="296"/>
      <c r="F53" s="296"/>
      <c r="G53" s="296"/>
      <c r="H53" s="296"/>
      <c r="I53" s="296"/>
      <c r="J53" s="296"/>
    </row>
    <row r="54" spans="1:10" x14ac:dyDescent="0.3">
      <c r="A54" s="296"/>
      <c r="B54" s="296"/>
      <c r="C54" s="296"/>
      <c r="D54" s="296"/>
      <c r="E54" s="296"/>
      <c r="F54" s="296"/>
      <c r="G54" s="296"/>
      <c r="H54" s="296"/>
      <c r="I54" s="296"/>
      <c r="J54" s="296"/>
    </row>
    <row r="55" spans="1:10" x14ac:dyDescent="0.3">
      <c r="A55" s="296"/>
      <c r="B55" s="296"/>
      <c r="C55" s="296"/>
      <c r="D55" s="296"/>
      <c r="E55" s="296"/>
      <c r="F55" s="296"/>
      <c r="G55" s="296"/>
      <c r="H55" s="296"/>
      <c r="I55" s="296"/>
      <c r="J55" s="296"/>
    </row>
    <row r="56" spans="1:10" x14ac:dyDescent="0.3">
      <c r="A56" s="296"/>
      <c r="B56" s="296"/>
      <c r="C56" s="296"/>
      <c r="D56" s="296"/>
      <c r="E56" s="296"/>
      <c r="F56" s="296"/>
      <c r="G56" s="296"/>
      <c r="H56" s="296"/>
      <c r="I56" s="296"/>
      <c r="J56" s="296"/>
    </row>
    <row r="57" spans="1:10" x14ac:dyDescent="0.3">
      <c r="A57" s="296"/>
      <c r="B57" s="296"/>
      <c r="C57" s="296"/>
      <c r="D57" s="296"/>
      <c r="E57" s="296"/>
      <c r="F57" s="296"/>
      <c r="G57" s="296"/>
      <c r="H57" s="296"/>
      <c r="I57" s="296"/>
      <c r="J57" s="296"/>
    </row>
    <row r="58" spans="1:10" x14ac:dyDescent="0.3">
      <c r="A58" s="296"/>
      <c r="B58" s="296"/>
      <c r="C58" s="296"/>
      <c r="D58" s="296"/>
      <c r="E58" s="296"/>
      <c r="F58" s="296"/>
      <c r="G58" s="296"/>
      <c r="H58" s="296"/>
      <c r="I58" s="296"/>
      <c r="J58" s="296"/>
    </row>
    <row r="59" spans="1:10" x14ac:dyDescent="0.3">
      <c r="A59" s="296"/>
      <c r="B59" s="296"/>
      <c r="C59" s="296"/>
      <c r="D59" s="296"/>
      <c r="E59" s="296"/>
      <c r="F59" s="296"/>
      <c r="G59" s="296"/>
      <c r="H59" s="296"/>
      <c r="I59" s="296"/>
      <c r="J59" s="296"/>
    </row>
    <row r="60" spans="1:10" x14ac:dyDescent="0.3">
      <c r="A60" s="296"/>
      <c r="B60" s="296"/>
      <c r="C60" s="296"/>
      <c r="D60" s="296"/>
      <c r="E60" s="296"/>
      <c r="F60" s="296"/>
      <c r="G60" s="296"/>
      <c r="H60" s="296"/>
      <c r="I60" s="296"/>
      <c r="J60" s="296"/>
    </row>
  </sheetData>
  <mergeCells count="2">
    <mergeCell ref="B2:J2"/>
    <mergeCell ref="B3:J3"/>
  </mergeCells>
  <printOptions horizontalCentered="1"/>
  <pageMargins left="0.7" right="0.7" top="0.75" bottom="0.75" header="0.3" footer="0.3"/>
  <pageSetup paperSize="0" fitToHeight="0" orientation="landscape" horizontalDpi="0" verticalDpi="0" copie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F238-4B68-4543-8C8A-D5FE69853FBC}">
  <sheetPr>
    <tabColor rgb="FF4472C4"/>
    <pageSetUpPr fitToPage="1"/>
  </sheetPr>
  <dimension ref="A1:T60"/>
  <sheetViews>
    <sheetView showGridLines="0" topLeftCell="A27" workbookViewId="0">
      <selection activeCell="M15" sqref="M15"/>
    </sheetView>
  </sheetViews>
  <sheetFormatPr defaultRowHeight="14.4" x14ac:dyDescent="0.3"/>
  <cols>
    <col min="1" max="1" width="2.21875" customWidth="1"/>
    <col min="2" max="2" width="32.44140625" customWidth="1"/>
    <col min="3" max="10" width="13.33203125" customWidth="1"/>
    <col min="13" max="13" width="27.77734375" customWidth="1"/>
    <col min="14" max="20" width="13.33203125" customWidth="1"/>
  </cols>
  <sheetData>
    <row r="1" spans="1:20" x14ac:dyDescent="0.3">
      <c r="A1" s="296"/>
      <c r="B1" s="296"/>
      <c r="C1" s="296"/>
      <c r="D1" s="296"/>
      <c r="E1" s="296"/>
      <c r="F1" s="296"/>
      <c r="G1" s="296"/>
      <c r="H1" s="296"/>
      <c r="I1" s="296"/>
      <c r="J1" s="296"/>
    </row>
    <row r="2" spans="1:20" ht="28.05" customHeight="1" thickBot="1" x14ac:dyDescent="0.45">
      <c r="A2" s="296"/>
      <c r="B2" s="648" t="s">
        <v>2597</v>
      </c>
      <c r="C2" s="648"/>
      <c r="D2" s="648"/>
      <c r="E2" s="648"/>
      <c r="F2" s="648"/>
      <c r="G2" s="648"/>
      <c r="H2" s="648"/>
      <c r="I2" s="648"/>
      <c r="J2" s="648"/>
    </row>
    <row r="3" spans="1:20" x14ac:dyDescent="0.3">
      <c r="A3" s="296"/>
      <c r="B3" s="687" t="str">
        <f>"Operating scale, segment growth, and the changing revenue mix  |  Scenario: "&amp;'16 Scenarios'!F6</f>
        <v>Operating scale, segment growth, and the changing revenue mix  |  Scenario: BASE CASE</v>
      </c>
      <c r="C3" s="687"/>
      <c r="D3" s="687"/>
      <c r="E3" s="687"/>
      <c r="F3" s="687"/>
      <c r="G3" s="687"/>
      <c r="H3" s="687"/>
      <c r="I3" s="687"/>
      <c r="J3" s="687"/>
    </row>
    <row r="4" spans="1:20" x14ac:dyDescent="0.3">
      <c r="A4" s="296"/>
      <c r="B4" s="296"/>
      <c r="C4" s="296"/>
      <c r="D4" s="296"/>
      <c r="E4" s="296"/>
      <c r="F4" s="296"/>
      <c r="G4" s="296"/>
      <c r="H4" s="296"/>
      <c r="I4" s="296"/>
      <c r="J4" s="296"/>
      <c r="M4" s="636" t="s">
        <v>2626</v>
      </c>
    </row>
    <row r="5" spans="1:20" x14ac:dyDescent="0.3">
      <c r="A5" s="296"/>
      <c r="B5" s="297" t="s">
        <v>1461</v>
      </c>
      <c r="C5" s="298" t="s">
        <v>37</v>
      </c>
      <c r="D5" s="298" t="s">
        <v>1497</v>
      </c>
      <c r="E5" s="299"/>
      <c r="F5" s="297" t="s">
        <v>1467</v>
      </c>
      <c r="G5" s="298" t="s">
        <v>9</v>
      </c>
      <c r="H5" s="298" t="s">
        <v>977</v>
      </c>
      <c r="I5" s="299"/>
      <c r="J5" s="299"/>
      <c r="M5" s="297" t="s">
        <v>2289</v>
      </c>
      <c r="N5" s="297" t="s">
        <v>2620</v>
      </c>
      <c r="O5" s="297" t="s">
        <v>1930</v>
      </c>
      <c r="P5" s="297" t="s">
        <v>2621</v>
      </c>
      <c r="Q5" s="297" t="s">
        <v>2622</v>
      </c>
      <c r="R5" s="297" t="s">
        <v>2623</v>
      </c>
      <c r="S5" s="297" t="s">
        <v>2624</v>
      </c>
      <c r="T5" s="297" t="s">
        <v>87</v>
      </c>
    </row>
    <row r="6" spans="1:20" x14ac:dyDescent="0.3">
      <c r="A6" s="296"/>
      <c r="B6" s="299" t="s">
        <v>7</v>
      </c>
      <c r="C6" s="469">
        <f>'17 Model'!H23</f>
        <v>307394</v>
      </c>
      <c r="D6" s="469">
        <f>'17 Model'!H24</f>
        <v>84293</v>
      </c>
      <c r="E6" s="468"/>
      <c r="F6" s="468" t="s">
        <v>85</v>
      </c>
      <c r="G6" s="469">
        <f>'17 Model'!J10</f>
        <v>224532</v>
      </c>
      <c r="H6" s="469">
        <f>'17 Model'!P10</f>
        <v>374487.25894272013</v>
      </c>
      <c r="I6" s="468"/>
      <c r="J6" s="468"/>
      <c r="M6" s="299" t="s">
        <v>9</v>
      </c>
      <c r="N6" s="469" t="s">
        <v>87</v>
      </c>
      <c r="O6" s="639">
        <f>C8</f>
        <v>402836</v>
      </c>
      <c r="P6" s="469">
        <f>O6</f>
        <v>402836</v>
      </c>
      <c r="Q6" s="639">
        <f t="shared" ref="Q6:Q14" si="0">IF(N6="Total",0,MIN(P5,P6))</f>
        <v>0</v>
      </c>
      <c r="R6" s="469">
        <f t="shared" ref="R6:R14" si="1">IF(AND(N6="Change",O6&gt;=0),O6,0)</f>
        <v>0</v>
      </c>
      <c r="S6" s="639">
        <f t="shared" ref="S6:S14" si="2">IF(AND(N6="Change",O6&lt;0),-O6,0)</f>
        <v>0</v>
      </c>
      <c r="T6" s="469">
        <f t="shared" ref="T6:T14" si="3">IF(N6="Total",O6,0)</f>
        <v>402836</v>
      </c>
    </row>
    <row r="7" spans="1:20" x14ac:dyDescent="0.3">
      <c r="A7" s="296"/>
      <c r="B7" s="299" t="s">
        <v>8</v>
      </c>
      <c r="C7" s="469">
        <f>'17 Model'!I23</f>
        <v>350018</v>
      </c>
      <c r="D7" s="469">
        <f>'17 Model'!I24</f>
        <v>112390</v>
      </c>
      <c r="E7" s="468"/>
      <c r="F7" s="468" t="s">
        <v>71</v>
      </c>
      <c r="G7" s="469">
        <f>'17 Model'!J11</f>
        <v>40367</v>
      </c>
      <c r="H7" s="469">
        <f>'17 Model'!P11</f>
        <v>67394.265864595305</v>
      </c>
      <c r="I7" s="468"/>
      <c r="J7" s="468"/>
      <c r="M7" s="299" t="s">
        <v>2636</v>
      </c>
      <c r="N7" s="469" t="s">
        <v>1930</v>
      </c>
      <c r="O7" s="639">
        <f t="shared" ref="O7:O12" si="4">H6-G6</f>
        <v>149955.25894272013</v>
      </c>
      <c r="P7" s="469">
        <f t="shared" ref="P7:P13" si="5">P6+O7</f>
        <v>552791.25894272013</v>
      </c>
      <c r="Q7" s="639">
        <f t="shared" si="0"/>
        <v>402836</v>
      </c>
      <c r="R7" s="469">
        <f t="shared" si="1"/>
        <v>149955.25894272013</v>
      </c>
      <c r="S7" s="639">
        <f t="shared" si="2"/>
        <v>0</v>
      </c>
      <c r="T7" s="469">
        <f t="shared" si="3"/>
        <v>0</v>
      </c>
    </row>
    <row r="8" spans="1:20" x14ac:dyDescent="0.3">
      <c r="A8" s="296"/>
      <c r="B8" s="299" t="s">
        <v>9</v>
      </c>
      <c r="C8" s="469">
        <f>'17 Model'!J23</f>
        <v>402836</v>
      </c>
      <c r="D8" s="469">
        <f>'17 Model'!J24</f>
        <v>129039</v>
      </c>
      <c r="E8" s="468"/>
      <c r="F8" s="468" t="s">
        <v>72</v>
      </c>
      <c r="G8" s="469">
        <f>'17 Model'!J12</f>
        <v>29792</v>
      </c>
      <c r="H8" s="469">
        <f>'17 Model'!P12</f>
        <v>26929.608378265599</v>
      </c>
      <c r="I8" s="468"/>
      <c r="J8" s="468"/>
      <c r="M8" s="299" t="s">
        <v>2637</v>
      </c>
      <c r="N8" s="469" t="s">
        <v>1930</v>
      </c>
      <c r="O8" s="639">
        <f t="shared" si="4"/>
        <v>27027.265864595305</v>
      </c>
      <c r="P8" s="469">
        <f t="shared" si="5"/>
        <v>579818.52480731544</v>
      </c>
      <c r="Q8" s="639">
        <f t="shared" si="0"/>
        <v>552791.25894272013</v>
      </c>
      <c r="R8" s="469">
        <f t="shared" si="1"/>
        <v>27027.265864595305</v>
      </c>
      <c r="S8" s="639">
        <f t="shared" si="2"/>
        <v>0</v>
      </c>
      <c r="T8" s="469">
        <f t="shared" si="3"/>
        <v>0</v>
      </c>
    </row>
    <row r="9" spans="1:20" x14ac:dyDescent="0.3">
      <c r="A9" s="296"/>
      <c r="B9" s="299" t="s">
        <v>11</v>
      </c>
      <c r="C9" s="469">
        <f>'17 Model'!K23</f>
        <v>445866</v>
      </c>
      <c r="D9" s="469">
        <f>'17 Model'!K24</f>
        <v>147628</v>
      </c>
      <c r="E9" s="468"/>
      <c r="F9" s="468" t="s">
        <v>1468</v>
      </c>
      <c r="G9" s="469">
        <f>'17 Model'!J13</f>
        <v>48030</v>
      </c>
      <c r="H9" s="469">
        <f>'17 Model'!P13</f>
        <v>89618.053635936012</v>
      </c>
      <c r="I9" s="468"/>
      <c r="J9" s="468"/>
      <c r="M9" s="299" t="s">
        <v>2638</v>
      </c>
      <c r="N9" s="469" t="s">
        <v>1930</v>
      </c>
      <c r="O9" s="639">
        <f t="shared" si="4"/>
        <v>-2862.3916217344013</v>
      </c>
      <c r="P9" s="469">
        <f t="shared" si="5"/>
        <v>576956.13318558107</v>
      </c>
      <c r="Q9" s="639">
        <f t="shared" si="0"/>
        <v>576956.13318558107</v>
      </c>
      <c r="R9" s="469">
        <f t="shared" si="1"/>
        <v>0</v>
      </c>
      <c r="S9" s="639">
        <f t="shared" si="2"/>
        <v>2862.3916217344013</v>
      </c>
      <c r="T9" s="469">
        <f t="shared" si="3"/>
        <v>0</v>
      </c>
    </row>
    <row r="10" spans="1:20" x14ac:dyDescent="0.3">
      <c r="A10" s="296"/>
      <c r="B10" s="299" t="s">
        <v>973</v>
      </c>
      <c r="C10" s="469">
        <f>'17 Model'!L23</f>
        <v>489947.98499999993</v>
      </c>
      <c r="D10" s="469">
        <f>'17 Model'!L24</f>
        <v>171642.66036034166</v>
      </c>
      <c r="E10" s="468"/>
      <c r="F10" s="468" t="s">
        <v>76</v>
      </c>
      <c r="G10" s="469">
        <f>'17 Model'!J14</f>
        <v>58705</v>
      </c>
      <c r="H10" s="469">
        <f>'17 Model'!P14</f>
        <v>394020.13751851529</v>
      </c>
      <c r="I10" s="468"/>
      <c r="J10" s="468"/>
      <c r="M10" s="299" t="s">
        <v>2639</v>
      </c>
      <c r="N10" s="469" t="s">
        <v>1930</v>
      </c>
      <c r="O10" s="639">
        <f t="shared" si="4"/>
        <v>41588.053635936012</v>
      </c>
      <c r="P10" s="469">
        <f t="shared" si="5"/>
        <v>618544.18682151707</v>
      </c>
      <c r="Q10" s="639">
        <f t="shared" si="0"/>
        <v>576956.13318558107</v>
      </c>
      <c r="R10" s="469">
        <f t="shared" si="1"/>
        <v>41588.053635936012</v>
      </c>
      <c r="S10" s="639">
        <f t="shared" si="2"/>
        <v>0</v>
      </c>
      <c r="T10" s="469">
        <f t="shared" si="3"/>
        <v>0</v>
      </c>
    </row>
    <row r="11" spans="1:20" x14ac:dyDescent="0.3">
      <c r="A11" s="296"/>
      <c r="B11" s="299" t="s">
        <v>974</v>
      </c>
      <c r="C11" s="469">
        <f>'17 Model'!M23</f>
        <v>593994.89907999989</v>
      </c>
      <c r="D11" s="469">
        <f>'17 Model'!M24</f>
        <v>199232.4853813044</v>
      </c>
      <c r="E11" s="468"/>
      <c r="F11" s="468" t="s">
        <v>77</v>
      </c>
      <c r="G11" s="469">
        <f>'17 Model'!J15</f>
        <v>1537</v>
      </c>
      <c r="H11" s="469">
        <f>'17 Model'!P15</f>
        <v>1961.6447615625007</v>
      </c>
      <c r="I11" s="468"/>
      <c r="J11" s="468"/>
      <c r="M11" s="299" t="s">
        <v>2640</v>
      </c>
      <c r="N11" s="469" t="s">
        <v>1930</v>
      </c>
      <c r="O11" s="639">
        <f t="shared" si="4"/>
        <v>335315.13751851529</v>
      </c>
      <c r="P11" s="469">
        <f t="shared" si="5"/>
        <v>953859.32434003241</v>
      </c>
      <c r="Q11" s="639">
        <f t="shared" si="0"/>
        <v>618544.18682151707</v>
      </c>
      <c r="R11" s="469">
        <f t="shared" si="1"/>
        <v>335315.13751851529</v>
      </c>
      <c r="S11" s="639">
        <f t="shared" si="2"/>
        <v>0</v>
      </c>
      <c r="T11" s="469">
        <f t="shared" si="3"/>
        <v>0</v>
      </c>
    </row>
    <row r="12" spans="1:20" x14ac:dyDescent="0.3">
      <c r="A12" s="296"/>
      <c r="B12" s="299" t="s">
        <v>975</v>
      </c>
      <c r="C12" s="469">
        <f>'17 Model'!N23</f>
        <v>713196.90078011691</v>
      </c>
      <c r="D12" s="469">
        <f>'17 Model'!N24</f>
        <v>224357.14998307958</v>
      </c>
      <c r="E12" s="468"/>
      <c r="F12" s="468"/>
      <c r="G12" s="468"/>
      <c r="H12" s="468"/>
      <c r="I12" s="468"/>
      <c r="J12" s="468"/>
      <c r="M12" s="299" t="s">
        <v>77</v>
      </c>
      <c r="N12" s="469" t="s">
        <v>1930</v>
      </c>
      <c r="O12" s="639">
        <f t="shared" si="4"/>
        <v>424.64476156250066</v>
      </c>
      <c r="P12" s="469">
        <f t="shared" si="5"/>
        <v>954283.96910159488</v>
      </c>
      <c r="Q12" s="639">
        <f t="shared" si="0"/>
        <v>953859.32434003241</v>
      </c>
      <c r="R12" s="469">
        <f t="shared" si="1"/>
        <v>424.64476156250066</v>
      </c>
      <c r="S12" s="639">
        <f t="shared" si="2"/>
        <v>0</v>
      </c>
      <c r="T12" s="469">
        <f t="shared" si="3"/>
        <v>0</v>
      </c>
    </row>
    <row r="13" spans="1:20" x14ac:dyDescent="0.3">
      <c r="A13" s="296"/>
      <c r="B13" s="299" t="s">
        <v>976</v>
      </c>
      <c r="C13" s="469">
        <f>'17 Model'!O23</f>
        <v>834766.04286484257</v>
      </c>
      <c r="D13" s="469">
        <f>'17 Model'!O24</f>
        <v>248267.23585381839</v>
      </c>
      <c r="E13" s="468"/>
      <c r="F13" s="468"/>
      <c r="G13" s="468"/>
      <c r="H13" s="468"/>
      <c r="I13" s="468"/>
      <c r="J13" s="468"/>
      <c r="M13" s="299" t="s">
        <v>2641</v>
      </c>
      <c r="N13" s="469" t="s">
        <v>1930</v>
      </c>
      <c r="O13" s="639">
        <f>(C14-C8)-SUM(O7:O12)</f>
        <v>127</v>
      </c>
      <c r="P13" s="469">
        <f t="shared" si="5"/>
        <v>954410.96910159488</v>
      </c>
      <c r="Q13" s="639">
        <f t="shared" si="0"/>
        <v>954283.96910159488</v>
      </c>
      <c r="R13" s="469">
        <f t="shared" si="1"/>
        <v>127</v>
      </c>
      <c r="S13" s="639">
        <f t="shared" si="2"/>
        <v>0</v>
      </c>
      <c r="T13" s="469">
        <f t="shared" si="3"/>
        <v>0</v>
      </c>
    </row>
    <row r="14" spans="1:20" x14ac:dyDescent="0.3">
      <c r="A14" s="296"/>
      <c r="B14" s="299" t="s">
        <v>977</v>
      </c>
      <c r="C14" s="469">
        <f>'17 Model'!P23</f>
        <v>954410.96910159488</v>
      </c>
      <c r="D14" s="469">
        <f>'17 Model'!P24</f>
        <v>272632.85160756833</v>
      </c>
      <c r="E14" s="468"/>
      <c r="F14" s="468"/>
      <c r="G14" s="468"/>
      <c r="H14" s="468"/>
      <c r="I14" s="468"/>
      <c r="J14" s="468"/>
      <c r="M14" s="299" t="s">
        <v>977</v>
      </c>
      <c r="N14" s="469" t="s">
        <v>87</v>
      </c>
      <c r="O14" s="639">
        <f>C14</f>
        <v>954410.96910159488</v>
      </c>
      <c r="P14" s="469">
        <f>O14</f>
        <v>954410.96910159488</v>
      </c>
      <c r="Q14" s="639">
        <f t="shared" si="0"/>
        <v>0</v>
      </c>
      <c r="R14" s="469">
        <f t="shared" si="1"/>
        <v>0</v>
      </c>
      <c r="S14" s="639">
        <f t="shared" si="2"/>
        <v>0</v>
      </c>
      <c r="T14" s="469">
        <f t="shared" si="3"/>
        <v>954410.96910159488</v>
      </c>
    </row>
    <row r="15" spans="1:20" x14ac:dyDescent="0.3">
      <c r="A15" s="296"/>
      <c r="B15" s="299"/>
      <c r="C15" s="299"/>
      <c r="D15" s="299"/>
      <c r="E15" s="299"/>
      <c r="F15" s="299"/>
      <c r="G15" s="299"/>
      <c r="H15" s="299"/>
      <c r="I15" s="299"/>
      <c r="J15" s="299"/>
      <c r="M15" s="638" t="s">
        <v>2625</v>
      </c>
    </row>
    <row r="16" spans="1:20" x14ac:dyDescent="0.3">
      <c r="A16" s="296"/>
      <c r="B16" s="299"/>
      <c r="C16" s="299"/>
      <c r="D16" s="299"/>
      <c r="E16" s="299"/>
      <c r="F16" s="299"/>
      <c r="G16" s="299"/>
      <c r="H16" s="299"/>
      <c r="I16" s="299"/>
      <c r="J16" s="299"/>
    </row>
    <row r="17" spans="1:10" x14ac:dyDescent="0.3">
      <c r="A17" s="296"/>
      <c r="B17" s="299"/>
      <c r="C17" s="299"/>
      <c r="D17" s="299"/>
      <c r="E17" s="299"/>
      <c r="F17" s="299"/>
      <c r="G17" s="299"/>
      <c r="H17" s="299"/>
      <c r="I17" s="299"/>
      <c r="J17" s="299"/>
    </row>
    <row r="18" spans="1:10" x14ac:dyDescent="0.3">
      <c r="A18" s="296"/>
      <c r="B18" s="299"/>
      <c r="C18" s="299"/>
      <c r="D18" s="299"/>
      <c r="E18" s="299"/>
      <c r="F18" s="299"/>
      <c r="G18" s="299"/>
      <c r="H18" s="299"/>
      <c r="I18" s="299"/>
      <c r="J18" s="299"/>
    </row>
    <row r="19" spans="1:10" x14ac:dyDescent="0.3">
      <c r="A19" s="296"/>
      <c r="B19" s="299"/>
      <c r="C19" s="299"/>
      <c r="D19" s="299"/>
      <c r="E19" s="299"/>
      <c r="F19" s="299"/>
      <c r="G19" s="299"/>
      <c r="H19" s="299"/>
      <c r="I19" s="299"/>
      <c r="J19" s="299"/>
    </row>
    <row r="20" spans="1:10" x14ac:dyDescent="0.3">
      <c r="A20" s="296"/>
      <c r="B20" s="299"/>
      <c r="C20" s="299"/>
      <c r="D20" s="299"/>
      <c r="E20" s="299"/>
      <c r="F20" s="299"/>
      <c r="G20" s="299"/>
      <c r="H20" s="299"/>
      <c r="I20" s="299"/>
      <c r="J20" s="299"/>
    </row>
    <row r="21" spans="1:10" x14ac:dyDescent="0.3">
      <c r="A21" s="296"/>
      <c r="B21" s="299"/>
      <c r="C21" s="299"/>
      <c r="D21" s="299"/>
      <c r="E21" s="299"/>
      <c r="F21" s="299"/>
      <c r="G21" s="299"/>
      <c r="H21" s="299"/>
      <c r="I21" s="299"/>
      <c r="J21" s="299"/>
    </row>
    <row r="22" spans="1:10" x14ac:dyDescent="0.3">
      <c r="A22" s="296"/>
      <c r="B22" s="299"/>
      <c r="C22" s="299"/>
      <c r="D22" s="299"/>
      <c r="E22" s="299"/>
      <c r="F22" s="299"/>
      <c r="G22" s="299"/>
      <c r="H22" s="299"/>
      <c r="I22" s="299"/>
      <c r="J22" s="299"/>
    </row>
    <row r="23" spans="1:10" x14ac:dyDescent="0.3">
      <c r="A23" s="296"/>
      <c r="B23" s="299"/>
      <c r="C23" s="299"/>
      <c r="D23" s="299"/>
      <c r="E23" s="299"/>
      <c r="F23" s="299"/>
      <c r="G23" s="299"/>
      <c r="H23" s="299"/>
      <c r="I23" s="299"/>
      <c r="J23" s="299"/>
    </row>
    <row r="24" spans="1:10" x14ac:dyDescent="0.3">
      <c r="A24" s="296"/>
      <c r="B24" s="299"/>
      <c r="C24" s="299"/>
      <c r="D24" s="299"/>
      <c r="E24" s="299"/>
      <c r="F24" s="299"/>
      <c r="G24" s="299"/>
      <c r="H24" s="299"/>
      <c r="I24" s="299"/>
      <c r="J24" s="299"/>
    </row>
    <row r="25" spans="1:10" x14ac:dyDescent="0.3">
      <c r="A25" s="296"/>
      <c r="B25" s="299"/>
      <c r="C25" s="299"/>
      <c r="D25" s="299"/>
      <c r="E25" s="299"/>
      <c r="F25" s="299"/>
      <c r="G25" s="299"/>
      <c r="H25" s="299"/>
      <c r="I25" s="299"/>
      <c r="J25" s="299"/>
    </row>
    <row r="26" spans="1:10" x14ac:dyDescent="0.3">
      <c r="A26" s="296"/>
      <c r="B26" s="299"/>
      <c r="C26" s="299"/>
      <c r="D26" s="299"/>
      <c r="E26" s="299"/>
      <c r="F26" s="299"/>
      <c r="G26" s="299"/>
      <c r="H26" s="299"/>
      <c r="I26" s="299"/>
      <c r="J26" s="299"/>
    </row>
    <row r="27" spans="1:10" x14ac:dyDescent="0.3">
      <c r="A27" s="296"/>
      <c r="B27" s="299"/>
      <c r="C27" s="299"/>
      <c r="D27" s="299"/>
      <c r="E27" s="299"/>
      <c r="F27" s="299"/>
      <c r="G27" s="299"/>
      <c r="H27" s="299"/>
      <c r="I27" s="299"/>
      <c r="J27" s="299"/>
    </row>
    <row r="28" spans="1:10" x14ac:dyDescent="0.3">
      <c r="A28" s="296"/>
      <c r="B28" s="299"/>
      <c r="C28" s="299"/>
      <c r="D28" s="299"/>
      <c r="E28" s="299"/>
      <c r="F28" s="299"/>
      <c r="G28" s="299"/>
      <c r="H28" s="299"/>
      <c r="I28" s="299"/>
      <c r="J28" s="299"/>
    </row>
    <row r="29" spans="1:10" x14ac:dyDescent="0.3">
      <c r="A29" s="296"/>
      <c r="B29" s="299"/>
      <c r="C29" s="299"/>
      <c r="D29" s="299"/>
      <c r="E29" s="299"/>
      <c r="F29" s="299"/>
      <c r="G29" s="299"/>
      <c r="H29" s="299"/>
      <c r="I29" s="299"/>
      <c r="J29" s="299"/>
    </row>
    <row r="30" spans="1:10" x14ac:dyDescent="0.3">
      <c r="A30" s="296"/>
      <c r="B30" s="300"/>
      <c r="C30" s="300"/>
      <c r="D30" s="300"/>
      <c r="E30" s="300"/>
      <c r="F30" s="300"/>
      <c r="G30" s="300"/>
      <c r="H30" s="300"/>
      <c r="I30" s="300"/>
      <c r="J30" s="300"/>
    </row>
    <row r="31" spans="1:10" x14ac:dyDescent="0.3">
      <c r="A31" s="296"/>
      <c r="B31" s="296"/>
      <c r="C31" s="296"/>
      <c r="D31" s="296"/>
      <c r="E31" s="296"/>
      <c r="F31" s="296"/>
      <c r="G31" s="296"/>
      <c r="H31" s="296"/>
      <c r="I31" s="296"/>
      <c r="J31" s="296"/>
    </row>
    <row r="32" spans="1:10" x14ac:dyDescent="0.3">
      <c r="A32" s="296"/>
      <c r="B32" s="296"/>
      <c r="C32" s="296"/>
      <c r="D32" s="296"/>
      <c r="E32" s="296"/>
      <c r="F32" s="296"/>
      <c r="G32" s="296"/>
      <c r="H32" s="296"/>
      <c r="I32" s="296"/>
      <c r="J32" s="296"/>
    </row>
    <row r="33" spans="1:10" x14ac:dyDescent="0.3">
      <c r="A33" s="296"/>
      <c r="B33" s="296"/>
      <c r="C33" s="296"/>
      <c r="D33" s="296"/>
      <c r="E33" s="296"/>
      <c r="F33" s="296"/>
      <c r="G33" s="296"/>
      <c r="H33" s="296"/>
      <c r="I33" s="296"/>
      <c r="J33" s="296"/>
    </row>
    <row r="34" spans="1:10" x14ac:dyDescent="0.3">
      <c r="A34" s="296"/>
      <c r="B34" s="296"/>
      <c r="C34" s="296"/>
      <c r="D34" s="296"/>
      <c r="E34" s="296"/>
      <c r="F34" s="296"/>
      <c r="G34" s="296"/>
      <c r="H34" s="296"/>
      <c r="I34" s="296"/>
      <c r="J34" s="296"/>
    </row>
    <row r="35" spans="1:10" x14ac:dyDescent="0.3">
      <c r="A35" s="296"/>
      <c r="B35" s="296"/>
      <c r="C35" s="296"/>
      <c r="D35" s="296"/>
      <c r="E35" s="296"/>
      <c r="F35" s="296"/>
      <c r="G35" s="296"/>
      <c r="H35" s="296"/>
      <c r="I35" s="296"/>
      <c r="J35" s="296"/>
    </row>
    <row r="36" spans="1:10" x14ac:dyDescent="0.3">
      <c r="A36" s="296"/>
      <c r="B36" s="296"/>
      <c r="C36" s="296"/>
      <c r="D36" s="296"/>
      <c r="E36" s="296"/>
      <c r="F36" s="296"/>
      <c r="G36" s="296"/>
      <c r="H36" s="296"/>
      <c r="I36" s="296"/>
      <c r="J36" s="296"/>
    </row>
    <row r="37" spans="1:10" x14ac:dyDescent="0.3">
      <c r="A37" s="296"/>
      <c r="B37" s="296"/>
      <c r="C37" s="296"/>
      <c r="D37" s="296"/>
      <c r="E37" s="296"/>
      <c r="F37" s="296"/>
      <c r="G37" s="296"/>
      <c r="H37" s="296"/>
      <c r="I37" s="296"/>
      <c r="J37" s="296"/>
    </row>
    <row r="38" spans="1:10" x14ac:dyDescent="0.3">
      <c r="A38" s="296"/>
      <c r="B38" s="296"/>
      <c r="C38" s="296"/>
      <c r="D38" s="296"/>
      <c r="E38" s="296"/>
      <c r="F38" s="296"/>
      <c r="G38" s="296"/>
      <c r="H38" s="296"/>
      <c r="I38" s="296"/>
      <c r="J38" s="296"/>
    </row>
    <row r="39" spans="1:10" x14ac:dyDescent="0.3">
      <c r="A39" s="296"/>
      <c r="B39" s="296"/>
      <c r="C39" s="296"/>
      <c r="D39" s="296"/>
      <c r="E39" s="296"/>
      <c r="F39" s="296"/>
      <c r="G39" s="296"/>
      <c r="H39" s="296"/>
      <c r="I39" s="296"/>
      <c r="J39" s="296"/>
    </row>
    <row r="40" spans="1:10" x14ac:dyDescent="0.3">
      <c r="A40" s="296"/>
      <c r="B40" s="296"/>
      <c r="C40" s="296"/>
      <c r="D40" s="296"/>
      <c r="E40" s="296"/>
      <c r="F40" s="296"/>
      <c r="G40" s="296"/>
      <c r="H40" s="296"/>
      <c r="I40" s="296"/>
      <c r="J40" s="296"/>
    </row>
    <row r="41" spans="1:10" x14ac:dyDescent="0.3">
      <c r="A41" s="296"/>
      <c r="B41" s="296"/>
      <c r="C41" s="296"/>
      <c r="D41" s="296"/>
      <c r="E41" s="296"/>
      <c r="F41" s="296"/>
      <c r="G41" s="296"/>
      <c r="H41" s="296"/>
      <c r="I41" s="296"/>
      <c r="J41" s="296"/>
    </row>
    <row r="42" spans="1:10" x14ac:dyDescent="0.3">
      <c r="A42" s="296"/>
      <c r="B42" s="296"/>
      <c r="C42" s="296"/>
      <c r="D42" s="296"/>
      <c r="E42" s="296"/>
      <c r="F42" s="296"/>
      <c r="G42" s="296"/>
      <c r="H42" s="296"/>
      <c r="I42" s="296"/>
      <c r="J42" s="296"/>
    </row>
    <row r="43" spans="1:10" x14ac:dyDescent="0.3">
      <c r="A43" s="296"/>
      <c r="B43" s="296"/>
      <c r="C43" s="296"/>
      <c r="D43" s="296"/>
      <c r="E43" s="296"/>
      <c r="F43" s="296"/>
      <c r="G43" s="296"/>
      <c r="H43" s="296"/>
      <c r="I43" s="296"/>
      <c r="J43" s="296"/>
    </row>
    <row r="44" spans="1:10" x14ac:dyDescent="0.3">
      <c r="A44" s="296"/>
      <c r="B44" s="296"/>
      <c r="C44" s="296"/>
      <c r="D44" s="296"/>
      <c r="E44" s="296"/>
      <c r="F44" s="296"/>
      <c r="G44" s="296"/>
      <c r="H44" s="296"/>
      <c r="I44" s="296"/>
      <c r="J44" s="296"/>
    </row>
    <row r="45" spans="1:10" x14ac:dyDescent="0.3">
      <c r="A45" s="296"/>
      <c r="B45" s="296"/>
      <c r="C45" s="296"/>
      <c r="D45" s="296"/>
      <c r="E45" s="296"/>
      <c r="F45" s="296"/>
      <c r="G45" s="296"/>
      <c r="H45" s="296"/>
      <c r="I45" s="296"/>
      <c r="J45" s="296"/>
    </row>
    <row r="46" spans="1:10" x14ac:dyDescent="0.3">
      <c r="A46" s="296"/>
      <c r="B46" s="296"/>
      <c r="C46" s="296"/>
      <c r="D46" s="296"/>
      <c r="E46" s="296"/>
      <c r="F46" s="296"/>
      <c r="G46" s="296"/>
      <c r="H46" s="296"/>
      <c r="I46" s="296"/>
      <c r="J46" s="296"/>
    </row>
    <row r="47" spans="1:10" x14ac:dyDescent="0.3">
      <c r="A47" s="296"/>
      <c r="B47" s="296"/>
      <c r="C47" s="296"/>
      <c r="D47" s="296"/>
      <c r="E47" s="296"/>
      <c r="F47" s="296"/>
      <c r="G47" s="296"/>
      <c r="H47" s="296"/>
      <c r="I47" s="296"/>
      <c r="J47" s="296"/>
    </row>
    <row r="48" spans="1:10" x14ac:dyDescent="0.3">
      <c r="A48" s="296"/>
      <c r="B48" s="296"/>
      <c r="C48" s="296"/>
      <c r="D48" s="296"/>
      <c r="E48" s="296"/>
      <c r="F48" s="296"/>
      <c r="G48" s="296"/>
      <c r="H48" s="296"/>
      <c r="I48" s="296"/>
      <c r="J48" s="296"/>
    </row>
    <row r="49" spans="1:10" x14ac:dyDescent="0.3">
      <c r="A49" s="296"/>
      <c r="B49" s="296"/>
      <c r="C49" s="296"/>
      <c r="D49" s="296"/>
      <c r="E49" s="296"/>
      <c r="F49" s="296"/>
      <c r="G49" s="296"/>
      <c r="H49" s="296"/>
      <c r="I49" s="296"/>
      <c r="J49" s="296"/>
    </row>
    <row r="50" spans="1:10" x14ac:dyDescent="0.3">
      <c r="A50" s="296"/>
      <c r="B50" s="296"/>
      <c r="C50" s="296"/>
      <c r="D50" s="296"/>
      <c r="E50" s="296"/>
      <c r="F50" s="296"/>
      <c r="G50" s="296"/>
      <c r="H50" s="296"/>
      <c r="I50" s="296"/>
      <c r="J50" s="296"/>
    </row>
    <row r="51" spans="1:10" x14ac:dyDescent="0.3">
      <c r="A51" s="296"/>
      <c r="B51" s="296"/>
      <c r="C51" s="296"/>
      <c r="D51" s="296"/>
      <c r="E51" s="296"/>
      <c r="F51" s="296"/>
      <c r="G51" s="296"/>
      <c r="H51" s="296"/>
      <c r="I51" s="296"/>
      <c r="J51" s="296"/>
    </row>
    <row r="52" spans="1:10" x14ac:dyDescent="0.3">
      <c r="A52" s="296"/>
      <c r="B52" s="296"/>
      <c r="C52" s="296"/>
      <c r="D52" s="296"/>
      <c r="E52" s="296"/>
      <c r="F52" s="296"/>
      <c r="G52" s="296"/>
      <c r="H52" s="296"/>
      <c r="I52" s="296"/>
      <c r="J52" s="296"/>
    </row>
    <row r="53" spans="1:10" x14ac:dyDescent="0.3">
      <c r="A53" s="296"/>
      <c r="B53" s="296"/>
      <c r="C53" s="296"/>
      <c r="D53" s="296"/>
      <c r="E53" s="296"/>
      <c r="F53" s="296"/>
      <c r="G53" s="296"/>
      <c r="H53" s="296"/>
      <c r="I53" s="296"/>
      <c r="J53" s="296"/>
    </row>
    <row r="54" spans="1:10" x14ac:dyDescent="0.3">
      <c r="A54" s="296"/>
      <c r="B54" s="296"/>
      <c r="C54" s="296"/>
      <c r="D54" s="296"/>
      <c r="E54" s="296"/>
      <c r="F54" s="296"/>
      <c r="G54" s="296"/>
      <c r="H54" s="296"/>
      <c r="I54" s="296"/>
      <c r="J54" s="296"/>
    </row>
    <row r="55" spans="1:10" x14ac:dyDescent="0.3">
      <c r="A55" s="296"/>
      <c r="B55" s="296"/>
      <c r="C55" s="296"/>
      <c r="D55" s="296"/>
      <c r="E55" s="296"/>
      <c r="F55" s="296"/>
      <c r="G55" s="296"/>
      <c r="H55" s="296"/>
      <c r="I55" s="296"/>
      <c r="J55" s="296"/>
    </row>
    <row r="56" spans="1:10" x14ac:dyDescent="0.3">
      <c r="A56" s="296"/>
      <c r="B56" s="296"/>
      <c r="C56" s="296"/>
      <c r="D56" s="296"/>
      <c r="E56" s="296"/>
      <c r="F56" s="296"/>
      <c r="G56" s="296"/>
      <c r="H56" s="296"/>
      <c r="I56" s="296"/>
      <c r="J56" s="296"/>
    </row>
    <row r="57" spans="1:10" x14ac:dyDescent="0.3">
      <c r="A57" s="296"/>
      <c r="B57" s="296"/>
      <c r="C57" s="296"/>
      <c r="D57" s="296"/>
      <c r="E57" s="296"/>
      <c r="F57" s="296"/>
      <c r="G57" s="296"/>
      <c r="H57" s="296"/>
      <c r="I57" s="296"/>
      <c r="J57" s="296"/>
    </row>
    <row r="58" spans="1:10" x14ac:dyDescent="0.3">
      <c r="A58" s="296"/>
      <c r="B58" s="296"/>
      <c r="C58" s="296"/>
      <c r="D58" s="296"/>
      <c r="E58" s="296"/>
      <c r="F58" s="296"/>
      <c r="G58" s="296"/>
      <c r="H58" s="296"/>
      <c r="I58" s="296"/>
      <c r="J58" s="296"/>
    </row>
    <row r="59" spans="1:10" x14ac:dyDescent="0.3">
      <c r="A59" s="296"/>
      <c r="B59" s="296"/>
      <c r="C59" s="296"/>
      <c r="D59" s="296"/>
      <c r="E59" s="296"/>
      <c r="F59" s="296"/>
      <c r="G59" s="296"/>
      <c r="H59" s="296"/>
      <c r="I59" s="296"/>
      <c r="J59" s="296"/>
    </row>
    <row r="60" spans="1:10" x14ac:dyDescent="0.3">
      <c r="A60" s="296"/>
      <c r="B60" s="296"/>
      <c r="C60" s="296"/>
      <c r="D60" s="296"/>
      <c r="E60" s="296"/>
      <c r="F60" s="296"/>
      <c r="G60" s="296"/>
      <c r="H60" s="296"/>
      <c r="I60" s="296"/>
      <c r="J60" s="296"/>
    </row>
  </sheetData>
  <mergeCells count="2">
    <mergeCell ref="B2:J2"/>
    <mergeCell ref="B3:J3"/>
  </mergeCells>
  <printOptions horizontalCentered="1"/>
  <pageMargins left="0.7" right="0.7" top="0.75" bottom="0.75" header="0.3" footer="0.3"/>
  <pageSetup paperSize="0" fitToHeight="0" orientation="landscape" horizontalDpi="0" verticalDpi="0" copie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35AB-25C4-4340-947E-13C1F4DABACE}">
  <sheetPr>
    <tabColor rgb="FF4472C4"/>
    <pageSetUpPr fitToPage="1"/>
  </sheetPr>
  <dimension ref="A1:J60"/>
  <sheetViews>
    <sheetView showGridLines="0" topLeftCell="A18" workbookViewId="0">
      <selection activeCell="B3" sqref="B3:J3"/>
    </sheetView>
  </sheetViews>
  <sheetFormatPr defaultRowHeight="14.4" x14ac:dyDescent="0.3"/>
  <cols>
    <col min="1" max="1" width="2.21875" customWidth="1"/>
    <col min="2" max="2" width="32.44140625" customWidth="1"/>
    <col min="3" max="10" width="13.33203125" customWidth="1"/>
  </cols>
  <sheetData>
    <row r="1" spans="1:10" x14ac:dyDescent="0.3">
      <c r="A1" s="296"/>
      <c r="B1" s="296"/>
      <c r="C1" s="296"/>
      <c r="D1" s="296"/>
      <c r="E1" s="296"/>
      <c r="F1" s="296"/>
      <c r="G1" s="296"/>
      <c r="H1" s="296"/>
      <c r="I1" s="296"/>
      <c r="J1" s="296"/>
    </row>
    <row r="2" spans="1:10" ht="28.05" customHeight="1" thickBot="1" x14ac:dyDescent="0.45">
      <c r="A2" s="296"/>
      <c r="B2" s="648" t="s">
        <v>2598</v>
      </c>
      <c r="C2" s="648"/>
      <c r="D2" s="648"/>
      <c r="E2" s="648"/>
      <c r="F2" s="648"/>
      <c r="G2" s="648"/>
      <c r="H2" s="648"/>
      <c r="I2" s="648"/>
      <c r="J2" s="648"/>
    </row>
    <row r="3" spans="1:10" x14ac:dyDescent="0.3">
      <c r="A3" s="296"/>
      <c r="B3" s="687" t="str">
        <f>"Capex, depreciation, cash conversion, and margin pressure  |  Scenario: "&amp;'16 Scenarios'!F6</f>
        <v>Capex, depreciation, cash conversion, and margin pressure  |  Scenario: BASE CASE</v>
      </c>
      <c r="C3" s="687"/>
      <c r="D3" s="687"/>
      <c r="E3" s="687"/>
      <c r="F3" s="687"/>
      <c r="G3" s="687"/>
      <c r="H3" s="687"/>
      <c r="I3" s="687"/>
      <c r="J3" s="687"/>
    </row>
    <row r="4" spans="1:10" x14ac:dyDescent="0.3">
      <c r="A4" s="296"/>
      <c r="B4" s="296"/>
      <c r="C4" s="296"/>
      <c r="D4" s="296"/>
      <c r="E4" s="296"/>
      <c r="F4" s="296"/>
      <c r="G4" s="296"/>
      <c r="H4" s="296"/>
      <c r="I4" s="296"/>
      <c r="J4" s="296"/>
    </row>
    <row r="5" spans="1:10" x14ac:dyDescent="0.3">
      <c r="A5" s="296"/>
      <c r="B5" s="297" t="s">
        <v>1461</v>
      </c>
      <c r="C5" s="298" t="s">
        <v>1498</v>
      </c>
      <c r="D5" s="298" t="s">
        <v>1464</v>
      </c>
      <c r="E5" s="298" t="s">
        <v>1499</v>
      </c>
      <c r="F5" s="298" t="s">
        <v>121</v>
      </c>
      <c r="G5" s="298" t="s">
        <v>1500</v>
      </c>
      <c r="H5" s="298" t="s">
        <v>1501</v>
      </c>
      <c r="I5" s="298" t="s">
        <v>2618</v>
      </c>
      <c r="J5" s="299"/>
    </row>
    <row r="6" spans="1:10" x14ac:dyDescent="0.3">
      <c r="A6" s="296"/>
      <c r="B6" s="299" t="s">
        <v>7</v>
      </c>
      <c r="C6" s="469">
        <f>'17 Model'!H74</f>
        <v>101746</v>
      </c>
      <c r="D6" s="469">
        <f>'17 Model'!H75</f>
        <v>-32251</v>
      </c>
      <c r="E6" s="469">
        <f>'17 Model'!H76</f>
        <v>69495</v>
      </c>
      <c r="F6" s="469">
        <f>'17 Model'!H64</f>
        <v>11946</v>
      </c>
      <c r="G6" s="467">
        <f>'17 Model'!H25</f>
        <v>0.27421810445226646</v>
      </c>
      <c r="H6" s="467">
        <f>'17 Model'!H77</f>
        <v>0.22607793255561268</v>
      </c>
      <c r="I6" s="635">
        <f t="shared" ref="I6:I14" si="0">IF(RIGHT(B6,1)="E",1,0)</f>
        <v>0</v>
      </c>
      <c r="J6" s="468"/>
    </row>
    <row r="7" spans="1:10" x14ac:dyDescent="0.3">
      <c r="A7" s="296"/>
      <c r="B7" s="299" t="s">
        <v>8</v>
      </c>
      <c r="C7" s="469">
        <f>'17 Model'!I74</f>
        <v>125299</v>
      </c>
      <c r="D7" s="469">
        <f>'17 Model'!I75</f>
        <v>-52535</v>
      </c>
      <c r="E7" s="469">
        <f>'17 Model'!I76</f>
        <v>72764</v>
      </c>
      <c r="F7" s="469">
        <f>'17 Model'!I64</f>
        <v>15311</v>
      </c>
      <c r="G7" s="467">
        <f>'17 Model'!I25</f>
        <v>0.32109777211457696</v>
      </c>
      <c r="H7" s="467">
        <f>'17 Model'!I77</f>
        <v>0.20788645155392008</v>
      </c>
      <c r="I7" s="635">
        <f t="shared" si="0"/>
        <v>0</v>
      </c>
      <c r="J7" s="468"/>
    </row>
    <row r="8" spans="1:10" x14ac:dyDescent="0.3">
      <c r="A8" s="296"/>
      <c r="B8" s="299" t="s">
        <v>9</v>
      </c>
      <c r="C8" s="469">
        <f>'17 Model'!J74</f>
        <v>164713</v>
      </c>
      <c r="D8" s="469">
        <f>'17 Model'!J75</f>
        <v>-91447</v>
      </c>
      <c r="E8" s="469">
        <f>'17 Model'!J76</f>
        <v>73266</v>
      </c>
      <c r="F8" s="469">
        <f>'17 Model'!J64</f>
        <v>21136</v>
      </c>
      <c r="G8" s="467">
        <f>'17 Model'!J25</f>
        <v>0.32032638592380025</v>
      </c>
      <c r="H8" s="467">
        <f>'17 Model'!J77</f>
        <v>0.18187550268595656</v>
      </c>
      <c r="I8" s="635">
        <f t="shared" si="0"/>
        <v>0</v>
      </c>
      <c r="J8" s="468"/>
    </row>
    <row r="9" spans="1:10" x14ac:dyDescent="0.3">
      <c r="A9" s="296"/>
      <c r="B9" s="299" t="s">
        <v>11</v>
      </c>
      <c r="C9" s="469">
        <f>'17 Model'!K74</f>
        <v>185675</v>
      </c>
      <c r="D9" s="469">
        <f>'17 Model'!K75</f>
        <v>-132402</v>
      </c>
      <c r="E9" s="469">
        <f>'17 Model'!K76</f>
        <v>53273</v>
      </c>
      <c r="F9" s="469">
        <f>'17 Model'!K64</f>
        <v>25237</v>
      </c>
      <c r="G9" s="467">
        <f>'17 Model'!K25</f>
        <v>0.33110396397123798</v>
      </c>
      <c r="H9" s="467">
        <f>'17 Model'!K77</f>
        <v>0.11948208654618203</v>
      </c>
      <c r="I9" s="635">
        <f t="shared" si="0"/>
        <v>0</v>
      </c>
      <c r="J9" s="468"/>
    </row>
    <row r="10" spans="1:10" x14ac:dyDescent="0.3">
      <c r="A10" s="296"/>
      <c r="B10" s="299" t="s">
        <v>973</v>
      </c>
      <c r="C10" s="469">
        <f>'17 Model'!L74</f>
        <v>199742.21243683479</v>
      </c>
      <c r="D10" s="469">
        <f>'17 Model'!L75</f>
        <v>-200878.67384999996</v>
      </c>
      <c r="E10" s="469">
        <f>'17 Model'!L76</f>
        <v>-1136.4614131651761</v>
      </c>
      <c r="F10" s="469">
        <f>'17 Model'!L64</f>
        <v>29041.116021549999</v>
      </c>
      <c r="G10" s="467">
        <f>'17 Model'!L25</f>
        <v>0.35032833201741137</v>
      </c>
      <c r="H10" s="467">
        <f>'17 Model'!L77</f>
        <v>-2.3195552343483485E-3</v>
      </c>
      <c r="I10" s="635">
        <f t="shared" si="0"/>
        <v>1</v>
      </c>
      <c r="J10" s="468"/>
    </row>
    <row r="11" spans="1:10" x14ac:dyDescent="0.3">
      <c r="A11" s="296"/>
      <c r="B11" s="299" t="s">
        <v>974</v>
      </c>
      <c r="C11" s="469">
        <f>'17 Model'!M74</f>
        <v>251307.35829559781</v>
      </c>
      <c r="D11" s="469">
        <f>'17 Model'!M75</f>
        <v>-257199.79130163995</v>
      </c>
      <c r="E11" s="469">
        <f>'17 Model'!M76</f>
        <v>-5892.4330060421489</v>
      </c>
      <c r="F11" s="469">
        <f>'17 Model'!M64</f>
        <v>47039.111221909829</v>
      </c>
      <c r="G11" s="467">
        <f>'17 Model'!M25</f>
        <v>0.33541110485945697</v>
      </c>
      <c r="H11" s="467">
        <f>'17 Model'!M77</f>
        <v>-9.9200060727264762E-3</v>
      </c>
      <c r="I11" s="635">
        <f t="shared" si="0"/>
        <v>1</v>
      </c>
      <c r="J11" s="468"/>
    </row>
    <row r="12" spans="1:10" x14ac:dyDescent="0.3">
      <c r="A12" s="296"/>
      <c r="B12" s="299" t="s">
        <v>975</v>
      </c>
      <c r="C12" s="469">
        <f>'17 Model'!N74</f>
        <v>305901.76566623186</v>
      </c>
      <c r="D12" s="469">
        <f>'17 Model'!N75</f>
        <v>-263882.85328864324</v>
      </c>
      <c r="E12" s="469">
        <f>'17 Model'!N76</f>
        <v>42018.912377588626</v>
      </c>
      <c r="F12" s="469">
        <f>'17 Model'!N64</f>
        <v>74901.844207640097</v>
      </c>
      <c r="G12" s="467">
        <f>'17 Model'!N25</f>
        <v>0.31457953580234399</v>
      </c>
      <c r="H12" s="467">
        <f>'17 Model'!N77</f>
        <v>5.8916285715245029E-2</v>
      </c>
      <c r="I12" s="635">
        <f t="shared" si="0"/>
        <v>1</v>
      </c>
      <c r="J12" s="468"/>
    </row>
    <row r="13" spans="1:10" x14ac:dyDescent="0.3">
      <c r="A13" s="296"/>
      <c r="B13" s="299" t="s">
        <v>976</v>
      </c>
      <c r="C13" s="469">
        <f>'17 Model'!O74</f>
        <v>362539.9967090041</v>
      </c>
      <c r="D13" s="469">
        <f>'17 Model'!O75</f>
        <v>-258777.4732881012</v>
      </c>
      <c r="E13" s="469">
        <f>'17 Model'!O76</f>
        <v>103762.5234209029</v>
      </c>
      <c r="F13" s="469">
        <f>'17 Model'!O64</f>
        <v>106176.26897497583</v>
      </c>
      <c r="G13" s="467">
        <f>'17 Model'!O25</f>
        <v>0.29740936155211511</v>
      </c>
      <c r="H13" s="467">
        <f>'17 Model'!O77</f>
        <v>0.12430132287700536</v>
      </c>
      <c r="I13" s="635">
        <f t="shared" si="0"/>
        <v>1</v>
      </c>
      <c r="J13" s="468"/>
    </row>
    <row r="14" spans="1:10" x14ac:dyDescent="0.3">
      <c r="A14" s="296"/>
      <c r="B14" s="299" t="s">
        <v>977</v>
      </c>
      <c r="C14" s="469">
        <f>'17 Model'!P74</f>
        <v>418907.54098286532</v>
      </c>
      <c r="D14" s="469">
        <f>'17 Model'!P75</f>
        <v>-238602.74227539872</v>
      </c>
      <c r="E14" s="469">
        <f>'17 Model'!P76</f>
        <v>180304.7987074666</v>
      </c>
      <c r="F14" s="469">
        <f>'17 Model'!P64</f>
        <v>137384.20790350105</v>
      </c>
      <c r="G14" s="467">
        <f>'17 Model'!P25</f>
        <v>0.28565561423105057</v>
      </c>
      <c r="H14" s="467">
        <f>'17 Model'!P77</f>
        <v>0.18891735797755019</v>
      </c>
      <c r="I14" s="635">
        <f t="shared" si="0"/>
        <v>1</v>
      </c>
      <c r="J14" s="468"/>
    </row>
    <row r="15" spans="1:10" x14ac:dyDescent="0.3">
      <c r="A15" s="296"/>
      <c r="B15" s="299"/>
      <c r="C15" s="299"/>
      <c r="D15" s="299"/>
      <c r="E15" s="299"/>
      <c r="F15" s="299"/>
      <c r="G15" s="299"/>
      <c r="H15" s="299"/>
      <c r="I15" s="299"/>
      <c r="J15" s="299"/>
    </row>
    <row r="16" spans="1:10" x14ac:dyDescent="0.3">
      <c r="A16" s="296"/>
      <c r="B16" s="299"/>
      <c r="C16" s="299"/>
      <c r="D16" s="299"/>
      <c r="E16" s="299"/>
      <c r="F16" s="299"/>
      <c r="G16" s="299"/>
      <c r="H16" s="299"/>
      <c r="I16" s="299"/>
      <c r="J16" s="299"/>
    </row>
    <row r="17" spans="1:10" x14ac:dyDescent="0.3">
      <c r="A17" s="296"/>
      <c r="B17" s="299"/>
      <c r="C17" s="299"/>
      <c r="D17" s="299"/>
      <c r="E17" s="299"/>
      <c r="F17" s="299"/>
      <c r="G17" s="299"/>
      <c r="H17" s="299"/>
      <c r="I17" s="299"/>
      <c r="J17" s="299"/>
    </row>
    <row r="18" spans="1:10" x14ac:dyDescent="0.3">
      <c r="A18" s="296"/>
      <c r="B18" s="299"/>
      <c r="C18" s="299"/>
      <c r="D18" s="299"/>
      <c r="E18" s="299"/>
      <c r="F18" s="299"/>
      <c r="G18" s="299"/>
      <c r="H18" s="299"/>
      <c r="I18" s="299"/>
      <c r="J18" s="299"/>
    </row>
    <row r="19" spans="1:10" x14ac:dyDescent="0.3">
      <c r="A19" s="296"/>
      <c r="B19" s="299"/>
      <c r="C19" s="299"/>
      <c r="D19" s="299"/>
      <c r="E19" s="299"/>
      <c r="F19" s="299"/>
      <c r="G19" s="299"/>
      <c r="H19" s="299"/>
      <c r="I19" s="299"/>
      <c r="J19" s="299"/>
    </row>
    <row r="20" spans="1:10" x14ac:dyDescent="0.3">
      <c r="A20" s="296"/>
      <c r="B20" s="299"/>
      <c r="C20" s="299"/>
      <c r="D20" s="299"/>
      <c r="E20" s="299"/>
      <c r="F20" s="299"/>
      <c r="G20" s="299"/>
      <c r="H20" s="299"/>
      <c r="I20" s="299"/>
      <c r="J20" s="299"/>
    </row>
    <row r="21" spans="1:10" x14ac:dyDescent="0.3">
      <c r="A21" s="296"/>
      <c r="B21" s="299"/>
      <c r="C21" s="299"/>
      <c r="D21" s="299"/>
      <c r="E21" s="299"/>
      <c r="F21" s="299"/>
      <c r="G21" s="299"/>
      <c r="H21" s="299"/>
      <c r="I21" s="299"/>
      <c r="J21" s="299"/>
    </row>
    <row r="22" spans="1:10" x14ac:dyDescent="0.3">
      <c r="A22" s="296"/>
      <c r="B22" s="299"/>
      <c r="C22" s="299"/>
      <c r="D22" s="299"/>
      <c r="E22" s="299"/>
      <c r="F22" s="299"/>
      <c r="G22" s="299"/>
      <c r="H22" s="299"/>
      <c r="I22" s="299"/>
      <c r="J22" s="299"/>
    </row>
    <row r="23" spans="1:10" x14ac:dyDescent="0.3">
      <c r="A23" s="296"/>
      <c r="B23" s="299"/>
      <c r="C23" s="299"/>
      <c r="D23" s="299"/>
      <c r="E23" s="299"/>
      <c r="F23" s="299"/>
      <c r="G23" s="299"/>
      <c r="H23" s="299"/>
      <c r="I23" s="299"/>
      <c r="J23" s="299"/>
    </row>
    <row r="24" spans="1:10" x14ac:dyDescent="0.3">
      <c r="A24" s="296"/>
      <c r="B24" s="299"/>
      <c r="C24" s="299"/>
      <c r="D24" s="299"/>
      <c r="E24" s="299"/>
      <c r="F24" s="299"/>
      <c r="G24" s="299"/>
      <c r="H24" s="299"/>
      <c r="I24" s="299"/>
      <c r="J24" s="299"/>
    </row>
    <row r="25" spans="1:10" x14ac:dyDescent="0.3">
      <c r="A25" s="296"/>
      <c r="B25" s="299"/>
      <c r="C25" s="299"/>
      <c r="D25" s="299"/>
      <c r="E25" s="299"/>
      <c r="F25" s="299"/>
      <c r="G25" s="299"/>
      <c r="H25" s="299"/>
      <c r="I25" s="299"/>
      <c r="J25" s="299"/>
    </row>
    <row r="26" spans="1:10" x14ac:dyDescent="0.3">
      <c r="A26" s="296"/>
      <c r="B26" s="299"/>
      <c r="C26" s="299"/>
      <c r="D26" s="299"/>
      <c r="E26" s="299"/>
      <c r="F26" s="299"/>
      <c r="G26" s="299"/>
      <c r="H26" s="299"/>
      <c r="I26" s="299"/>
      <c r="J26" s="299"/>
    </row>
    <row r="27" spans="1:10" x14ac:dyDescent="0.3">
      <c r="A27" s="296"/>
      <c r="B27" s="299"/>
      <c r="C27" s="299"/>
      <c r="D27" s="299"/>
      <c r="E27" s="299"/>
      <c r="F27" s="299"/>
      <c r="G27" s="299"/>
      <c r="H27" s="299"/>
      <c r="I27" s="299"/>
      <c r="J27" s="299"/>
    </row>
    <row r="28" spans="1:10" x14ac:dyDescent="0.3">
      <c r="A28" s="296"/>
      <c r="B28" s="299"/>
      <c r="C28" s="299"/>
      <c r="D28" s="299"/>
      <c r="E28" s="299"/>
      <c r="F28" s="299"/>
      <c r="G28" s="299"/>
      <c r="H28" s="299"/>
      <c r="I28" s="299"/>
      <c r="J28" s="299"/>
    </row>
    <row r="29" spans="1:10" x14ac:dyDescent="0.3">
      <c r="A29" s="296"/>
      <c r="B29" s="299"/>
      <c r="C29" s="299"/>
      <c r="D29" s="299"/>
      <c r="E29" s="299"/>
      <c r="F29" s="299"/>
      <c r="G29" s="299"/>
      <c r="H29" s="299"/>
      <c r="I29" s="299"/>
      <c r="J29" s="299"/>
    </row>
    <row r="30" spans="1:10" x14ac:dyDescent="0.3">
      <c r="A30" s="296"/>
      <c r="B30" s="300"/>
      <c r="C30" s="300"/>
      <c r="D30" s="300"/>
      <c r="E30" s="300"/>
      <c r="F30" s="300"/>
      <c r="G30" s="300"/>
      <c r="H30" s="300"/>
      <c r="I30" s="300"/>
      <c r="J30" s="300"/>
    </row>
    <row r="31" spans="1:10" x14ac:dyDescent="0.3">
      <c r="A31" s="296"/>
      <c r="B31" s="296"/>
      <c r="C31" s="296"/>
      <c r="D31" s="296"/>
      <c r="E31" s="296"/>
      <c r="F31" s="296"/>
      <c r="G31" s="296"/>
      <c r="H31" s="296"/>
      <c r="I31" s="296"/>
      <c r="J31" s="296"/>
    </row>
    <row r="32" spans="1:10" x14ac:dyDescent="0.3">
      <c r="A32" s="296"/>
      <c r="B32" s="296"/>
      <c r="C32" s="296"/>
      <c r="D32" s="296"/>
      <c r="E32" s="296"/>
      <c r="F32" s="296"/>
      <c r="G32" s="296"/>
      <c r="H32" s="296"/>
      <c r="I32" s="296"/>
      <c r="J32" s="296"/>
    </row>
    <row r="33" spans="1:10" x14ac:dyDescent="0.3">
      <c r="A33" s="296"/>
      <c r="B33" s="296"/>
      <c r="C33" s="296"/>
      <c r="D33" s="296"/>
      <c r="E33" s="296"/>
      <c r="F33" s="296"/>
      <c r="G33" s="296"/>
      <c r="H33" s="296"/>
      <c r="I33" s="296"/>
      <c r="J33" s="296"/>
    </row>
    <row r="34" spans="1:10" x14ac:dyDescent="0.3">
      <c r="A34" s="296"/>
      <c r="B34" s="296"/>
      <c r="C34" s="296"/>
      <c r="D34" s="296"/>
      <c r="E34" s="296"/>
      <c r="F34" s="296"/>
      <c r="G34" s="296"/>
      <c r="H34" s="296"/>
      <c r="I34" s="296"/>
      <c r="J34" s="296"/>
    </row>
    <row r="35" spans="1:10" x14ac:dyDescent="0.3">
      <c r="A35" s="296"/>
      <c r="B35" s="296"/>
      <c r="C35" s="296"/>
      <c r="D35" s="296"/>
      <c r="E35" s="296"/>
      <c r="F35" s="296"/>
      <c r="G35" s="296"/>
      <c r="H35" s="296"/>
      <c r="I35" s="296"/>
      <c r="J35" s="296"/>
    </row>
    <row r="36" spans="1:10" x14ac:dyDescent="0.3">
      <c r="A36" s="296"/>
      <c r="B36" s="296"/>
      <c r="C36" s="296"/>
      <c r="D36" s="296"/>
      <c r="E36" s="296"/>
      <c r="F36" s="296"/>
      <c r="G36" s="296"/>
      <c r="H36" s="296"/>
      <c r="I36" s="296"/>
      <c r="J36" s="296"/>
    </row>
    <row r="37" spans="1:10" x14ac:dyDescent="0.3">
      <c r="A37" s="296"/>
      <c r="B37" s="296"/>
      <c r="C37" s="296"/>
      <c r="D37" s="296"/>
      <c r="E37" s="296"/>
      <c r="F37" s="296"/>
      <c r="G37" s="296"/>
      <c r="H37" s="296"/>
      <c r="I37" s="296"/>
      <c r="J37" s="296"/>
    </row>
    <row r="38" spans="1:10" x14ac:dyDescent="0.3">
      <c r="A38" s="296"/>
      <c r="B38" s="296"/>
      <c r="C38" s="296"/>
      <c r="D38" s="296"/>
      <c r="E38" s="296"/>
      <c r="F38" s="296"/>
      <c r="G38" s="296"/>
      <c r="H38" s="296"/>
      <c r="I38" s="296"/>
      <c r="J38" s="296"/>
    </row>
    <row r="39" spans="1:10" x14ac:dyDescent="0.3">
      <c r="A39" s="296"/>
      <c r="B39" s="296"/>
      <c r="C39" s="296"/>
      <c r="D39" s="296"/>
      <c r="E39" s="296"/>
      <c r="F39" s="296"/>
      <c r="G39" s="296"/>
      <c r="H39" s="296"/>
      <c r="I39" s="296"/>
      <c r="J39" s="296"/>
    </row>
    <row r="40" spans="1:10" x14ac:dyDescent="0.3">
      <c r="A40" s="296"/>
      <c r="B40" s="296"/>
      <c r="C40" s="296"/>
      <c r="D40" s="296"/>
      <c r="E40" s="296"/>
      <c r="F40" s="296"/>
      <c r="G40" s="296"/>
      <c r="H40" s="296"/>
      <c r="I40" s="296"/>
      <c r="J40" s="296"/>
    </row>
    <row r="41" spans="1:10" x14ac:dyDescent="0.3">
      <c r="A41" s="296"/>
      <c r="B41" s="296"/>
      <c r="C41" s="296"/>
      <c r="D41" s="296"/>
      <c r="E41" s="296"/>
      <c r="F41" s="296"/>
      <c r="G41" s="296"/>
      <c r="H41" s="296"/>
      <c r="I41" s="296"/>
      <c r="J41" s="296"/>
    </row>
    <row r="42" spans="1:10" x14ac:dyDescent="0.3">
      <c r="A42" s="296"/>
      <c r="B42" s="296"/>
      <c r="C42" s="296"/>
      <c r="D42" s="296"/>
      <c r="E42" s="296"/>
      <c r="F42" s="296"/>
      <c r="G42" s="296"/>
      <c r="H42" s="296"/>
      <c r="I42" s="296"/>
      <c r="J42" s="296"/>
    </row>
    <row r="43" spans="1:10" x14ac:dyDescent="0.3">
      <c r="A43" s="296"/>
      <c r="B43" s="296"/>
      <c r="C43" s="296"/>
      <c r="D43" s="296"/>
      <c r="E43" s="296"/>
      <c r="F43" s="296"/>
      <c r="G43" s="296"/>
      <c r="H43" s="296"/>
      <c r="I43" s="296"/>
      <c r="J43" s="296"/>
    </row>
    <row r="44" spans="1:10" x14ac:dyDescent="0.3">
      <c r="A44" s="296"/>
      <c r="B44" s="296"/>
      <c r="C44" s="296"/>
      <c r="D44" s="296"/>
      <c r="E44" s="296"/>
      <c r="F44" s="296"/>
      <c r="G44" s="296"/>
      <c r="H44" s="296"/>
      <c r="I44" s="296"/>
      <c r="J44" s="296"/>
    </row>
    <row r="45" spans="1:10" x14ac:dyDescent="0.3">
      <c r="A45" s="296"/>
      <c r="B45" s="296"/>
      <c r="C45" s="296"/>
      <c r="D45" s="296"/>
      <c r="E45" s="296"/>
      <c r="F45" s="296"/>
      <c r="G45" s="296"/>
      <c r="H45" s="296"/>
      <c r="I45" s="296"/>
      <c r="J45" s="296"/>
    </row>
    <row r="46" spans="1:10" x14ac:dyDescent="0.3">
      <c r="A46" s="296"/>
      <c r="B46" s="296"/>
      <c r="C46" s="296"/>
      <c r="D46" s="296"/>
      <c r="E46" s="296"/>
      <c r="F46" s="296"/>
      <c r="G46" s="296"/>
      <c r="H46" s="296"/>
      <c r="I46" s="296"/>
      <c r="J46" s="296"/>
    </row>
    <row r="47" spans="1:10" x14ac:dyDescent="0.3">
      <c r="A47" s="296"/>
      <c r="B47" s="296"/>
      <c r="C47" s="296"/>
      <c r="D47" s="296"/>
      <c r="E47" s="296"/>
      <c r="F47" s="296"/>
      <c r="G47" s="296"/>
      <c r="H47" s="296"/>
      <c r="I47" s="296"/>
      <c r="J47" s="296"/>
    </row>
    <row r="48" spans="1:10" x14ac:dyDescent="0.3">
      <c r="A48" s="296"/>
      <c r="B48" s="296"/>
      <c r="C48" s="296"/>
      <c r="D48" s="296"/>
      <c r="E48" s="296"/>
      <c r="F48" s="296"/>
      <c r="G48" s="296"/>
      <c r="H48" s="296"/>
      <c r="I48" s="296"/>
      <c r="J48" s="296"/>
    </row>
    <row r="49" spans="1:10" x14ac:dyDescent="0.3">
      <c r="A49" s="296"/>
      <c r="B49" s="296"/>
      <c r="C49" s="296"/>
      <c r="D49" s="296"/>
      <c r="E49" s="296"/>
      <c r="F49" s="296"/>
      <c r="G49" s="296"/>
      <c r="H49" s="296"/>
      <c r="I49" s="296"/>
      <c r="J49" s="296"/>
    </row>
    <row r="50" spans="1:10" x14ac:dyDescent="0.3">
      <c r="A50" s="296"/>
      <c r="B50" s="296"/>
      <c r="C50" s="296"/>
      <c r="D50" s="296"/>
      <c r="E50" s="296"/>
      <c r="F50" s="296"/>
      <c r="G50" s="296"/>
      <c r="H50" s="296"/>
      <c r="I50" s="296"/>
      <c r="J50" s="296"/>
    </row>
    <row r="51" spans="1:10" x14ac:dyDescent="0.3">
      <c r="A51" s="296"/>
      <c r="B51" s="296"/>
      <c r="C51" s="296"/>
      <c r="D51" s="296"/>
      <c r="E51" s="296"/>
      <c r="F51" s="296"/>
      <c r="G51" s="296"/>
      <c r="H51" s="296"/>
      <c r="I51" s="296"/>
      <c r="J51" s="296"/>
    </row>
    <row r="52" spans="1:10" x14ac:dyDescent="0.3">
      <c r="A52" s="296"/>
      <c r="B52" s="296"/>
      <c r="C52" s="296"/>
      <c r="D52" s="296"/>
      <c r="E52" s="296"/>
      <c r="F52" s="296"/>
      <c r="G52" s="296"/>
      <c r="H52" s="296"/>
      <c r="I52" s="296"/>
      <c r="J52" s="296"/>
    </row>
    <row r="53" spans="1:10" x14ac:dyDescent="0.3">
      <c r="A53" s="296"/>
      <c r="B53" s="296"/>
      <c r="C53" s="296"/>
      <c r="D53" s="296"/>
      <c r="E53" s="296"/>
      <c r="F53" s="296"/>
      <c r="G53" s="296"/>
      <c r="H53" s="296"/>
      <c r="I53" s="296"/>
      <c r="J53" s="296"/>
    </row>
    <row r="54" spans="1:10" x14ac:dyDescent="0.3">
      <c r="A54" s="296"/>
      <c r="B54" s="296"/>
      <c r="C54" s="296"/>
      <c r="D54" s="296"/>
      <c r="E54" s="296"/>
      <c r="F54" s="296"/>
      <c r="G54" s="296"/>
      <c r="H54" s="296"/>
      <c r="I54" s="296"/>
      <c r="J54" s="296"/>
    </row>
    <row r="55" spans="1:10" x14ac:dyDescent="0.3">
      <c r="A55" s="296"/>
      <c r="B55" s="296"/>
      <c r="C55" s="296"/>
      <c r="D55" s="296"/>
      <c r="E55" s="296"/>
      <c r="F55" s="296"/>
      <c r="G55" s="296"/>
      <c r="H55" s="296"/>
      <c r="I55" s="296"/>
      <c r="J55" s="296"/>
    </row>
    <row r="56" spans="1:10" x14ac:dyDescent="0.3">
      <c r="A56" s="296"/>
      <c r="B56" s="296"/>
      <c r="C56" s="296"/>
      <c r="D56" s="296"/>
      <c r="E56" s="296"/>
      <c r="F56" s="296"/>
      <c r="G56" s="296"/>
      <c r="H56" s="296"/>
      <c r="I56" s="296"/>
      <c r="J56" s="296"/>
    </row>
    <row r="57" spans="1:10" x14ac:dyDescent="0.3">
      <c r="A57" s="296"/>
      <c r="B57" s="296"/>
      <c r="C57" s="296"/>
      <c r="D57" s="296"/>
      <c r="E57" s="296"/>
      <c r="F57" s="296"/>
      <c r="G57" s="296"/>
      <c r="H57" s="296"/>
      <c r="I57" s="296"/>
      <c r="J57" s="296"/>
    </row>
    <row r="58" spans="1:10" x14ac:dyDescent="0.3">
      <c r="A58" s="296"/>
      <c r="B58" s="296"/>
      <c r="C58" s="296"/>
      <c r="D58" s="296"/>
      <c r="E58" s="296"/>
      <c r="F58" s="296"/>
      <c r="G58" s="296"/>
      <c r="H58" s="296"/>
      <c r="I58" s="296"/>
      <c r="J58" s="296"/>
    </row>
    <row r="59" spans="1:10" x14ac:dyDescent="0.3">
      <c r="A59" s="296"/>
      <c r="B59" s="296"/>
      <c r="C59" s="296"/>
      <c r="D59" s="296"/>
      <c r="E59" s="296"/>
      <c r="F59" s="296"/>
      <c r="G59" s="296"/>
      <c r="H59" s="296"/>
      <c r="I59" s="296"/>
      <c r="J59" s="296"/>
    </row>
    <row r="60" spans="1:10" x14ac:dyDescent="0.3">
      <c r="A60" s="296"/>
      <c r="B60" s="296"/>
      <c r="C60" s="296"/>
      <c r="D60" s="296"/>
      <c r="E60" s="296"/>
      <c r="F60" s="296"/>
      <c r="G60" s="296"/>
      <c r="H60" s="296"/>
      <c r="I60" s="296"/>
      <c r="J60" s="296"/>
    </row>
  </sheetData>
  <mergeCells count="2">
    <mergeCell ref="B2:J2"/>
    <mergeCell ref="B3:J3"/>
  </mergeCells>
  <printOptions horizontalCentered="1"/>
  <pageMargins left="0.7" right="0.7" top="0.75" bottom="0.75" header="0.3" footer="0.3"/>
  <pageSetup paperSize="0" fitToHeight="0" orientation="landscape" horizontalDpi="0" verticalDpi="0" copie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64AE5-DFCF-4A95-BFCB-1F55CAB737FB}">
  <sheetPr>
    <tabColor rgb="FF4472C4"/>
    <pageSetUpPr fitToPage="1"/>
  </sheetPr>
  <dimension ref="A1:J60"/>
  <sheetViews>
    <sheetView showGridLines="0" topLeftCell="A48" workbookViewId="0">
      <selection activeCell="D11" sqref="D11"/>
    </sheetView>
  </sheetViews>
  <sheetFormatPr defaultRowHeight="14.4" x14ac:dyDescent="0.3"/>
  <cols>
    <col min="1" max="1" width="2.21875" customWidth="1"/>
    <col min="2" max="2" width="32.44140625" customWidth="1"/>
    <col min="3" max="10" width="13.33203125" customWidth="1"/>
  </cols>
  <sheetData>
    <row r="1" spans="1:10" x14ac:dyDescent="0.3">
      <c r="A1" s="296"/>
      <c r="B1" s="296"/>
      <c r="C1" s="296"/>
      <c r="D1" s="296"/>
      <c r="E1" s="296"/>
      <c r="F1" s="296"/>
      <c r="G1" s="296"/>
      <c r="H1" s="296"/>
      <c r="I1" s="296"/>
      <c r="J1" s="296"/>
    </row>
    <row r="2" spans="1:10" ht="28.05" customHeight="1" thickBot="1" x14ac:dyDescent="0.45">
      <c r="A2" s="296"/>
      <c r="B2" s="648" t="s">
        <v>2599</v>
      </c>
      <c r="C2" s="648"/>
      <c r="D2" s="648"/>
      <c r="E2" s="648"/>
      <c r="F2" s="648"/>
      <c r="G2" s="648"/>
      <c r="H2" s="648"/>
      <c r="I2" s="648"/>
      <c r="J2" s="648"/>
    </row>
    <row r="3" spans="1:10" x14ac:dyDescent="0.3">
      <c r="A3" s="296"/>
      <c r="B3" s="687" t="str">
        <f>"Capital efficiency versus peers and the EPIC research agenda  |  Scenario: "&amp;'16 Scenarios'!F6</f>
        <v>Capital efficiency versus peers and the EPIC research agenda  |  Scenario: BASE CASE</v>
      </c>
      <c r="C3" s="687"/>
      <c r="D3" s="687"/>
      <c r="E3" s="687"/>
      <c r="F3" s="687"/>
      <c r="G3" s="687"/>
      <c r="H3" s="687"/>
      <c r="I3" s="687"/>
      <c r="J3" s="687"/>
    </row>
    <row r="4" spans="1:10" x14ac:dyDescent="0.3">
      <c r="A4" s="296"/>
      <c r="B4" s="296"/>
      <c r="C4" s="296"/>
      <c r="D4" s="296"/>
      <c r="E4" s="296"/>
      <c r="F4" s="296"/>
      <c r="G4" s="296"/>
      <c r="H4" s="296"/>
      <c r="I4" s="296"/>
      <c r="J4" s="296"/>
    </row>
    <row r="5" spans="1:10" x14ac:dyDescent="0.3">
      <c r="A5" s="296"/>
      <c r="B5" s="297" t="s">
        <v>212</v>
      </c>
      <c r="C5" s="298" t="s">
        <v>221</v>
      </c>
      <c r="D5" s="298" t="s">
        <v>220</v>
      </c>
      <c r="E5" s="298" t="s">
        <v>195</v>
      </c>
      <c r="F5" s="298" t="s">
        <v>1502</v>
      </c>
      <c r="G5" s="298" t="s">
        <v>1503</v>
      </c>
      <c r="H5" s="298" t="s">
        <v>1504</v>
      </c>
      <c r="I5" s="299"/>
      <c r="J5" s="299"/>
    </row>
    <row r="6" spans="1:10" x14ac:dyDescent="0.3">
      <c r="A6" s="296"/>
      <c r="B6" s="299" t="s">
        <v>223</v>
      </c>
      <c r="C6" s="469">
        <f>'12 Peers'!K6</f>
        <v>132402</v>
      </c>
      <c r="D6" s="469">
        <f>'12 Peers'!J6</f>
        <v>53273</v>
      </c>
      <c r="E6" s="469">
        <f>'12 Peers'!D6</f>
        <v>4165415.6999999997</v>
      </c>
      <c r="F6" s="466">
        <f>'12 Peers'!F6</f>
        <v>25.56</v>
      </c>
      <c r="G6" s="467">
        <f>'12 Peers'!L6/100</f>
        <v>0.24929999999999999</v>
      </c>
      <c r="H6" s="473">
        <f t="shared" ref="H6:H11" si="0">IF(C6=0,NA(),D6/C6)</f>
        <v>0.40235797042340748</v>
      </c>
      <c r="I6" s="468"/>
      <c r="J6" s="468"/>
    </row>
    <row r="7" spans="1:10" x14ac:dyDescent="0.3">
      <c r="A7" s="296"/>
      <c r="B7" s="299" t="s">
        <v>224</v>
      </c>
      <c r="C7" s="469">
        <f>'12 Peers'!K7</f>
        <v>115950</v>
      </c>
      <c r="D7" s="469">
        <f>'12 Peers'!J7</f>
        <v>66990</v>
      </c>
      <c r="E7" s="469">
        <f>'12 Peers'!D7</f>
        <v>3930000</v>
      </c>
      <c r="F7" s="466">
        <f>'12 Peers'!F7</f>
        <v>26.75</v>
      </c>
      <c r="G7" s="467">
        <f>'12 Peers'!L7/100</f>
        <v>0.26179999999999998</v>
      </c>
      <c r="H7" s="473">
        <f t="shared" si="0"/>
        <v>0.57774902975420439</v>
      </c>
      <c r="I7" s="468"/>
      <c r="J7" s="468"/>
    </row>
    <row r="8" spans="1:10" x14ac:dyDescent="0.3">
      <c r="A8" s="296"/>
      <c r="B8" s="299" t="s">
        <v>225</v>
      </c>
      <c r="C8" s="469">
        <f>'12 Peers'!K8</f>
        <v>89330</v>
      </c>
      <c r="D8" s="469">
        <f>'12 Peers'!J8</f>
        <v>40980</v>
      </c>
      <c r="E8" s="469">
        <f>'12 Peers'!D8</f>
        <v>1810000</v>
      </c>
      <c r="F8" s="466">
        <f>'12 Peers'!F8</f>
        <v>22.19</v>
      </c>
      <c r="G8" s="467">
        <f>'12 Peers'!L8/100</f>
        <v>0.254</v>
      </c>
      <c r="H8" s="473">
        <f t="shared" si="0"/>
        <v>0.45874846076346132</v>
      </c>
      <c r="I8" s="468"/>
      <c r="J8" s="468"/>
    </row>
    <row r="9" spans="1:10" x14ac:dyDescent="0.3">
      <c r="A9" s="296"/>
      <c r="B9" s="299" t="s">
        <v>226</v>
      </c>
      <c r="C9" s="469">
        <f>'12 Peers'!K9</f>
        <v>169007</v>
      </c>
      <c r="D9" s="469">
        <f>'12 Peers'!J9</f>
        <v>-7604</v>
      </c>
      <c r="E9" s="469">
        <f>'12 Peers'!D9</f>
        <v>2700000</v>
      </c>
      <c r="F9" s="466">
        <f>'12 Peers'!F9</f>
        <v>26.58</v>
      </c>
      <c r="G9" s="467">
        <f>'12 Peers'!L9/100</f>
        <v>0.11939999999999999</v>
      </c>
      <c r="H9" s="473">
        <f t="shared" si="0"/>
        <v>-4.4992219257190533E-2</v>
      </c>
      <c r="I9" s="468"/>
      <c r="J9" s="468"/>
    </row>
    <row r="10" spans="1:10" x14ac:dyDescent="0.3">
      <c r="A10" s="296"/>
      <c r="B10" s="299" t="s">
        <v>227</v>
      </c>
      <c r="C10" s="469">
        <f>'12 Peers'!K10</f>
        <v>10040</v>
      </c>
      <c r="D10" s="469">
        <f>'12 Peers'!J10</f>
        <v>136680</v>
      </c>
      <c r="E10" s="469">
        <f>'12 Peers'!D10</f>
        <v>5010000</v>
      </c>
      <c r="F10" s="466">
        <f>'12 Peers'!F10</f>
        <v>37.340000000000003</v>
      </c>
      <c r="G10" s="467">
        <f>'12 Peers'!L10/100</f>
        <v>1.0156999999999998</v>
      </c>
      <c r="H10" s="473">
        <f t="shared" si="0"/>
        <v>13.613545816733067</v>
      </c>
      <c r="I10" s="468"/>
      <c r="J10" s="468"/>
    </row>
    <row r="11" spans="1:10" x14ac:dyDescent="0.3">
      <c r="A11" s="296"/>
      <c r="B11" s="299" t="s">
        <v>228</v>
      </c>
      <c r="C11" s="469">
        <f>'12 Peers'!K11</f>
        <v>7350</v>
      </c>
      <c r="D11" s="469">
        <f>'12 Peers'!J11</f>
        <v>127010</v>
      </c>
      <c r="E11" s="469">
        <f>'12 Peers'!D11</f>
        <v>5170000</v>
      </c>
      <c r="F11" s="466">
        <f>'12 Peers'!F11</f>
        <v>17.7</v>
      </c>
      <c r="G11" s="467">
        <f>'12 Peers'!L11/100</f>
        <v>0.92030000000000001</v>
      </c>
      <c r="H11" s="473">
        <f t="shared" si="0"/>
        <v>17.280272108843537</v>
      </c>
      <c r="I11" s="468"/>
      <c r="J11" s="468"/>
    </row>
    <row r="12" spans="1:10" x14ac:dyDescent="0.3">
      <c r="A12" s="296"/>
      <c r="B12" s="299"/>
      <c r="C12" s="468"/>
      <c r="D12" s="468"/>
      <c r="E12" s="468"/>
      <c r="F12" s="468"/>
      <c r="G12" s="468"/>
      <c r="H12" s="468"/>
      <c r="I12" s="468"/>
      <c r="J12" s="468"/>
    </row>
    <row r="13" spans="1:10" x14ac:dyDescent="0.3">
      <c r="A13" s="296"/>
      <c r="B13" s="299"/>
      <c r="C13" s="468"/>
      <c r="D13" s="468"/>
      <c r="E13" s="468"/>
      <c r="F13" s="468"/>
      <c r="G13" s="468"/>
      <c r="H13" s="468"/>
      <c r="I13" s="468"/>
      <c r="J13" s="468"/>
    </row>
    <row r="14" spans="1:10" x14ac:dyDescent="0.3">
      <c r="A14" s="296"/>
      <c r="B14" s="297" t="s">
        <v>1505</v>
      </c>
      <c r="C14" s="470" t="s">
        <v>1506</v>
      </c>
      <c r="D14" s="470" t="s">
        <v>2484</v>
      </c>
      <c r="E14" s="468"/>
      <c r="F14" s="468"/>
      <c r="G14" s="468"/>
      <c r="H14" s="468"/>
      <c r="I14" s="468"/>
      <c r="J14" s="468"/>
    </row>
    <row r="15" spans="1:10" x14ac:dyDescent="0.3">
      <c r="A15" s="296"/>
      <c r="B15" s="299" t="s">
        <v>1471</v>
      </c>
      <c r="C15" s="468">
        <f>'13 EPIC Ranking'!G6</f>
        <v>17</v>
      </c>
      <c r="D15" s="468" t="str">
        <f>'13 EPIC Ranking'!H6</f>
        <v>+1</v>
      </c>
      <c r="E15" s="468"/>
      <c r="F15" s="468"/>
      <c r="G15" s="468"/>
      <c r="H15" s="468"/>
      <c r="I15" s="468"/>
      <c r="J15" s="468"/>
    </row>
    <row r="16" spans="1:10" x14ac:dyDescent="0.3">
      <c r="A16" s="296"/>
      <c r="B16" s="299" t="s">
        <v>1472</v>
      </c>
      <c r="C16" s="468">
        <f>'13 EPIC Ranking'!G7</f>
        <v>17</v>
      </c>
      <c r="D16" s="468" t="str">
        <f>'13 EPIC Ranking'!H7</f>
        <v>0</v>
      </c>
      <c r="E16" s="468"/>
      <c r="F16" s="468"/>
      <c r="G16" s="468"/>
      <c r="H16" s="468"/>
      <c r="I16" s="468"/>
      <c r="J16" s="468"/>
    </row>
    <row r="17" spans="1:10" x14ac:dyDescent="0.3">
      <c r="A17" s="296"/>
      <c r="B17" s="299" t="s">
        <v>1473</v>
      </c>
      <c r="C17" s="468">
        <f>'13 EPIC Ranking'!G8</f>
        <v>17</v>
      </c>
      <c r="D17" s="468" t="str">
        <f>'13 EPIC Ranking'!H8</f>
        <v>-1</v>
      </c>
      <c r="E17" s="468"/>
      <c r="F17" s="468"/>
      <c r="G17" s="468"/>
      <c r="H17" s="468"/>
      <c r="I17" s="468"/>
      <c r="J17" s="468"/>
    </row>
    <row r="18" spans="1:10" x14ac:dyDescent="0.3">
      <c r="A18" s="296"/>
      <c r="B18" s="299" t="s">
        <v>1474</v>
      </c>
      <c r="C18" s="468">
        <f>'13 EPIC Ranking'!G9</f>
        <v>16</v>
      </c>
      <c r="D18" s="468" t="str">
        <f>'13 EPIC Ranking'!H9</f>
        <v>+1</v>
      </c>
      <c r="E18" s="468"/>
      <c r="F18" s="468"/>
      <c r="G18" s="468"/>
      <c r="H18" s="468"/>
      <c r="I18" s="468"/>
      <c r="J18" s="468"/>
    </row>
    <row r="19" spans="1:10" x14ac:dyDescent="0.3">
      <c r="A19" s="296"/>
      <c r="B19" s="299" t="s">
        <v>1475</v>
      </c>
      <c r="C19" s="468">
        <f>'13 EPIC Ranking'!G10</f>
        <v>15</v>
      </c>
      <c r="D19" s="468" t="str">
        <f>'13 EPIC Ranking'!H10</f>
        <v>0</v>
      </c>
      <c r="E19" s="468"/>
      <c r="F19" s="468"/>
      <c r="G19" s="468"/>
      <c r="H19" s="468"/>
      <c r="I19" s="468"/>
      <c r="J19" s="468"/>
    </row>
    <row r="20" spans="1:10" x14ac:dyDescent="0.3">
      <c r="A20" s="296"/>
      <c r="B20" s="299" t="s">
        <v>1476</v>
      </c>
      <c r="C20" s="468">
        <f>'13 EPIC Ranking'!G11</f>
        <v>13</v>
      </c>
      <c r="D20" s="468" t="str">
        <f>'13 EPIC Ranking'!H11</f>
        <v>0</v>
      </c>
      <c r="E20" s="468"/>
      <c r="F20" s="468"/>
      <c r="G20" s="468"/>
      <c r="H20" s="468"/>
      <c r="I20" s="468"/>
      <c r="J20" s="468"/>
    </row>
    <row r="21" spans="1:10" x14ac:dyDescent="0.3">
      <c r="A21" s="296"/>
      <c r="B21" s="299" t="s">
        <v>1477</v>
      </c>
      <c r="C21" s="468">
        <f>'13 EPIC Ranking'!G12</f>
        <v>13</v>
      </c>
      <c r="D21" s="468" t="str">
        <f>'13 EPIC Ranking'!H12</f>
        <v>+1</v>
      </c>
      <c r="E21" s="468"/>
      <c r="F21" s="468"/>
      <c r="G21" s="468"/>
      <c r="H21" s="468"/>
      <c r="I21" s="468"/>
      <c r="J21" s="468"/>
    </row>
    <row r="22" spans="1:10" x14ac:dyDescent="0.3">
      <c r="A22" s="296"/>
      <c r="B22" s="299" t="s">
        <v>1478</v>
      </c>
      <c r="C22" s="468">
        <f>'13 EPIC Ranking'!G13</f>
        <v>11</v>
      </c>
      <c r="D22" s="468" t="str">
        <f>'13 EPIC Ranking'!H13</f>
        <v>0</v>
      </c>
      <c r="E22" s="468"/>
      <c r="F22" s="468"/>
      <c r="G22" s="468"/>
      <c r="H22" s="468"/>
      <c r="I22" s="468"/>
      <c r="J22" s="468"/>
    </row>
    <row r="23" spans="1:10" x14ac:dyDescent="0.3">
      <c r="A23" s="296"/>
      <c r="B23" s="299"/>
      <c r="C23" s="299"/>
      <c r="D23" s="299"/>
      <c r="E23" s="299"/>
      <c r="F23" s="299"/>
      <c r="G23" s="299"/>
      <c r="H23" s="299"/>
      <c r="I23" s="299"/>
      <c r="J23" s="299"/>
    </row>
    <row r="24" spans="1:10" x14ac:dyDescent="0.3">
      <c r="A24" s="296"/>
      <c r="B24" s="299"/>
      <c r="C24" s="299"/>
      <c r="D24" s="299"/>
      <c r="E24" s="299"/>
      <c r="F24" s="299"/>
      <c r="G24" s="299"/>
      <c r="H24" s="299"/>
      <c r="I24" s="299"/>
      <c r="J24" s="299"/>
    </row>
    <row r="25" spans="1:10" x14ac:dyDescent="0.3">
      <c r="A25" s="296"/>
      <c r="B25" s="299"/>
      <c r="C25" s="299"/>
      <c r="D25" s="299"/>
      <c r="E25" s="299"/>
      <c r="F25" s="299"/>
      <c r="G25" s="299"/>
      <c r="H25" s="299"/>
      <c r="I25" s="299"/>
      <c r="J25" s="299"/>
    </row>
    <row r="26" spans="1:10" x14ac:dyDescent="0.3">
      <c r="A26" s="296"/>
      <c r="B26" s="299"/>
      <c r="C26" s="299"/>
      <c r="D26" s="299"/>
      <c r="E26" s="299"/>
      <c r="F26" s="299"/>
      <c r="G26" s="299"/>
      <c r="H26" s="299"/>
      <c r="I26" s="299"/>
      <c r="J26" s="299"/>
    </row>
    <row r="27" spans="1:10" x14ac:dyDescent="0.3">
      <c r="A27" s="296"/>
      <c r="B27" s="299"/>
      <c r="C27" s="299"/>
      <c r="D27" s="299"/>
      <c r="E27" s="299"/>
      <c r="F27" s="299"/>
      <c r="G27" s="299"/>
      <c r="H27" s="299"/>
      <c r="I27" s="299"/>
      <c r="J27" s="299"/>
    </row>
    <row r="28" spans="1:10" x14ac:dyDescent="0.3">
      <c r="A28" s="296"/>
      <c r="B28" s="299"/>
      <c r="C28" s="299"/>
      <c r="D28" s="299"/>
      <c r="E28" s="299"/>
      <c r="F28" s="299"/>
      <c r="G28" s="299"/>
      <c r="H28" s="299"/>
      <c r="I28" s="299"/>
      <c r="J28" s="299"/>
    </row>
    <row r="29" spans="1:10" x14ac:dyDescent="0.3">
      <c r="A29" s="296"/>
      <c r="B29" s="299"/>
      <c r="C29" s="299"/>
      <c r="D29" s="299"/>
      <c r="E29" s="299"/>
      <c r="F29" s="299"/>
      <c r="G29" s="299"/>
      <c r="H29" s="299"/>
      <c r="I29" s="299"/>
      <c r="J29" s="299"/>
    </row>
    <row r="30" spans="1:10" x14ac:dyDescent="0.3">
      <c r="A30" s="296"/>
      <c r="B30" s="300"/>
      <c r="C30" s="300"/>
      <c r="D30" s="300"/>
      <c r="E30" s="300"/>
      <c r="F30" s="300"/>
      <c r="G30" s="300"/>
      <c r="H30" s="300"/>
      <c r="I30" s="300"/>
      <c r="J30" s="300"/>
    </row>
    <row r="31" spans="1:10" x14ac:dyDescent="0.3">
      <c r="A31" s="296"/>
      <c r="B31" s="296"/>
      <c r="C31" s="296"/>
      <c r="D31" s="296"/>
      <c r="E31" s="296"/>
      <c r="F31" s="296"/>
      <c r="G31" s="296"/>
      <c r="H31" s="296"/>
      <c r="I31" s="296"/>
      <c r="J31" s="296"/>
    </row>
    <row r="32" spans="1:10" x14ac:dyDescent="0.3">
      <c r="A32" s="296"/>
      <c r="B32" s="296"/>
      <c r="C32" s="296"/>
      <c r="D32" s="296"/>
      <c r="E32" s="296"/>
      <c r="F32" s="296"/>
      <c r="G32" s="296"/>
      <c r="H32" s="296"/>
      <c r="I32" s="296"/>
      <c r="J32" s="296"/>
    </row>
    <row r="33" spans="1:10" x14ac:dyDescent="0.3">
      <c r="A33" s="296"/>
      <c r="B33" s="296"/>
      <c r="C33" s="296"/>
      <c r="D33" s="296"/>
      <c r="E33" s="296"/>
      <c r="F33" s="296"/>
      <c r="G33" s="296"/>
      <c r="H33" s="296"/>
      <c r="I33" s="296"/>
      <c r="J33" s="296"/>
    </row>
    <row r="34" spans="1:10" x14ac:dyDescent="0.3">
      <c r="A34" s="296"/>
      <c r="B34" s="296"/>
      <c r="C34" s="296"/>
      <c r="D34" s="296"/>
      <c r="E34" s="296"/>
      <c r="F34" s="296"/>
      <c r="G34" s="296"/>
      <c r="H34" s="296"/>
      <c r="I34" s="296"/>
      <c r="J34" s="296"/>
    </row>
    <row r="35" spans="1:10" x14ac:dyDescent="0.3">
      <c r="A35" s="296"/>
      <c r="B35" s="296"/>
      <c r="C35" s="296"/>
      <c r="D35" s="296"/>
      <c r="E35" s="296"/>
      <c r="F35" s="296"/>
      <c r="G35" s="296"/>
      <c r="H35" s="296"/>
      <c r="I35" s="296"/>
      <c r="J35" s="296"/>
    </row>
    <row r="36" spans="1:10" x14ac:dyDescent="0.3">
      <c r="A36" s="296"/>
      <c r="B36" s="296"/>
      <c r="C36" s="296"/>
      <c r="D36" s="296"/>
      <c r="E36" s="296"/>
      <c r="F36" s="296"/>
      <c r="G36" s="296"/>
      <c r="H36" s="296"/>
      <c r="I36" s="296"/>
      <c r="J36" s="296"/>
    </row>
    <row r="37" spans="1:10" x14ac:dyDescent="0.3">
      <c r="A37" s="296"/>
      <c r="B37" s="296"/>
      <c r="C37" s="296"/>
      <c r="D37" s="296"/>
      <c r="E37" s="296"/>
      <c r="F37" s="296"/>
      <c r="G37" s="296"/>
      <c r="H37" s="296"/>
      <c r="I37" s="296"/>
      <c r="J37" s="296"/>
    </row>
    <row r="38" spans="1:10" x14ac:dyDescent="0.3">
      <c r="A38" s="296"/>
      <c r="B38" s="296"/>
      <c r="C38" s="296"/>
      <c r="D38" s="296"/>
      <c r="E38" s="296"/>
      <c r="F38" s="296"/>
      <c r="G38" s="296"/>
      <c r="H38" s="296"/>
      <c r="I38" s="296"/>
      <c r="J38" s="296"/>
    </row>
    <row r="39" spans="1:10" x14ac:dyDescent="0.3">
      <c r="A39" s="296"/>
      <c r="B39" s="296"/>
      <c r="C39" s="296"/>
      <c r="D39" s="296"/>
      <c r="E39" s="296"/>
      <c r="F39" s="296"/>
      <c r="G39" s="296"/>
      <c r="H39" s="296"/>
      <c r="I39" s="296"/>
      <c r="J39" s="296"/>
    </row>
    <row r="40" spans="1:10" x14ac:dyDescent="0.3">
      <c r="A40" s="296"/>
      <c r="B40" s="296"/>
      <c r="C40" s="296"/>
      <c r="D40" s="296"/>
      <c r="E40" s="296"/>
      <c r="F40" s="296"/>
      <c r="G40" s="296"/>
      <c r="H40" s="296"/>
      <c r="I40" s="296"/>
      <c r="J40" s="296"/>
    </row>
    <row r="41" spans="1:10" x14ac:dyDescent="0.3">
      <c r="A41" s="296"/>
      <c r="B41" s="296"/>
      <c r="C41" s="296"/>
      <c r="D41" s="296"/>
      <c r="E41" s="296"/>
      <c r="F41" s="296"/>
      <c r="G41" s="296"/>
      <c r="H41" s="296"/>
      <c r="I41" s="296"/>
      <c r="J41" s="296"/>
    </row>
    <row r="42" spans="1:10" x14ac:dyDescent="0.3">
      <c r="A42" s="296"/>
      <c r="B42" s="296"/>
      <c r="C42" s="296"/>
      <c r="D42" s="296"/>
      <c r="E42" s="296"/>
      <c r="F42" s="296"/>
      <c r="G42" s="296"/>
      <c r="H42" s="296"/>
      <c r="I42" s="296"/>
      <c r="J42" s="296"/>
    </row>
    <row r="43" spans="1:10" x14ac:dyDescent="0.3">
      <c r="A43" s="296"/>
      <c r="B43" s="296"/>
      <c r="C43" s="296"/>
      <c r="D43" s="296"/>
      <c r="E43" s="296"/>
      <c r="F43" s="296"/>
      <c r="G43" s="296"/>
      <c r="H43" s="296"/>
      <c r="I43" s="296"/>
      <c r="J43" s="296"/>
    </row>
    <row r="44" spans="1:10" x14ac:dyDescent="0.3">
      <c r="A44" s="296"/>
      <c r="B44" s="296"/>
      <c r="C44" s="296"/>
      <c r="D44" s="296"/>
      <c r="E44" s="296"/>
      <c r="F44" s="296"/>
      <c r="G44" s="296"/>
      <c r="H44" s="296"/>
      <c r="I44" s="296"/>
      <c r="J44" s="296"/>
    </row>
    <row r="45" spans="1:10" x14ac:dyDescent="0.3">
      <c r="A45" s="296"/>
      <c r="B45" s="296"/>
      <c r="C45" s="296"/>
      <c r="D45" s="296"/>
      <c r="E45" s="296"/>
      <c r="F45" s="296"/>
      <c r="G45" s="296"/>
      <c r="H45" s="296"/>
      <c r="I45" s="296"/>
      <c r="J45" s="296"/>
    </row>
    <row r="46" spans="1:10" x14ac:dyDescent="0.3">
      <c r="A46" s="296"/>
      <c r="B46" s="296"/>
      <c r="C46" s="296"/>
      <c r="D46" s="296"/>
      <c r="E46" s="296"/>
      <c r="F46" s="296"/>
      <c r="G46" s="296"/>
      <c r="H46" s="296"/>
      <c r="I46" s="296"/>
      <c r="J46" s="296"/>
    </row>
    <row r="47" spans="1:10" x14ac:dyDescent="0.3">
      <c r="A47" s="296"/>
      <c r="B47" s="296"/>
      <c r="C47" s="296"/>
      <c r="D47" s="296"/>
      <c r="E47" s="296"/>
      <c r="F47" s="296"/>
      <c r="G47" s="296"/>
      <c r="H47" s="296"/>
      <c r="I47" s="296"/>
      <c r="J47" s="296"/>
    </row>
    <row r="48" spans="1:10" x14ac:dyDescent="0.3">
      <c r="A48" s="296"/>
      <c r="B48" s="296"/>
      <c r="C48" s="296"/>
      <c r="D48" s="296"/>
      <c r="E48" s="296"/>
      <c r="F48" s="296"/>
      <c r="G48" s="296"/>
      <c r="H48" s="296"/>
      <c r="I48" s="296"/>
      <c r="J48" s="296"/>
    </row>
    <row r="49" spans="1:10" x14ac:dyDescent="0.3">
      <c r="A49" s="296"/>
      <c r="B49" s="296"/>
      <c r="C49" s="296"/>
      <c r="D49" s="296"/>
      <c r="E49" s="296"/>
      <c r="F49" s="296"/>
      <c r="G49" s="296"/>
      <c r="H49" s="296"/>
      <c r="I49" s="296"/>
      <c r="J49" s="296"/>
    </row>
    <row r="50" spans="1:10" x14ac:dyDescent="0.3">
      <c r="A50" s="296"/>
      <c r="B50" s="296"/>
      <c r="C50" s="296"/>
      <c r="D50" s="296"/>
      <c r="E50" s="296"/>
      <c r="F50" s="296"/>
      <c r="G50" s="296"/>
      <c r="H50" s="296"/>
      <c r="I50" s="296"/>
      <c r="J50" s="296"/>
    </row>
    <row r="51" spans="1:10" x14ac:dyDescent="0.3">
      <c r="A51" s="296"/>
      <c r="B51" s="296"/>
      <c r="C51" s="296"/>
      <c r="D51" s="296"/>
      <c r="E51" s="296"/>
      <c r="F51" s="296"/>
      <c r="G51" s="296"/>
      <c r="H51" s="296"/>
      <c r="I51" s="296"/>
      <c r="J51" s="296"/>
    </row>
    <row r="52" spans="1:10" x14ac:dyDescent="0.3">
      <c r="A52" s="296"/>
      <c r="B52" s="296"/>
      <c r="C52" s="296"/>
      <c r="D52" s="296"/>
      <c r="E52" s="296"/>
      <c r="F52" s="296"/>
      <c r="G52" s="296"/>
      <c r="H52" s="296"/>
      <c r="I52" s="296"/>
      <c r="J52" s="296"/>
    </row>
    <row r="53" spans="1:10" x14ac:dyDescent="0.3">
      <c r="A53" s="296"/>
      <c r="B53" s="296"/>
      <c r="C53" s="296"/>
      <c r="D53" s="296"/>
      <c r="E53" s="296"/>
      <c r="F53" s="296"/>
      <c r="G53" s="296"/>
      <c r="H53" s="296"/>
      <c r="I53" s="296"/>
      <c r="J53" s="296"/>
    </row>
    <row r="54" spans="1:10" x14ac:dyDescent="0.3">
      <c r="A54" s="296"/>
      <c r="B54" s="296"/>
      <c r="C54" s="296"/>
      <c r="D54" s="296"/>
      <c r="E54" s="296"/>
      <c r="F54" s="296"/>
      <c r="G54" s="296"/>
      <c r="H54" s="296"/>
      <c r="I54" s="296"/>
      <c r="J54" s="296"/>
    </row>
    <row r="55" spans="1:10" x14ac:dyDescent="0.3">
      <c r="A55" s="296"/>
      <c r="B55" s="296"/>
      <c r="C55" s="296"/>
      <c r="D55" s="296"/>
      <c r="E55" s="296"/>
      <c r="F55" s="296"/>
      <c r="G55" s="296"/>
      <c r="H55" s="296"/>
      <c r="I55" s="296"/>
      <c r="J55" s="296"/>
    </row>
    <row r="56" spans="1:10" x14ac:dyDescent="0.3">
      <c r="A56" s="296"/>
      <c r="B56" s="296"/>
      <c r="C56" s="296"/>
      <c r="D56" s="296"/>
      <c r="E56" s="296"/>
      <c r="F56" s="296"/>
      <c r="G56" s="296"/>
      <c r="H56" s="296"/>
      <c r="I56" s="296"/>
      <c r="J56" s="296"/>
    </row>
    <row r="57" spans="1:10" x14ac:dyDescent="0.3">
      <c r="A57" s="296"/>
      <c r="B57" s="296"/>
      <c r="C57" s="296"/>
      <c r="D57" s="296"/>
      <c r="E57" s="296"/>
      <c r="F57" s="296"/>
      <c r="G57" s="296"/>
      <c r="H57" s="296"/>
      <c r="I57" s="296"/>
      <c r="J57" s="296"/>
    </row>
    <row r="58" spans="1:10" x14ac:dyDescent="0.3">
      <c r="A58" s="296"/>
      <c r="B58" s="296"/>
      <c r="C58" s="296"/>
      <c r="D58" s="296"/>
      <c r="E58" s="296"/>
      <c r="F58" s="296"/>
      <c r="G58" s="296"/>
      <c r="H58" s="296"/>
      <c r="I58" s="296"/>
      <c r="J58" s="296"/>
    </row>
    <row r="59" spans="1:10" x14ac:dyDescent="0.3">
      <c r="A59" s="296"/>
      <c r="B59" s="296"/>
      <c r="C59" s="296"/>
      <c r="D59" s="296"/>
      <c r="E59" s="296"/>
      <c r="F59" s="296"/>
      <c r="G59" s="296"/>
      <c r="H59" s="296"/>
      <c r="I59" s="296"/>
      <c r="J59" s="296"/>
    </row>
    <row r="60" spans="1:10" x14ac:dyDescent="0.3">
      <c r="A60" s="296"/>
      <c r="B60" s="296"/>
      <c r="C60" s="296"/>
      <c r="D60" s="296"/>
      <c r="E60" s="296"/>
      <c r="F60" s="296"/>
      <c r="G60" s="296"/>
      <c r="H60" s="296"/>
      <c r="I60" s="296"/>
      <c r="J60" s="296"/>
    </row>
  </sheetData>
  <mergeCells count="2">
    <mergeCell ref="B2:J2"/>
    <mergeCell ref="B3:J3"/>
  </mergeCells>
  <printOptions horizontalCentered="1"/>
  <pageMargins left="0.7" right="0.7" top="0.75" bottom="0.75" header="0.3" footer="0.3"/>
  <pageSetup paperSize="0" fitToHeight="0" orientation="landscape" horizontalDpi="0" verticalDpi="0" copie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EE0A-146C-4AD9-A3C5-AD9941445F30}">
  <sheetPr>
    <tabColor rgb="FF6B2D5C"/>
    <pageSetUpPr fitToPage="1"/>
  </sheetPr>
  <dimension ref="B1:F31"/>
  <sheetViews>
    <sheetView showGridLines="0" workbookViewId="0">
      <pane xSplit="2" ySplit="5" topLeftCell="C6" activePane="bottomRight" state="frozen"/>
      <selection pane="topRight" activeCell="C1" sqref="C1"/>
      <selection pane="bottomLeft" activeCell="A6" sqref="A6"/>
      <selection pane="bottomRight" activeCell="E17" sqref="E17"/>
    </sheetView>
  </sheetViews>
  <sheetFormatPr defaultRowHeight="14.4" x14ac:dyDescent="0.3"/>
  <cols>
    <col min="1" max="1" width="3.33203125" customWidth="1"/>
    <col min="2" max="2" width="39.77734375" bestFit="1" customWidth="1"/>
    <col min="3" max="3" width="79.6640625" customWidth="1"/>
    <col min="4" max="4" width="20.33203125" customWidth="1"/>
    <col min="5" max="5" width="27.77734375" customWidth="1"/>
    <col min="6" max="6" width="20.33203125" customWidth="1"/>
  </cols>
  <sheetData>
    <row r="1" spans="2:6" ht="6" customHeight="1" x14ac:dyDescent="0.3"/>
    <row r="2" spans="2:6" ht="28.05" customHeight="1" thickBot="1" x14ac:dyDescent="0.45">
      <c r="B2" s="396" t="s">
        <v>2600</v>
      </c>
      <c r="C2" s="396"/>
      <c r="D2" s="396"/>
      <c r="E2" s="396"/>
      <c r="F2" s="396"/>
    </row>
    <row r="3" spans="2:6" ht="28.05" customHeight="1" thickBot="1" x14ac:dyDescent="0.35">
      <c r="B3" s="301" t="s">
        <v>821</v>
      </c>
      <c r="C3" s="4"/>
      <c r="D3" s="4"/>
      <c r="E3" s="4"/>
      <c r="F3" s="4"/>
    </row>
    <row r="4" spans="2:6" x14ac:dyDescent="0.3">
      <c r="B4" s="1"/>
      <c r="C4" s="1"/>
      <c r="D4" s="1"/>
      <c r="E4" s="1"/>
      <c r="F4" s="1"/>
    </row>
    <row r="5" spans="2:6" ht="18" customHeight="1" x14ac:dyDescent="0.3">
      <c r="B5" s="16" t="s">
        <v>848</v>
      </c>
      <c r="C5" s="16" t="s">
        <v>822</v>
      </c>
      <c r="D5" s="16" t="s">
        <v>823</v>
      </c>
      <c r="E5" s="16" t="s">
        <v>824</v>
      </c>
      <c r="F5" s="16" t="s">
        <v>825</v>
      </c>
    </row>
    <row r="6" spans="2:6" x14ac:dyDescent="0.3">
      <c r="B6" s="474">
        <v>1</v>
      </c>
      <c r="C6" s="251" t="s">
        <v>826</v>
      </c>
      <c r="D6" s="176">
        <f>'01 Income Statement'!E6-'01 Income Statement'!E11</f>
        <v>129039</v>
      </c>
      <c r="E6" s="176">
        <f>'01 Income Statement'!E12</f>
        <v>129039</v>
      </c>
      <c r="F6" s="252" t="str">
        <f t="shared" ref="F6:F11" si="0">IF(ABS(D6-E6)&lt;=MAX(0.000000001,ABS(E6)*0.000000001),"TIES","DOES NOT TIE")</f>
        <v>TIES</v>
      </c>
    </row>
    <row r="7" spans="2:6" x14ac:dyDescent="0.3">
      <c r="B7" s="475">
        <v>2</v>
      </c>
      <c r="C7" s="253" t="s">
        <v>827</v>
      </c>
      <c r="D7" s="137">
        <f>'01 Income Statement'!E6+'02 Quarterly'!D7+'02 Quarterly'!D23-'02 Quarterly'!C7-'02 Quarterly'!C23</f>
        <v>445866</v>
      </c>
      <c r="E7" s="137">
        <f>'01 Income Statement'!G6</f>
        <v>445866</v>
      </c>
      <c r="F7" s="254" t="str">
        <f t="shared" si="0"/>
        <v>TIES</v>
      </c>
    </row>
    <row r="8" spans="2:6" x14ac:dyDescent="0.3">
      <c r="B8" s="474">
        <v>3</v>
      </c>
      <c r="C8" s="251" t="s">
        <v>828</v>
      </c>
      <c r="D8" s="176">
        <f>'01 Income Statement'!E18+'02 Quarterly'!D16+'02 Quarterly'!D36-'02 Quarterly'!C16-'02 Quarterly'!C36</f>
        <v>244205</v>
      </c>
      <c r="E8" s="176">
        <f>'01 Income Statement'!G18</f>
        <v>244205</v>
      </c>
      <c r="F8" s="252" t="str">
        <f t="shared" si="0"/>
        <v>TIES</v>
      </c>
    </row>
    <row r="9" spans="2:6" x14ac:dyDescent="0.3">
      <c r="B9" s="475">
        <v>4</v>
      </c>
      <c r="C9" s="253" t="s">
        <v>829</v>
      </c>
      <c r="D9" s="137">
        <f>'02 Quarterly'!D23-'02 Quarterly'!D24-'02 Quarterly'!D25-'02 Quarterly'!D26-'02 Quarterly'!D27</f>
        <v>40770</v>
      </c>
      <c r="E9" s="137">
        <f>'02 Quarterly'!D28</f>
        <v>40770</v>
      </c>
      <c r="F9" s="254" t="str">
        <f t="shared" si="0"/>
        <v>TIES</v>
      </c>
    </row>
    <row r="10" spans="2:6" x14ac:dyDescent="0.3">
      <c r="B10" s="474">
        <v>5</v>
      </c>
      <c r="C10" s="251" t="s">
        <v>830</v>
      </c>
      <c r="D10" s="176">
        <f>'02 Quarterly'!D30-'02 Quarterly'!D31</f>
        <v>-1048</v>
      </c>
      <c r="E10" s="176">
        <f>'02 Quarterly'!D32</f>
        <v>-1048</v>
      </c>
      <c r="F10" s="252" t="str">
        <f t="shared" si="0"/>
        <v>TIES</v>
      </c>
    </row>
    <row r="11" spans="2:6" x14ac:dyDescent="0.3">
      <c r="B11" s="475">
        <v>6</v>
      </c>
      <c r="C11" s="253" t="s">
        <v>831</v>
      </c>
      <c r="D11" s="137">
        <f>'06 Core EPS Bridge'!I10/'06 Core EPS Bridge'!I11</f>
        <v>2.7588358111950599</v>
      </c>
      <c r="E11" s="137">
        <f>'06 Core EPS Bridge'!I12</f>
        <v>2.7588358111950599</v>
      </c>
      <c r="F11" s="254" t="str">
        <f t="shared" si="0"/>
        <v>TIES</v>
      </c>
    </row>
    <row r="12" spans="2:6" x14ac:dyDescent="0.3">
      <c r="B12" s="474">
        <v>7</v>
      </c>
      <c r="C12" s="251" t="s">
        <v>2004</v>
      </c>
      <c r="D12" s="176">
        <f>('02 Quarterly'!D16+'02 Quarterly'!D36-86)/'05 Capital Structure'!C16</f>
        <v>14.232116669382435</v>
      </c>
      <c r="E12" s="176">
        <f>'06 Core EPS Bridge'!J13</f>
        <v>14.24</v>
      </c>
      <c r="F12" s="252" t="str">
        <f>IF(ABS(D12-E12)&lt;=0.015,"TIES","DOES NOT TIE")</f>
        <v>TIES</v>
      </c>
    </row>
    <row r="13" spans="2:6" x14ac:dyDescent="0.3">
      <c r="B13" s="475">
        <v>8</v>
      </c>
      <c r="C13" s="253" t="s">
        <v>832</v>
      </c>
      <c r="D13" s="137">
        <f>'06 Core EPS Bridge'!E12-'06 Core EPS Bridge'!F12-'06 Core EPS Bridge'!H12+'06 Core EPS Bridge'!J12</f>
        <v>10.329481356250701</v>
      </c>
      <c r="E13" s="137">
        <f>'06 Core EPS Bridge'!D17</f>
        <v>10.329481356250701</v>
      </c>
      <c r="F13" s="254" t="str">
        <f t="shared" ref="F13:F31" si="1">IF(ABS(D13-E13)&lt;=MAX(0.000000001,ABS(E13)*0.000000001),"TIES","DOES NOT TIE")</f>
        <v>TIES</v>
      </c>
    </row>
    <row r="14" spans="2:6" x14ac:dyDescent="0.3">
      <c r="B14" s="474">
        <v>9</v>
      </c>
      <c r="C14" s="251" t="s">
        <v>833</v>
      </c>
      <c r="D14" s="176">
        <f>'03 Segments'!E12+'03 Segments'!E13+'03 Segments'!E14+'03 Segments'!E15</f>
        <v>402836</v>
      </c>
      <c r="E14" s="176">
        <f>'03 Segments'!E16</f>
        <v>402836</v>
      </c>
      <c r="F14" s="252" t="str">
        <f t="shared" si="1"/>
        <v>TIES</v>
      </c>
    </row>
    <row r="15" spans="2:6" x14ac:dyDescent="0.3">
      <c r="B15" s="475">
        <v>10</v>
      </c>
      <c r="C15" s="253" t="s">
        <v>834</v>
      </c>
      <c r="D15" s="137">
        <f>'03 Segments'!I20+'03 Segments'!I21+'03 Segments'!I22+'03 Segments'!I23</f>
        <v>40770</v>
      </c>
      <c r="E15" s="137">
        <f>'03 Segments'!I24</f>
        <v>40770</v>
      </c>
      <c r="F15" s="254" t="str">
        <f t="shared" si="1"/>
        <v>TIES</v>
      </c>
    </row>
    <row r="16" spans="2:6" x14ac:dyDescent="0.3">
      <c r="B16" s="474">
        <v>11</v>
      </c>
      <c r="C16" s="251" t="s">
        <v>835</v>
      </c>
      <c r="D16" s="176">
        <f>'04 Balance Sheet'!G6+'04 Balance Sheet'!G7</f>
        <v>242474</v>
      </c>
      <c r="E16" s="176">
        <f>'04 Balance Sheet'!G8</f>
        <v>242474</v>
      </c>
      <c r="F16" s="252" t="str">
        <f t="shared" si="1"/>
        <v>TIES</v>
      </c>
    </row>
    <row r="17" spans="2:6" x14ac:dyDescent="0.3">
      <c r="B17" s="475">
        <v>12</v>
      </c>
      <c r="C17" s="253" t="s">
        <v>836</v>
      </c>
      <c r="D17" s="137">
        <f>'04 Balance Sheet'!G8-'04 Balance Sheet'!G17</f>
        <v>139720</v>
      </c>
      <c r="E17" s="137">
        <f>'04 Balance Sheet'!G22</f>
        <v>139720</v>
      </c>
      <c r="F17" s="254" t="str">
        <f t="shared" si="1"/>
        <v>TIES</v>
      </c>
    </row>
    <row r="18" spans="2:6" x14ac:dyDescent="0.3">
      <c r="B18" s="474">
        <v>13</v>
      </c>
      <c r="C18" s="251" t="s">
        <v>837</v>
      </c>
      <c r="D18" s="176">
        <f>'04 Balance Sheet'!E18+'04 Balance Sheet'!E19</f>
        <v>595281</v>
      </c>
      <c r="E18" s="176">
        <f>'04 Balance Sheet'!E14</f>
        <v>595281</v>
      </c>
      <c r="F18" s="252" t="str">
        <f t="shared" si="1"/>
        <v>TIES</v>
      </c>
    </row>
    <row r="19" spans="2:6" x14ac:dyDescent="0.3">
      <c r="B19" s="475">
        <v>14</v>
      </c>
      <c r="C19" s="253" t="s">
        <v>838</v>
      </c>
      <c r="D19" s="137">
        <f>'09 Cash Flow'!G9+'09 Cash Flow'!G10</f>
        <v>53273</v>
      </c>
      <c r="E19" s="137">
        <f>'09 Cash Flow'!G11</f>
        <v>53273</v>
      </c>
      <c r="F19" s="254" t="str">
        <f t="shared" si="1"/>
        <v>TIES</v>
      </c>
    </row>
    <row r="20" spans="2:6" x14ac:dyDescent="0.3">
      <c r="B20" s="474">
        <v>15</v>
      </c>
      <c r="C20" s="251" t="s">
        <v>839</v>
      </c>
      <c r="D20" s="176">
        <f>'09 Cash Flow'!E19+'09 Cash Flow'!E20</f>
        <v>-5855</v>
      </c>
      <c r="E20" s="176">
        <f>'09 Cash Flow'!E21</f>
        <v>-5855</v>
      </c>
      <c r="F20" s="252" t="str">
        <f t="shared" si="1"/>
        <v>TIES</v>
      </c>
    </row>
    <row r="21" spans="2:6" x14ac:dyDescent="0.3">
      <c r="B21" s="475">
        <v>16</v>
      </c>
      <c r="C21" s="253" t="s">
        <v>840</v>
      </c>
      <c r="D21" s="137">
        <f>'08 PPE and Depreciation'!E10+'08 PPE and Depreciation'!E11</f>
        <v>321212</v>
      </c>
      <c r="E21" s="137">
        <f>'08 PPE and Depreciation'!E12</f>
        <v>321212</v>
      </c>
      <c r="F21" s="254" t="str">
        <f t="shared" si="1"/>
        <v>TIES</v>
      </c>
    </row>
    <row r="22" spans="2:6" x14ac:dyDescent="0.3">
      <c r="B22" s="474">
        <v>17</v>
      </c>
      <c r="C22" s="251" t="s">
        <v>841</v>
      </c>
      <c r="D22" s="176">
        <f>'08 PPE and Depreciation'!E6+'08 PPE and Depreciation'!E7+'08 PPE and Depreciation'!E8+'08 PPE and Depreciation'!E9</f>
        <v>427124</v>
      </c>
      <c r="E22" s="176">
        <f>'08 PPE and Depreciation'!E10</f>
        <v>427124</v>
      </c>
      <c r="F22" s="252" t="str">
        <f t="shared" si="1"/>
        <v>TIES</v>
      </c>
    </row>
    <row r="23" spans="2:6" x14ac:dyDescent="0.3">
      <c r="B23" s="475">
        <v>18</v>
      </c>
      <c r="C23" s="253" t="s">
        <v>842</v>
      </c>
      <c r="D23" s="137">
        <f>'05 Capital Structure'!C6+'05 Capital Structure'!C7+'05 Capital Structure'!C8</f>
        <v>49500</v>
      </c>
      <c r="E23" s="137">
        <f>'05 Capital Structure'!C9</f>
        <v>49500</v>
      </c>
      <c r="F23" s="254" t="str">
        <f t="shared" si="1"/>
        <v>TIES</v>
      </c>
    </row>
    <row r="24" spans="2:6" x14ac:dyDescent="0.3">
      <c r="B24" s="474">
        <v>19</v>
      </c>
      <c r="C24" s="251" t="s">
        <v>843</v>
      </c>
      <c r="D24" s="176">
        <f>'05 Capital Structure'!C7*0.0625</f>
        <v>1187.5</v>
      </c>
      <c r="E24" s="176">
        <f>'05 Capital Structure'!C24</f>
        <v>1187.5</v>
      </c>
      <c r="F24" s="252" t="str">
        <f t="shared" si="1"/>
        <v>TIES</v>
      </c>
    </row>
    <row r="25" spans="2:6" x14ac:dyDescent="0.3">
      <c r="B25" s="475">
        <v>20</v>
      </c>
      <c r="C25" s="253" t="s">
        <v>844</v>
      </c>
      <c r="D25" s="137">
        <f>'11 Valuation'!C6/'11 Valuation'!C22</f>
        <v>17.089312594079278</v>
      </c>
      <c r="E25" s="137">
        <f>'11 Valuation'!C11</f>
        <v>17.089312594079278</v>
      </c>
      <c r="F25" s="254" t="str">
        <f t="shared" si="1"/>
        <v>TIES</v>
      </c>
    </row>
    <row r="26" spans="2:6" x14ac:dyDescent="0.3">
      <c r="B26" s="474">
        <v>21</v>
      </c>
      <c r="C26" s="251" t="s">
        <v>845</v>
      </c>
      <c r="D26" s="176">
        <f>'11 Valuation'!C6/'06 Core EPS Bridge'!D17</f>
        <v>32.972613847054191</v>
      </c>
      <c r="E26" s="176">
        <f>'11 Valuation'!C12</f>
        <v>32.972613847054191</v>
      </c>
      <c r="F26" s="252" t="str">
        <f t="shared" si="1"/>
        <v>TIES</v>
      </c>
    </row>
    <row r="27" spans="2:6" x14ac:dyDescent="0.3">
      <c r="B27" s="475">
        <v>22</v>
      </c>
      <c r="C27" s="253" t="s">
        <v>846</v>
      </c>
      <c r="D27" s="137">
        <f>'11 Valuation'!C6/'07 Consensus'!C6</f>
        <v>16.533495145631065</v>
      </c>
      <c r="E27" s="137">
        <f>'11 Valuation'!C13</f>
        <v>16.533495145631065</v>
      </c>
      <c r="F27" s="254" t="str">
        <f t="shared" si="1"/>
        <v>TIES</v>
      </c>
    </row>
    <row r="28" spans="2:6" x14ac:dyDescent="0.3">
      <c r="B28" s="474">
        <v>23</v>
      </c>
      <c r="C28" s="251" t="s">
        <v>847</v>
      </c>
      <c r="D28" s="176">
        <f>'11 Valuation'!C6/'06 Core EPS Bridge'!D18</f>
        <v>28.818094415724342</v>
      </c>
      <c r="E28" s="176">
        <f>'11 Valuation'!C14</f>
        <v>28.818094415724342</v>
      </c>
      <c r="F28" s="252" t="str">
        <f t="shared" si="1"/>
        <v>TIES</v>
      </c>
    </row>
    <row r="29" spans="2:6" x14ac:dyDescent="0.3">
      <c r="B29" s="475">
        <v>24</v>
      </c>
      <c r="C29" s="253" t="s">
        <v>1114</v>
      </c>
      <c r="D29" s="137">
        <f>'07 Consensus'!C6*'05 Capital Structure'!C16/'07 Consensus'!C7*100</f>
        <v>50.763813042081594</v>
      </c>
      <c r="E29" s="137">
        <f>'07 Consensus'!C9</f>
        <v>50.763813042081594</v>
      </c>
      <c r="F29" s="254" t="str">
        <f t="shared" si="1"/>
        <v>TIES</v>
      </c>
    </row>
    <row r="30" spans="2:6" ht="28.05" customHeight="1" x14ac:dyDescent="0.3">
      <c r="B30" s="474">
        <v>25</v>
      </c>
      <c r="C30" s="321" t="s">
        <v>1115</v>
      </c>
      <c r="D30" s="176">
        <f>IF(AND('07 Consensus'!C27&gt;='07 Consensus'!C26,'07 Consensus'!C27&lt;='07 Consensus'!C28),'07 Consensus'!C27,-999)</f>
        <v>20.6</v>
      </c>
      <c r="E30" s="176">
        <f>'07 Consensus'!C6</f>
        <v>20.6</v>
      </c>
      <c r="F30" s="252" t="str">
        <f t="shared" si="1"/>
        <v>TIES</v>
      </c>
    </row>
    <row r="31" spans="2:6" x14ac:dyDescent="0.3">
      <c r="B31" s="475">
        <v>26</v>
      </c>
      <c r="C31" s="253" t="s">
        <v>2670</v>
      </c>
      <c r="D31" s="137">
        <f>SUM('13 EPIC Ranking'!C6:F6)</f>
        <v>17</v>
      </c>
      <c r="E31" s="137">
        <f>'13 EPIC Ranking'!G6</f>
        <v>17</v>
      </c>
      <c r="F31" s="254" t="str">
        <f t="shared" si="1"/>
        <v>TIES</v>
      </c>
    </row>
  </sheetData>
  <conditionalFormatting sqref="F6:F31">
    <cfRule type="containsText" dxfId="5" priority="1" operator="containsText" text="TIES">
      <formula>NOT(ISERROR(SEARCH("TIES",F6)))</formula>
    </cfRule>
    <cfRule type="containsText" dxfId="4" priority="2" operator="containsText" text="DOES NOT TIE">
      <formula>NOT(ISERROR(SEARCH("DOES NOT TIE",F6)))</formula>
    </cfRule>
  </conditionalFormatting>
  <printOptions horizontalCentered="1"/>
  <pageMargins left="0.30000000000000004" right="0.30000000000000004" top="0.41666666666666669" bottom="0.41666666666666669" header="0.19444444444444445" footer="0.19444444444444445"/>
  <pageSetup scale="86" fitToHeight="0" orientation="landscape" verticalDpi="0" r:id="rId1"/>
  <headerFooter>
    <oddHeader>&amp;L&amp;"Calibri,Bold"&amp;11Alphabet (GOOGL) - Research Data Pack&amp;R&amp;"Calibri,Italic"&amp;9&amp;A</oddHeader>
    <oddFooter>&amp;L&amp;9&amp;Z&amp;F&amp;C&amp;9Page &amp;P of &amp;N&amp;R&amp;9Printed &amp;D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E722-ED1B-4280-8598-D528CC7C245D}">
  <sheetPr>
    <tabColor rgb="FF6B2D5C"/>
  </sheetPr>
  <dimension ref="B2:G91"/>
  <sheetViews>
    <sheetView showGridLines="0" workbookViewId="0">
      <pane ySplit="5" topLeftCell="A39" activePane="bottomLeft" state="frozen"/>
      <selection pane="bottomLeft" activeCell="B68" sqref="B68:G69"/>
    </sheetView>
  </sheetViews>
  <sheetFormatPr defaultRowHeight="14.4" x14ac:dyDescent="0.3"/>
  <cols>
    <col min="1" max="1" width="3.33203125" customWidth="1"/>
    <col min="2" max="2" width="5.5546875" customWidth="1"/>
    <col min="3" max="3" width="61.109375" customWidth="1"/>
    <col min="4" max="4" width="19.44140625" customWidth="1"/>
    <col min="5" max="5" width="23.109375" customWidth="1"/>
    <col min="6" max="6" width="17.5546875" customWidth="1"/>
    <col min="7" max="7" width="64.77734375" customWidth="1"/>
  </cols>
  <sheetData>
    <row r="2" spans="2:7" ht="28.05" customHeight="1" thickBot="1" x14ac:dyDescent="0.45">
      <c r="B2" s="396" t="s">
        <v>2601</v>
      </c>
      <c r="C2" s="396"/>
      <c r="D2" s="396"/>
      <c r="E2" s="396"/>
      <c r="F2" s="396"/>
      <c r="G2" s="396"/>
    </row>
    <row r="3" spans="2:7" ht="40.049999999999997" customHeight="1" thickBot="1" x14ac:dyDescent="0.35">
      <c r="B3" s="301" t="s">
        <v>2062</v>
      </c>
      <c r="C3" s="4"/>
      <c r="D3" s="4"/>
      <c r="E3" s="4"/>
      <c r="F3" s="4"/>
      <c r="G3" s="4"/>
    </row>
    <row r="4" spans="2:7" x14ac:dyDescent="0.3">
      <c r="B4" s="1"/>
      <c r="C4" s="1"/>
      <c r="D4" s="1"/>
      <c r="E4" s="1"/>
      <c r="F4" s="1"/>
      <c r="G4" s="1"/>
    </row>
    <row r="5" spans="2:7" ht="18" customHeight="1" x14ac:dyDescent="0.3">
      <c r="B5" s="16" t="s">
        <v>307</v>
      </c>
      <c r="C5" s="16" t="s">
        <v>1052</v>
      </c>
      <c r="D5" s="16" t="s">
        <v>1053</v>
      </c>
      <c r="E5" s="16" t="s">
        <v>1054</v>
      </c>
      <c r="F5" s="16" t="s">
        <v>1055</v>
      </c>
      <c r="G5" s="16" t="s">
        <v>1056</v>
      </c>
    </row>
    <row r="6" spans="2:7" x14ac:dyDescent="0.3">
      <c r="B6" s="81" t="s">
        <v>1057</v>
      </c>
      <c r="C6" s="81"/>
      <c r="D6" s="82"/>
      <c r="E6" s="82"/>
      <c r="F6" s="83"/>
      <c r="G6" s="84"/>
    </row>
    <row r="7" spans="2:7" x14ac:dyDescent="0.3">
      <c r="B7" s="476">
        <v>1</v>
      </c>
      <c r="C7" s="78" t="s">
        <v>1058</v>
      </c>
      <c r="D7" s="478">
        <f>'17 Model'!H18</f>
        <v>307394</v>
      </c>
      <c r="E7" s="478">
        <f>'03 Segments'!C16</f>
        <v>307394</v>
      </c>
      <c r="F7" s="480" t="str">
        <f t="shared" ref="F7:F23" si="0">IF(ABS(D7-E7)&lt;=MAX(0.000000001,ABS(E7)*0.000000001),"TIES","DOES NOT TIE")</f>
        <v>TIES</v>
      </c>
      <c r="G7" s="79" t="s">
        <v>1153</v>
      </c>
    </row>
    <row r="8" spans="2:7" x14ac:dyDescent="0.3">
      <c r="B8" s="476">
        <v>2</v>
      </c>
      <c r="C8" s="78" t="s">
        <v>1059</v>
      </c>
      <c r="D8" s="478">
        <f>'17 Model'!I18</f>
        <v>350018</v>
      </c>
      <c r="E8" s="478">
        <f>'03 Segments'!D16</f>
        <v>350018</v>
      </c>
      <c r="F8" s="480" t="str">
        <f t="shared" si="0"/>
        <v>TIES</v>
      </c>
      <c r="G8" s="79" t="s">
        <v>1153</v>
      </c>
    </row>
    <row r="9" spans="2:7" x14ac:dyDescent="0.3">
      <c r="B9" s="476">
        <v>3</v>
      </c>
      <c r="C9" s="78" t="s">
        <v>1060</v>
      </c>
      <c r="D9" s="478">
        <f>'17 Model'!J18</f>
        <v>402836</v>
      </c>
      <c r="E9" s="478">
        <f>'03 Segments'!E16</f>
        <v>402836</v>
      </c>
      <c r="F9" s="480" t="str">
        <f t="shared" si="0"/>
        <v>TIES</v>
      </c>
      <c r="G9" s="79" t="s">
        <v>1153</v>
      </c>
    </row>
    <row r="10" spans="2:7" x14ac:dyDescent="0.3">
      <c r="B10" s="476">
        <v>4</v>
      </c>
      <c r="C10" s="78" t="s">
        <v>1061</v>
      </c>
      <c r="D10" s="478">
        <f>'17 Model'!K18</f>
        <v>445866</v>
      </c>
      <c r="E10" s="478">
        <f>'01 Income Statement'!G6</f>
        <v>445866</v>
      </c>
      <c r="F10" s="480" t="str">
        <f t="shared" si="0"/>
        <v>TIES</v>
      </c>
      <c r="G10" s="79" t="s">
        <v>1062</v>
      </c>
    </row>
    <row r="11" spans="2:7" x14ac:dyDescent="0.3">
      <c r="B11" s="476">
        <v>5</v>
      </c>
      <c r="C11" s="78" t="s">
        <v>1063</v>
      </c>
      <c r="D11" s="478">
        <f>'17 Model'!H24</f>
        <v>84293</v>
      </c>
      <c r="E11" s="478">
        <f>'01 Income Statement'!C12</f>
        <v>84293</v>
      </c>
      <c r="F11" s="480" t="str">
        <f t="shared" si="0"/>
        <v>TIES</v>
      </c>
      <c r="G11" s="79" t="s">
        <v>1064</v>
      </c>
    </row>
    <row r="12" spans="2:7" x14ac:dyDescent="0.3">
      <c r="B12" s="476">
        <v>6</v>
      </c>
      <c r="C12" s="78" t="s">
        <v>1065</v>
      </c>
      <c r="D12" s="478">
        <f>'17 Model'!J24</f>
        <v>129039</v>
      </c>
      <c r="E12" s="478">
        <f>'01 Income Statement'!E12</f>
        <v>129039</v>
      </c>
      <c r="F12" s="480" t="str">
        <f t="shared" si="0"/>
        <v>TIES</v>
      </c>
      <c r="G12" s="79" t="s">
        <v>1064</v>
      </c>
    </row>
    <row r="13" spans="2:7" x14ac:dyDescent="0.3">
      <c r="B13" s="476">
        <v>7</v>
      </c>
      <c r="C13" s="78" t="s">
        <v>1066</v>
      </c>
      <c r="D13" s="478">
        <f>'17 Model'!K24</f>
        <v>147628</v>
      </c>
      <c r="E13" s="478">
        <f>'01 Income Statement'!G12</f>
        <v>147628</v>
      </c>
      <c r="F13" s="480" t="str">
        <f t="shared" si="0"/>
        <v>TIES</v>
      </c>
      <c r="G13" s="79" t="s">
        <v>1064</v>
      </c>
    </row>
    <row r="14" spans="2:7" x14ac:dyDescent="0.3">
      <c r="B14" s="476">
        <v>8</v>
      </c>
      <c r="C14" s="78" t="s">
        <v>1067</v>
      </c>
      <c r="D14" s="478">
        <f>'17 Model'!J33</f>
        <v>132170</v>
      </c>
      <c r="E14" s="478">
        <f>'01 Income Statement'!E18</f>
        <v>132170</v>
      </c>
      <c r="F14" s="480" t="str">
        <f t="shared" si="0"/>
        <v>TIES</v>
      </c>
      <c r="G14" s="79" t="s">
        <v>1068</v>
      </c>
    </row>
    <row r="15" spans="2:7" x14ac:dyDescent="0.3">
      <c r="B15" s="476">
        <v>9</v>
      </c>
      <c r="C15" s="78" t="s">
        <v>1069</v>
      </c>
      <c r="D15" s="478">
        <f>'17 Model'!K33</f>
        <v>244205</v>
      </c>
      <c r="E15" s="478">
        <f>'01 Income Statement'!G18</f>
        <v>244205</v>
      </c>
      <c r="F15" s="480" t="str">
        <f t="shared" si="0"/>
        <v>TIES</v>
      </c>
      <c r="G15" s="79" t="s">
        <v>1068</v>
      </c>
    </row>
    <row r="16" spans="2:7" x14ac:dyDescent="0.3">
      <c r="B16" s="476">
        <v>10</v>
      </c>
      <c r="C16" s="78" t="s">
        <v>1070</v>
      </c>
      <c r="D16" s="478">
        <f>'17 Model'!K37</f>
        <v>12259</v>
      </c>
      <c r="E16" s="478">
        <f>'01 Income Statement'!G20</f>
        <v>12259</v>
      </c>
      <c r="F16" s="480" t="str">
        <f t="shared" si="0"/>
        <v>TIES</v>
      </c>
      <c r="G16" s="79" t="s">
        <v>1071</v>
      </c>
    </row>
    <row r="17" spans="2:7" x14ac:dyDescent="0.3">
      <c r="B17" s="476">
        <v>11</v>
      </c>
      <c r="C17" s="78" t="s">
        <v>1072</v>
      </c>
      <c r="D17" s="478">
        <f>'17 Model'!K64</f>
        <v>25237</v>
      </c>
      <c r="E17" s="478">
        <f>'09 Cash Flow'!G7</f>
        <v>25237</v>
      </c>
      <c r="F17" s="480" t="str">
        <f t="shared" si="0"/>
        <v>TIES</v>
      </c>
      <c r="G17" s="79" t="s">
        <v>1154</v>
      </c>
    </row>
    <row r="18" spans="2:7" x14ac:dyDescent="0.3">
      <c r="B18" s="476">
        <v>12</v>
      </c>
      <c r="C18" s="78" t="s">
        <v>1073</v>
      </c>
      <c r="D18" s="478">
        <f>'17 Model'!K71</f>
        <v>28147</v>
      </c>
      <c r="E18" s="478">
        <f>'09 Cash Flow'!G8</f>
        <v>28147</v>
      </c>
      <c r="F18" s="480" t="str">
        <f t="shared" si="0"/>
        <v>TIES</v>
      </c>
      <c r="G18" s="79" t="s">
        <v>1155</v>
      </c>
    </row>
    <row r="19" spans="2:7" x14ac:dyDescent="0.3">
      <c r="B19" s="476">
        <v>13</v>
      </c>
      <c r="C19" s="78" t="s">
        <v>1074</v>
      </c>
      <c r="D19" s="478">
        <f>'17 Model'!K74</f>
        <v>185675</v>
      </c>
      <c r="E19" s="478">
        <f>'09 Cash Flow'!G9</f>
        <v>185675</v>
      </c>
      <c r="F19" s="480" t="str">
        <f t="shared" si="0"/>
        <v>TIES</v>
      </c>
      <c r="G19" s="79" t="s">
        <v>1156</v>
      </c>
    </row>
    <row r="20" spans="2:7" x14ac:dyDescent="0.3">
      <c r="B20" s="476">
        <v>14</v>
      </c>
      <c r="C20" s="78" t="s">
        <v>1075</v>
      </c>
      <c r="D20" s="478">
        <f>'17 Model'!K75</f>
        <v>-132402</v>
      </c>
      <c r="E20" s="478">
        <f>'09 Cash Flow'!G10</f>
        <v>-132402</v>
      </c>
      <c r="F20" s="480" t="str">
        <f t="shared" si="0"/>
        <v>TIES</v>
      </c>
      <c r="G20" s="79" t="s">
        <v>1157</v>
      </c>
    </row>
    <row r="21" spans="2:7" x14ac:dyDescent="0.3">
      <c r="B21" s="476">
        <v>15</v>
      </c>
      <c r="C21" s="78" t="s">
        <v>1076</v>
      </c>
      <c r="D21" s="478">
        <f>'17 Model'!H76</f>
        <v>69495</v>
      </c>
      <c r="E21" s="478">
        <f>'09 Cash Flow'!C11</f>
        <v>69495</v>
      </c>
      <c r="F21" s="480" t="str">
        <f t="shared" si="0"/>
        <v>TIES</v>
      </c>
      <c r="G21" s="79" t="s">
        <v>1158</v>
      </c>
    </row>
    <row r="22" spans="2:7" x14ac:dyDescent="0.3">
      <c r="B22" s="476">
        <v>16</v>
      </c>
      <c r="C22" s="78" t="s">
        <v>1077</v>
      </c>
      <c r="D22" s="478">
        <f>'17 Model'!J76</f>
        <v>73266</v>
      </c>
      <c r="E22" s="478">
        <f>'09 Cash Flow'!E11</f>
        <v>73266</v>
      </c>
      <c r="F22" s="480" t="str">
        <f t="shared" si="0"/>
        <v>TIES</v>
      </c>
      <c r="G22" s="79" t="s">
        <v>1158</v>
      </c>
    </row>
    <row r="23" spans="2:7" x14ac:dyDescent="0.3">
      <c r="B23" s="476">
        <v>17</v>
      </c>
      <c r="C23" s="78" t="s">
        <v>1078</v>
      </c>
      <c r="D23" s="478">
        <f>'17 Model'!K76</f>
        <v>53273</v>
      </c>
      <c r="E23" s="478">
        <f>'09 Cash Flow'!G11</f>
        <v>53273</v>
      </c>
      <c r="F23" s="480" t="str">
        <f t="shared" si="0"/>
        <v>TIES</v>
      </c>
      <c r="G23" s="79" t="s">
        <v>1158</v>
      </c>
    </row>
    <row r="24" spans="2:7" x14ac:dyDescent="0.3">
      <c r="B24" s="477" t="s">
        <v>1079</v>
      </c>
      <c r="C24" s="81"/>
      <c r="D24" s="479"/>
      <c r="E24" s="479"/>
      <c r="F24" s="481"/>
      <c r="G24" s="84"/>
    </row>
    <row r="25" spans="2:7" x14ac:dyDescent="0.3">
      <c r="B25" s="476">
        <v>18</v>
      </c>
      <c r="C25" s="78" t="s">
        <v>1080</v>
      </c>
      <c r="D25" s="478">
        <f>'17 Model'!K18</f>
        <v>445866</v>
      </c>
      <c r="E25" s="478">
        <f>'03 Segments'!E16+'03 Segments'!G16+'03 Segments'!I16-'03 Segments'!F16-'03 Segments'!H16</f>
        <v>445866</v>
      </c>
      <c r="F25" s="480" t="str">
        <f>IF(ABS(D25-E25)&lt;=MAX(0.000000001,ABS(E25)*0.000000001),"TIES","DOES NOT TIE")</f>
        <v>TIES</v>
      </c>
      <c r="G25" s="79" t="s">
        <v>1081</v>
      </c>
    </row>
    <row r="26" spans="2:7" x14ac:dyDescent="0.3">
      <c r="B26" s="476">
        <v>19</v>
      </c>
      <c r="C26" s="78" t="s">
        <v>1082</v>
      </c>
      <c r="D26" s="478">
        <f>'17 Model'!K28</f>
        <v>148982</v>
      </c>
      <c r="E26" s="478">
        <f>'06 Core EPS Bridge'!E7+'06 Core EPS Bridge'!G7+'06 Core EPS Bridge'!I7-'06 Core EPS Bridge'!F7-'06 Core EPS Bridge'!H7</f>
        <v>148982</v>
      </c>
      <c r="F26" s="480" t="str">
        <f>IF(ABS(D26-E26)&lt;=MAX(0.000000001,ABS(E26)*0.000000001),"TIES","DOES NOT TIE")</f>
        <v>TIES</v>
      </c>
      <c r="G26" s="362" t="s">
        <v>1564</v>
      </c>
    </row>
    <row r="27" spans="2:7" x14ac:dyDescent="0.3">
      <c r="B27" s="476">
        <v>20</v>
      </c>
      <c r="C27" s="78" t="s">
        <v>1083</v>
      </c>
      <c r="D27" s="478">
        <f>'17 Model'!K44</f>
        <v>150287</v>
      </c>
      <c r="E27" s="478">
        <f>'01 Income Statement'!G15-('06 Core EPS Bridge'!E7+'06 Core EPS Bridge'!G7+'06 Core EPS Bridge'!I7-'06 Core EPS Bridge'!F7-'06 Core EPS Bridge'!H7)</f>
        <v>150287</v>
      </c>
      <c r="F27" s="480" t="str">
        <f>IF(ABS(D27-E27)&lt;=MAX(0.000000001,ABS(E27)*0.000000001),"TIES","DOES NOT TIE")</f>
        <v>TIES</v>
      </c>
      <c r="G27" s="79" t="s">
        <v>1084</v>
      </c>
    </row>
    <row r="28" spans="2:7" x14ac:dyDescent="0.3">
      <c r="B28" s="477" t="s">
        <v>1085</v>
      </c>
      <c r="C28" s="81"/>
      <c r="D28" s="479"/>
      <c r="E28" s="479"/>
      <c r="F28" s="481"/>
      <c r="G28" s="84"/>
    </row>
    <row r="29" spans="2:7" x14ac:dyDescent="0.3">
      <c r="B29" s="476">
        <v>21</v>
      </c>
      <c r="C29" s="78" t="s">
        <v>1086</v>
      </c>
      <c r="D29" s="478">
        <f>'17 Model'!J18</f>
        <v>402836</v>
      </c>
      <c r="E29" s="478">
        <f>SUM('17 Model'!J10:J16)</f>
        <v>402836</v>
      </c>
      <c r="F29" s="480" t="str">
        <f t="shared" ref="F29:F38" si="1">IF(ABS(D29-E29)&lt;=MAX(0.000000001,ABS(E29)*0.000000001),"TIES","DOES NOT TIE")</f>
        <v>TIES</v>
      </c>
      <c r="G29" s="79" t="s">
        <v>1087</v>
      </c>
    </row>
    <row r="30" spans="2:7" x14ac:dyDescent="0.3">
      <c r="B30" s="476">
        <v>22</v>
      </c>
      <c r="C30" s="78" t="s">
        <v>1088</v>
      </c>
      <c r="D30" s="478">
        <f>'17 Model'!P18</f>
        <v>954410.96910159488</v>
      </c>
      <c r="E30" s="478">
        <f>SUM('17 Model'!P10:P16)</f>
        <v>954410.96910159488</v>
      </c>
      <c r="F30" s="480" t="str">
        <f t="shared" si="1"/>
        <v>TIES</v>
      </c>
      <c r="G30" s="79" t="s">
        <v>1087</v>
      </c>
    </row>
    <row r="31" spans="2:7" x14ac:dyDescent="0.3">
      <c r="B31" s="476">
        <v>23</v>
      </c>
      <c r="C31" s="78" t="s">
        <v>1089</v>
      </c>
      <c r="D31" s="478">
        <f>'17 Model'!L25</f>
        <v>0.35032833201741137</v>
      </c>
      <c r="E31" s="478">
        <f>'17 Model'!L24/'17 Model'!L23</f>
        <v>0.35032833201741137</v>
      </c>
      <c r="F31" s="480" t="str">
        <f t="shared" si="1"/>
        <v>TIES</v>
      </c>
      <c r="G31" s="79" t="s">
        <v>1090</v>
      </c>
    </row>
    <row r="32" spans="2:7" x14ac:dyDescent="0.3">
      <c r="B32" s="476">
        <v>24</v>
      </c>
      <c r="C32" s="78" t="s">
        <v>1442</v>
      </c>
      <c r="D32" s="478">
        <f>'17 Model'!L25+'17 Model'!L26/'17 Model'!L23</f>
        <v>0.35299999999999998</v>
      </c>
      <c r="E32" s="478">
        <f>'16 Scenarios'!C25</f>
        <v>0.35299999999999998</v>
      </c>
      <c r="F32" s="480" t="str">
        <f t="shared" si="1"/>
        <v>TIES</v>
      </c>
      <c r="G32" s="79" t="s">
        <v>1443</v>
      </c>
    </row>
    <row r="33" spans="2:7" x14ac:dyDescent="0.3">
      <c r="B33" s="476">
        <v>25</v>
      </c>
      <c r="C33" s="78" t="s">
        <v>1091</v>
      </c>
      <c r="D33" s="478">
        <f>'17 Model'!L38</f>
        <v>20.553247614776289</v>
      </c>
      <c r="E33" s="478">
        <f>'17 Model'!L36/'17 Model'!L37</f>
        <v>20.553247614776289</v>
      </c>
      <c r="F33" s="480" t="str">
        <f t="shared" si="1"/>
        <v>TIES</v>
      </c>
      <c r="G33" s="79" t="s">
        <v>1090</v>
      </c>
    </row>
    <row r="34" spans="2:7" x14ac:dyDescent="0.3">
      <c r="B34" s="476">
        <v>26</v>
      </c>
      <c r="C34" s="78" t="s">
        <v>1092</v>
      </c>
      <c r="D34" s="478">
        <f>'17 Model'!L76</f>
        <v>-1136.4614131651761</v>
      </c>
      <c r="E34" s="478">
        <f>'17 Model'!L74+'17 Model'!L75</f>
        <v>-1136.4614131651761</v>
      </c>
      <c r="F34" s="480" t="str">
        <f t="shared" si="1"/>
        <v>TIES</v>
      </c>
      <c r="G34" s="79" t="s">
        <v>1093</v>
      </c>
    </row>
    <row r="35" spans="2:7" x14ac:dyDescent="0.3">
      <c r="B35" s="476">
        <v>27</v>
      </c>
      <c r="C35" s="78" t="s">
        <v>1094</v>
      </c>
      <c r="D35" s="478">
        <f>'17 Model'!K76</f>
        <v>53273</v>
      </c>
      <c r="E35" s="478">
        <f>'17 Model'!K74+'17 Model'!K75</f>
        <v>53273</v>
      </c>
      <c r="F35" s="480" t="str">
        <f t="shared" si="1"/>
        <v>TIES</v>
      </c>
      <c r="G35" s="79" t="s">
        <v>1090</v>
      </c>
    </row>
    <row r="36" spans="2:7" x14ac:dyDescent="0.3">
      <c r="B36" s="476">
        <v>28</v>
      </c>
      <c r="C36" s="78" t="s">
        <v>1904</v>
      </c>
      <c r="D36" s="478">
        <f>'17 Model'!L75</f>
        <v>-200878.67384999996</v>
      </c>
      <c r="E36" s="478">
        <f>-'17 Model'!L18*'16 Scenarios'!C26</f>
        <v>-200878.67384999996</v>
      </c>
      <c r="F36" s="480" t="str">
        <f t="shared" si="1"/>
        <v>TIES</v>
      </c>
      <c r="G36" s="79" t="s">
        <v>1905</v>
      </c>
    </row>
    <row r="37" spans="2:7" x14ac:dyDescent="0.3">
      <c r="B37" s="476">
        <v>29</v>
      </c>
      <c r="C37" s="78" t="s">
        <v>1095</v>
      </c>
      <c r="D37" s="478">
        <f>'17 Model'!J46</f>
        <v>113146.8</v>
      </c>
      <c r="E37" s="478">
        <f>'17 Model'!J44-'17 Model'!J45</f>
        <v>113146.8</v>
      </c>
      <c r="F37" s="480" t="str">
        <f t="shared" si="1"/>
        <v>TIES</v>
      </c>
      <c r="G37" s="79" t="s">
        <v>1090</v>
      </c>
    </row>
    <row r="38" spans="2:7" x14ac:dyDescent="0.3">
      <c r="B38" s="476">
        <v>30</v>
      </c>
      <c r="C38" s="78" t="s">
        <v>1526</v>
      </c>
      <c r="D38" s="529">
        <f>'17 Model'!L33-'17 Model'!L28*(1-'15 Assumptions'!$C$85)</f>
        <v>146504.21731528471</v>
      </c>
      <c r="E38" s="478">
        <f>'17 Model'!L46</f>
        <v>146504.21731528474</v>
      </c>
      <c r="F38" s="480" t="str">
        <f t="shared" si="1"/>
        <v>TIES</v>
      </c>
      <c r="G38" s="79" t="s">
        <v>2088</v>
      </c>
    </row>
    <row r="39" spans="2:7" x14ac:dyDescent="0.3">
      <c r="B39" s="477" t="s">
        <v>1096</v>
      </c>
      <c r="C39" s="81"/>
      <c r="D39" s="479"/>
      <c r="E39" s="479"/>
      <c r="F39" s="481"/>
      <c r="G39" s="84"/>
    </row>
    <row r="40" spans="2:7" x14ac:dyDescent="0.3">
      <c r="B40" s="476">
        <v>31</v>
      </c>
      <c r="C40" s="78" t="s">
        <v>1159</v>
      </c>
      <c r="D40" s="478">
        <f>'17 Model'!K38</f>
        <v>19.920466595970307</v>
      </c>
      <c r="E40" s="478">
        <f>'11 Valuation'!C22</f>
        <v>19.93</v>
      </c>
      <c r="F40" s="480" t="str">
        <f>IF(ABS(D40-E40)&lt;=0.015,"TIES","DOES NOT TIE")</f>
        <v>TIES</v>
      </c>
      <c r="G40" s="79" t="s">
        <v>2002</v>
      </c>
    </row>
    <row r="41" spans="2:7" x14ac:dyDescent="0.3">
      <c r="B41" s="476">
        <v>32</v>
      </c>
      <c r="C41" s="78" t="s">
        <v>1160</v>
      </c>
      <c r="D41" s="478">
        <f>'17 Model'!K83</f>
        <v>17.097491083311152</v>
      </c>
      <c r="E41" s="478">
        <f>'11 Valuation'!C11</f>
        <v>17.089312594079278</v>
      </c>
      <c r="F41" s="480" t="str">
        <f>IF(ABS(D41-E41)&lt;=ABS(E41)*0.015/'11 Valuation'!C22,"TIES","DOES NOT TIE")</f>
        <v>TIES</v>
      </c>
      <c r="G41" s="79" t="s">
        <v>2003</v>
      </c>
    </row>
    <row r="42" spans="2:7" x14ac:dyDescent="0.3">
      <c r="B42" s="476">
        <v>33</v>
      </c>
      <c r="C42" s="78" t="s">
        <v>1097</v>
      </c>
      <c r="D42" s="478">
        <f>'17 Model'!J48</f>
        <v>9.2515780866721187</v>
      </c>
      <c r="E42" s="478">
        <f>'06 Core EPS Bridge'!E12</f>
        <v>9.2515780866721187</v>
      </c>
      <c r="F42" s="480" t="str">
        <f>IF(ABS(D42-E42)&lt;=MAX(0.000000001,ABS(E42)*0.000000001),"TIES","DOES NOT TIE")</f>
        <v>TIES</v>
      </c>
      <c r="G42" s="79" t="s">
        <v>2089</v>
      </c>
    </row>
    <row r="43" spans="2:7" x14ac:dyDescent="0.3">
      <c r="B43" s="476">
        <v>34</v>
      </c>
      <c r="C43" s="78" t="s">
        <v>1098</v>
      </c>
      <c r="D43" s="478">
        <f>'17 Model'!H48</f>
        <v>5.7762395849709174</v>
      </c>
      <c r="E43" s="478">
        <f>'06 Core EPS Bridge'!C12</f>
        <v>5.7762395849709174</v>
      </c>
      <c r="F43" s="480" t="str">
        <f>IF(ABS(D43-E43)&lt;=MAX(0.000000001,ABS(E43)*0.000000001),"TIES","DOES NOT TIE")</f>
        <v>TIES</v>
      </c>
      <c r="G43" s="79" t="s">
        <v>2089</v>
      </c>
    </row>
    <row r="44" spans="2:7" x14ac:dyDescent="0.3">
      <c r="B44" s="476">
        <v>35</v>
      </c>
      <c r="C44" s="78" t="str">
        <f>"TTM core EPS vs pack route ("&amp;TEXT('06 Core EPS Bridge'!$D$17,"0.00")&amp;" on 06 Core EPS Bridge D17)"</f>
        <v>TTM core EPS vs pack route (10.33 on 06 Core EPS Bridge D17)</v>
      </c>
      <c r="D44" s="478">
        <f>'17 Model'!K48</f>
        <v>10.319701443837181</v>
      </c>
      <c r="E44" s="478">
        <f>('06 Core EPS Bridge'!E10-'06 Core EPS Bridge'!F10-'06 Core EPS Bridge'!H10+'06 Core EPS Bridge'!G10+'06 Core EPS Bridge'!I10)/'01 Income Statement'!G20</f>
        <v>10.319701443837181</v>
      </c>
      <c r="F44" s="480" t="str">
        <f>IF(ABS(D44-E44)&lt;=MAX(0.000000001,ABS(E44)*0.000000001),"TIES","DOES NOT TIE")</f>
        <v>TIES</v>
      </c>
      <c r="G44" s="79" t="s">
        <v>1099</v>
      </c>
    </row>
    <row r="45" spans="2:7" x14ac:dyDescent="0.3">
      <c r="B45" s="477" t="s">
        <v>1100</v>
      </c>
      <c r="C45" s="81"/>
      <c r="D45" s="479"/>
      <c r="E45" s="479"/>
      <c r="F45" s="481"/>
      <c r="G45" s="84"/>
    </row>
    <row r="46" spans="2:7" x14ac:dyDescent="0.3">
      <c r="B46" s="476">
        <v>36</v>
      </c>
      <c r="C46" s="78" t="s">
        <v>1101</v>
      </c>
      <c r="D46" s="478">
        <f>'16 Scenarios'!D6</f>
        <v>1</v>
      </c>
      <c r="E46" s="478">
        <f>IF(AND('16 Scenarios'!D6&gt;=1,'16 Scenarios'!D6&lt;=3,'16 Scenarios'!D6=INT('16 Scenarios'!D6)),'16 Scenarios'!D6,-999)</f>
        <v>1</v>
      </c>
      <c r="F46" s="480" t="str">
        <f t="shared" ref="F46:F53" si="2">IF(ABS(D46-E46)&lt;=MAX(0.000000001,ABS(E46)*0.000000001),"TIES","DOES NOT TIE")</f>
        <v>TIES</v>
      </c>
      <c r="G46" s="79" t="s">
        <v>1102</v>
      </c>
    </row>
    <row r="47" spans="2:7" x14ac:dyDescent="0.3">
      <c r="B47" s="476">
        <v>37</v>
      </c>
      <c r="C47" s="78" t="s">
        <v>1103</v>
      </c>
      <c r="D47" s="478">
        <f>'16 Scenarios'!C29</f>
        <v>8.3333333333333339</v>
      </c>
      <c r="E47" s="478">
        <f>1/('16 Scenarios'!C28/'15 Assumptions'!C40+(1-'16 Scenarios'!C28)/'15 Assumptions'!C41)</f>
        <v>8.3333333333333339</v>
      </c>
      <c r="F47" s="480" t="str">
        <f t="shared" si="2"/>
        <v>TIES</v>
      </c>
      <c r="G47" s="79" t="s">
        <v>1104</v>
      </c>
    </row>
    <row r="48" spans="2:7" x14ac:dyDescent="0.3">
      <c r="B48" s="476">
        <v>38</v>
      </c>
      <c r="C48" s="78" t="s">
        <v>1105</v>
      </c>
      <c r="D48" s="478">
        <f>'16 Scenarios'!C31</f>
        <v>14737.679999999998</v>
      </c>
      <c r="E48" s="478">
        <f>'15 Assumptions'!C36/'16 Scenarios'!C29</f>
        <v>14737.679999999998</v>
      </c>
      <c r="F48" s="480" t="str">
        <f t="shared" si="2"/>
        <v>TIES</v>
      </c>
      <c r="G48" s="79" t="str">
        <f>TEXT('15 Assumptions'!$C$36,"#,##0")&amp;" over its blended life"</f>
        <v>122,814 over its blended life</v>
      </c>
    </row>
    <row r="49" spans="2:7" x14ac:dyDescent="0.3">
      <c r="B49" s="476">
        <v>39</v>
      </c>
      <c r="C49" s="78" t="s">
        <v>1547</v>
      </c>
      <c r="D49" s="478">
        <f>'15 Assumptions'!C36</f>
        <v>122814</v>
      </c>
      <c r="E49" s="478">
        <f>'08 PPE and Depreciation'!C24</f>
        <v>122814</v>
      </c>
      <c r="F49" s="480" t="str">
        <f t="shared" si="2"/>
        <v>TIES</v>
      </c>
      <c r="G49" s="79" t="s">
        <v>1548</v>
      </c>
    </row>
    <row r="50" spans="2:7" x14ac:dyDescent="0.3">
      <c r="B50" s="476">
        <v>40</v>
      </c>
      <c r="C50" s="78" t="s">
        <v>1549</v>
      </c>
      <c r="D50" s="478">
        <f>'15 Assumptions'!C48</f>
        <v>27172</v>
      </c>
      <c r="E50" s="478">
        <f>'08 PPE and Depreciation'!C27</f>
        <v>27172</v>
      </c>
      <c r="F50" s="480" t="str">
        <f t="shared" si="2"/>
        <v>TIES</v>
      </c>
      <c r="G50" s="362" t="s">
        <v>1550</v>
      </c>
    </row>
    <row r="51" spans="2:7" x14ac:dyDescent="0.3">
      <c r="B51" s="476">
        <v>41</v>
      </c>
      <c r="C51" s="78" t="s">
        <v>1551</v>
      </c>
      <c r="D51" s="478">
        <f>'15 Assumptions'!C9</f>
        <v>1187.5</v>
      </c>
      <c r="E51" s="478">
        <f>'05 Capital Structure'!C24</f>
        <v>1187.5</v>
      </c>
      <c r="F51" s="480" t="str">
        <f t="shared" si="2"/>
        <v>TIES</v>
      </c>
      <c r="G51" s="362" t="s">
        <v>1552</v>
      </c>
    </row>
    <row r="52" spans="2:7" x14ac:dyDescent="0.3">
      <c r="B52" s="476">
        <v>42</v>
      </c>
      <c r="C52" s="78" t="s">
        <v>1553</v>
      </c>
      <c r="D52" s="478">
        <f>'15 Assumptions'!C8</f>
        <v>12274</v>
      </c>
      <c r="E52" s="478">
        <f>'05 Capital Structure'!C16</f>
        <v>12274</v>
      </c>
      <c r="F52" s="480" t="str">
        <f t="shared" si="2"/>
        <v>TIES</v>
      </c>
      <c r="G52" s="79" t="s">
        <v>1106</v>
      </c>
    </row>
    <row r="53" spans="2:7" x14ac:dyDescent="0.3">
      <c r="B53" s="476">
        <v>43</v>
      </c>
      <c r="C53" s="78" t="s">
        <v>1554</v>
      </c>
      <c r="D53" s="478">
        <f>'15 Assumptions'!C7</f>
        <v>340.59</v>
      </c>
      <c r="E53" s="478">
        <f>'11 Valuation'!C6</f>
        <v>340.59</v>
      </c>
      <c r="F53" s="480" t="str">
        <f t="shared" si="2"/>
        <v>TIES</v>
      </c>
      <c r="G53" s="79">
        <v>354.72</v>
      </c>
    </row>
    <row r="54" spans="2:7" x14ac:dyDescent="0.3">
      <c r="B54" s="477" t="s">
        <v>1555</v>
      </c>
      <c r="C54" s="81"/>
      <c r="D54" s="479"/>
      <c r="E54" s="479"/>
      <c r="F54" s="481"/>
      <c r="G54" s="84"/>
    </row>
    <row r="55" spans="2:7" x14ac:dyDescent="0.3">
      <c r="B55" s="476">
        <v>44</v>
      </c>
      <c r="C55" s="78" t="s">
        <v>1107</v>
      </c>
      <c r="D55" s="478">
        <f>'19 Model Summary'!L6</f>
        <v>954410.96910159488</v>
      </c>
      <c r="E55" s="478">
        <f>'17 Model'!P18</f>
        <v>954410.96910159488</v>
      </c>
      <c r="F55" s="480" t="str">
        <f>IF(ABS(D55-E55)&lt;=MAX(0.000000001,ABS(E55)*0.000000001),"TIES","DOES NOT TIE")</f>
        <v>TIES</v>
      </c>
      <c r="G55" s="79" t="s">
        <v>1108</v>
      </c>
    </row>
    <row r="56" spans="2:7" x14ac:dyDescent="0.3">
      <c r="B56" s="476">
        <v>45</v>
      </c>
      <c r="C56" s="78" t="s">
        <v>1109</v>
      </c>
      <c r="D56" s="478">
        <f>'19 Model Summary'!H17</f>
        <v>-1136.4614131651761</v>
      </c>
      <c r="E56" s="478">
        <f>'17 Model'!L76</f>
        <v>-1136.4614131651761</v>
      </c>
      <c r="F56" s="480" t="str">
        <f>IF(ABS(D56-E56)&lt;=MAX(0.000000001,ABS(E56)*0.000000001),"TIES","DOES NOT TIE")</f>
        <v>TIES</v>
      </c>
      <c r="G56" s="79" t="s">
        <v>1108</v>
      </c>
    </row>
    <row r="57" spans="2:7" x14ac:dyDescent="0.3">
      <c r="B57" s="476">
        <v>46</v>
      </c>
      <c r="C57" s="78" t="s">
        <v>1110</v>
      </c>
      <c r="D57" s="478">
        <f>'19 Model Summary'!G13</f>
        <v>10.319701443837181</v>
      </c>
      <c r="E57" s="478">
        <f>'17 Model'!K48</f>
        <v>10.319701443837181</v>
      </c>
      <c r="F57" s="480" t="str">
        <f>IF(ABS(D57-E57)&lt;=MAX(0.000000001,ABS(E57)*0.000000001),"TIES","DOES NOT TIE")</f>
        <v>TIES</v>
      </c>
      <c r="G57" s="79" t="s">
        <v>1108</v>
      </c>
    </row>
    <row r="58" spans="2:7" x14ac:dyDescent="0.3">
      <c r="B58" s="476" t="s">
        <v>1906</v>
      </c>
      <c r="C58" s="78"/>
      <c r="D58" s="478"/>
      <c r="E58" s="478"/>
      <c r="F58" s="480"/>
      <c r="G58" s="79"/>
    </row>
    <row r="59" spans="2:7" x14ac:dyDescent="0.3">
      <c r="B59" s="476">
        <v>47</v>
      </c>
      <c r="C59" s="78" t="s">
        <v>1907</v>
      </c>
      <c r="D59" s="478">
        <f>'17 Model'!P75</f>
        <v>-238602.74227539872</v>
      </c>
      <c r="E59" s="478">
        <f>-'17 Model'!P18*'16 Scenarios'!G26</f>
        <v>-238602.74227539872</v>
      </c>
      <c r="F59" s="480" t="str">
        <f>IF(ABS(D59-E59)&lt;=MAX(0.000000001,ABS(E59)*0.000000001),"TIES","DOES NOT TIE")</f>
        <v>TIES</v>
      </c>
      <c r="G59" s="79" t="s">
        <v>1908</v>
      </c>
    </row>
    <row r="60" spans="2:7" x14ac:dyDescent="0.3">
      <c r="B60" s="476">
        <v>48</v>
      </c>
      <c r="C60" s="78" t="s">
        <v>1909</v>
      </c>
      <c r="D60" s="478">
        <f>IF('16 Scenarios'!D6=1,'17 Model'!P75,'DCF Base Model'!P75)</f>
        <v>-238602.74227539872</v>
      </c>
      <c r="E60" s="478">
        <f>'DCF Base Model'!P75</f>
        <v>-238602.74227539872</v>
      </c>
      <c r="F60" s="480" t="str">
        <f>IF(ABS(D60-E60)&lt;=MAX(0.000000001,ABS(E60)*0.000000001),"TIES","DOES NOT TIE")</f>
        <v>TIES</v>
      </c>
      <c r="G60" s="79" t="s">
        <v>1910</v>
      </c>
    </row>
    <row r="61" spans="2:7" x14ac:dyDescent="0.3">
      <c r="B61" s="476">
        <v>49</v>
      </c>
      <c r="C61" s="78" t="s">
        <v>1911</v>
      </c>
      <c r="D61" s="478">
        <f>'DCF Base Drivers'!G26+'DCF Best Drivers'!G26+'DCF Worst Drivers'!G26</f>
        <v>0.72</v>
      </c>
      <c r="E61" s="478">
        <f>'15 Assumptions'!G32+'15 Assumptions'!G33+'15 Assumptions'!G34</f>
        <v>0.72</v>
      </c>
      <c r="F61" s="480" t="str">
        <f>IF(ABS(D61-E61)&lt;=MAX(0.000000001,ABS(E61)*0.000000001),"TIES","DOES NOT TIE")</f>
        <v>TIES</v>
      </c>
      <c r="G61" s="79" t="s">
        <v>1912</v>
      </c>
    </row>
    <row r="62" spans="2:7" x14ac:dyDescent="0.3">
      <c r="B62" s="476" t="s">
        <v>1979</v>
      </c>
      <c r="C62" s="78"/>
      <c r="D62" s="478"/>
      <c r="E62" s="478"/>
      <c r="F62" s="480"/>
      <c r="G62" s="79"/>
    </row>
    <row r="63" spans="2:7" x14ac:dyDescent="0.3">
      <c r="B63" s="476">
        <v>50</v>
      </c>
      <c r="C63" s="78" t="s">
        <v>1980</v>
      </c>
      <c r="D63" s="478">
        <f>'17 Model'!N14</f>
        <v>237222.03954549195</v>
      </c>
      <c r="E63" s="478">
        <f>'17 Model'!M14-'17 Model'!M75*CHOOSE('16 Scenarios'!$D$6,'15 Assumptions'!E74,'15 Assumptions'!E75,'15 Assumptions'!E76)</f>
        <v>237222.03954549195</v>
      </c>
      <c r="F63" s="480" t="str">
        <f t="shared" ref="F63:F69" si="3">IF(ABS(D63-E63)&lt;=MAX(0.000000001,ABS(E63)*0.000000001),"TIES","DOES NOT TIE")</f>
        <v>TIES</v>
      </c>
      <c r="G63" s="79" t="s">
        <v>1981</v>
      </c>
    </row>
    <row r="64" spans="2:7" x14ac:dyDescent="0.3">
      <c r="B64" s="476">
        <v>51</v>
      </c>
      <c r="C64" s="78" t="s">
        <v>1982</v>
      </c>
      <c r="D64" s="478">
        <f>IF('16 Scenarios'!$D$6=1,'17 Model'!P14,'DCF Base Model'!P14)</f>
        <v>394020.13751851529</v>
      </c>
      <c r="E64" s="478">
        <f>'DCF Base Model'!P14</f>
        <v>394020.13751851529</v>
      </c>
      <c r="F64" s="480" t="str">
        <f t="shared" si="3"/>
        <v>TIES</v>
      </c>
      <c r="G64" s="79" t="s">
        <v>1983</v>
      </c>
    </row>
    <row r="65" spans="2:7" x14ac:dyDescent="0.3">
      <c r="B65" s="476">
        <v>52</v>
      </c>
      <c r="C65" s="78" t="s">
        <v>1984</v>
      </c>
      <c r="D65" s="503">
        <f>'DCF Base Drivers'!G24+'DCF Best Drivers'!G24+'DCF Worst Drivers'!G24</f>
        <v>0.86899999999999999</v>
      </c>
      <c r="E65" s="503">
        <f>'15 Assumptions'!G74+'15 Assumptions'!G75+'15 Assumptions'!G76</f>
        <v>0.86899999999999999</v>
      </c>
      <c r="F65" s="480" t="str">
        <f t="shared" si="3"/>
        <v>TIES</v>
      </c>
      <c r="G65" s="79" t="s">
        <v>1912</v>
      </c>
    </row>
    <row r="66" spans="2:7" x14ac:dyDescent="0.3">
      <c r="B66" s="476">
        <v>53</v>
      </c>
      <c r="C66" s="78" t="s">
        <v>1985</v>
      </c>
      <c r="D66" s="504">
        <f>'DCF Base Model'!U90</f>
        <v>0.03</v>
      </c>
      <c r="E66" s="504">
        <f>'20 DCF Valuation'!H19</f>
        <v>0.03</v>
      </c>
      <c r="F66" s="480" t="str">
        <f t="shared" si="3"/>
        <v>TIES</v>
      </c>
      <c r="G66" s="79" t="s">
        <v>1986</v>
      </c>
    </row>
    <row r="67" spans="2:7" x14ac:dyDescent="0.3">
      <c r="B67" s="476">
        <v>54</v>
      </c>
      <c r="C67" s="78" t="s">
        <v>2011</v>
      </c>
      <c r="D67" s="478">
        <f>'DCF Base Model'!U95</f>
        <v>290103.70333246503</v>
      </c>
      <c r="E67" s="478">
        <f>'DCF Base Model'!U92*(1-'20 DCF Valuation'!H19/'15 Assumptions'!C80)</f>
        <v>290103.70333246508</v>
      </c>
      <c r="F67" s="480" t="str">
        <f t="shared" si="3"/>
        <v>TIES</v>
      </c>
      <c r="G67" s="79" t="s">
        <v>1987</v>
      </c>
    </row>
    <row r="68" spans="2:7" x14ac:dyDescent="0.3">
      <c r="B68" s="476">
        <v>55</v>
      </c>
      <c r="C68" s="78" t="s">
        <v>2050</v>
      </c>
      <c r="D68" s="478">
        <f>'17 Model'!M60</f>
        <v>206510.78559516396</v>
      </c>
      <c r="E68" s="478">
        <f>-'17 Model'!M75-'15 Assumptions'!C42*(-'17 Model'!M75+'17 Model'!L75)</f>
        <v>206510.78559516396</v>
      </c>
      <c r="F68" s="480" t="str">
        <f t="shared" si="3"/>
        <v>TIES</v>
      </c>
      <c r="G68" s="79" t="s">
        <v>2051</v>
      </c>
    </row>
    <row r="69" spans="2:7" x14ac:dyDescent="0.3">
      <c r="B69" s="476">
        <v>56</v>
      </c>
      <c r="C69" s="78" t="s">
        <v>2052</v>
      </c>
      <c r="D69" s="478">
        <f>IF('16 Scenarios'!$D$6=1,'17 Model'!P64,'DCF Base Model'!P64)</f>
        <v>137384.20790350105</v>
      </c>
      <c r="E69" s="478">
        <f>'DCF Base Model'!P64</f>
        <v>137384.20790350105</v>
      </c>
      <c r="F69" s="480" t="str">
        <f t="shared" si="3"/>
        <v>TIES</v>
      </c>
      <c r="G69" s="79" t="s">
        <v>2053</v>
      </c>
    </row>
    <row r="70" spans="2:7" x14ac:dyDescent="0.3">
      <c r="B70" s="476" t="s">
        <v>2593</v>
      </c>
      <c r="C70" s="78"/>
      <c r="D70" s="478"/>
      <c r="E70" s="478"/>
      <c r="F70" s="480"/>
      <c r="G70" s="79"/>
    </row>
    <row r="71" spans="2:7" ht="28.05" customHeight="1" x14ac:dyDescent="0.3">
      <c r="B71" s="476">
        <v>57</v>
      </c>
      <c r="C71" s="78" t="s">
        <v>2063</v>
      </c>
      <c r="D71" s="509">
        <f>IF(ISNUMBER(SEARCH("which "&amp;CHOOSE(SIGN(ROUND('17 Model'!P25-'17 Model'!L25,4))+2,"compresses","holds","expands"),'19 Model Summary'!B25)),1,0)</f>
        <v>1</v>
      </c>
      <c r="E71" s="510">
        <v>1</v>
      </c>
      <c r="F71" s="480" t="str">
        <f t="shared" ref="F71:F77" si="4">IF(ABS(D71-E71)&lt;=MAX(0.000000001,ABS(E71)*0.000000001),"TIES","DOES NOT TIE")</f>
        <v>TIES</v>
      </c>
      <c r="G71" s="79" t="s">
        <v>2064</v>
      </c>
    </row>
    <row r="72" spans="2:7" x14ac:dyDescent="0.3">
      <c r="B72" s="530">
        <v>58</v>
      </c>
      <c r="C72" s="78" t="s">
        <v>2090</v>
      </c>
      <c r="D72" s="529" cm="1">
        <f t="array" ref="D72">SUMPRODUCT(ABS('06 Core EPS Bridge'!C35:J35+'06 Core EPS Bridge'!C34:J34-'06 Core EPS Bridge'!C33:J33))</f>
        <v>0</v>
      </c>
      <c r="E72" s="531">
        <v>0</v>
      </c>
      <c r="F72" s="532" t="str">
        <f t="shared" si="4"/>
        <v>TIES</v>
      </c>
      <c r="G72" s="79" t="s">
        <v>2091</v>
      </c>
    </row>
    <row r="73" spans="2:7" x14ac:dyDescent="0.3">
      <c r="B73" s="530">
        <v>59</v>
      </c>
      <c r="C73" s="78" t="s">
        <v>2092</v>
      </c>
      <c r="D73" s="529">
        <f>SUM('17 Model'!H45:K45)</f>
        <v>76133.72</v>
      </c>
      <c r="E73" s="529">
        <f>SUM('06 Core EPS Bridge'!C35:E35)+'06 Core EPS Bridge'!E35-'06 Core EPS Bridge'!F35-'06 Core EPS Bridge'!H35+'06 Core EPS Bridge'!G35+'06 Core EPS Bridge'!I35</f>
        <v>76133.720000000016</v>
      </c>
      <c r="F73" s="532" t="str">
        <f t="shared" si="4"/>
        <v>TIES</v>
      </c>
      <c r="G73" s="79" t="s">
        <v>2093</v>
      </c>
    </row>
    <row r="74" spans="2:7" x14ac:dyDescent="0.3">
      <c r="B74" s="530">
        <v>60</v>
      </c>
      <c r="C74" s="78" t="s">
        <v>2094</v>
      </c>
      <c r="D74" s="533">
        <f>COUNTIFS('06 Core EPS Bridge'!C36:J36,"&lt;10")+COUNTIFS('06 Core EPS Bridge'!C36:J36,"&gt;22")+('15 Assumptions'!C10&lt;0.1)+('15 Assumptions'!C10&gt;0.22)</f>
        <v>0</v>
      </c>
      <c r="E74" s="534">
        <v>0</v>
      </c>
      <c r="F74" s="532" t="str">
        <f t="shared" si="4"/>
        <v>TIES</v>
      </c>
      <c r="G74" s="79" t="s">
        <v>2095</v>
      </c>
    </row>
    <row r="75" spans="2:7" x14ac:dyDescent="0.3">
      <c r="B75" s="476">
        <v>61</v>
      </c>
      <c r="C75" s="78" t="s">
        <v>2159</v>
      </c>
      <c r="D75" s="478">
        <f>'17 Model'!L94</f>
        <v>111496.52499272724</v>
      </c>
      <c r="E75" s="478">
        <f>IF('15 Assumptions'!$C$90=1,IF('15 Assumptions'!$C$79&lt;=1,'20 DCF Valuation'!$H$19/CHOOSE('16 Scenarios'!$D$6,'15 Assumptions'!$C$80,'15 Assumptions'!$C$81,'15 Assumptions'!$C$82),(-'17 Model'!P75-'17 Model'!P64-'17 Model'!P23*'15 Assumptions'!$C$57)/('17 Model'!P24*(1-'15 Assumptions'!$C$10))),'17 Model'!L90/CHOOSE('16 Scenarios'!$D$6,'15 Assumptions'!$C$80,'15 Assumptions'!$C$81,'15 Assumptions'!$C$82))*'17 Model'!L92</f>
        <v>111496.52499272724</v>
      </c>
      <c r="F75" s="480" t="str">
        <f t="shared" si="4"/>
        <v>TIES</v>
      </c>
      <c r="G75" s="79" t="s">
        <v>2160</v>
      </c>
    </row>
    <row r="76" spans="2:7" x14ac:dyDescent="0.3">
      <c r="B76" s="476">
        <v>62</v>
      </c>
      <c r="C76" s="78" t="s">
        <v>2161</v>
      </c>
      <c r="D76" s="478">
        <f>'17 Model'!U92</f>
        <v>362629.62916558131</v>
      </c>
      <c r="E76" s="478" cm="1">
        <f t="array" ref="E76">IF('15 Assumptions'!$C$91=1,'17 Model'!U91*CHOOSE('16 Scenarios'!$D$6,'15 Assumptions'!$C$106,'15 Assumptions'!$D$106,'15 Assumptions'!$E$106)*(1-'15 Assumptions'!$C$10),'17 Model'!P24*(1-'15 Assumptions'!$C$10)*PRODUCT(1+'17 Model'!L90:U90))</f>
        <v>362629.62916558131</v>
      </c>
      <c r="F76" s="480" t="str">
        <f t="shared" si="4"/>
        <v>TIES</v>
      </c>
      <c r="G76" s="79" t="s">
        <v>2162</v>
      </c>
    </row>
    <row r="77" spans="2:7" x14ac:dyDescent="0.3">
      <c r="B77" s="476">
        <v>63</v>
      </c>
      <c r="C77" s="78" t="s">
        <v>2163</v>
      </c>
      <c r="D77" s="478">
        <f>IF('16 Scenarios'!$D$6=1,'17 Model'!U95,'DCF Base Model'!U95)</f>
        <v>290103.70333246503</v>
      </c>
      <c r="E77" s="478">
        <f>'DCF Base Model'!U95</f>
        <v>290103.70333246503</v>
      </c>
      <c r="F77" s="480" t="str">
        <f t="shared" si="4"/>
        <v>TIES</v>
      </c>
      <c r="G77" s="79" t="s">
        <v>2164</v>
      </c>
    </row>
    <row r="78" spans="2:7" x14ac:dyDescent="0.3">
      <c r="B78" s="476">
        <v>64</v>
      </c>
      <c r="C78" s="78" t="s">
        <v>2213</v>
      </c>
      <c r="D78" s="559">
        <f>'17 Model'!K123</f>
        <v>0.35286786512904855</v>
      </c>
      <c r="E78" s="559">
        <f>('02 Quarterly'!D10+'02 Quarterly'!D28)/('02 Quarterly'!D7+'02 Quarterly'!D23)+'15 Assumptions'!C126</f>
        <v>0.35286786512904844</v>
      </c>
      <c r="F78" s="480" t="str">
        <f t="shared" ref="F78:F84" si="5">IF(ABS(D78-E78)&lt;=MAX(0.000000001,ABS(E78)*0.000000001),"TIES","DOES NOT TIE")</f>
        <v>TIES</v>
      </c>
      <c r="G78" s="79" t="s">
        <v>2214</v>
      </c>
    </row>
    <row r="79" spans="2:7" x14ac:dyDescent="0.3">
      <c r="B79" s="476">
        <v>65</v>
      </c>
      <c r="C79" s="78" t="s">
        <v>2215</v>
      </c>
      <c r="D79" s="559">
        <f>'16 Scenarios'!G25</f>
        <v>0.373</v>
      </c>
      <c r="E79" s="559">
        <f>IF('15 Assumptions'!C117=1,'17 Model'!P123,CHOOSE('16 Scenarios'!D6,'15 Assumptions'!G27,'15 Assumptions'!G28,'15 Assumptions'!G29))</f>
        <v>0.373</v>
      </c>
      <c r="F79" s="480" t="str">
        <f t="shared" si="5"/>
        <v>TIES</v>
      </c>
      <c r="G79" s="79" t="s">
        <v>2216</v>
      </c>
    </row>
    <row r="80" spans="2:7" x14ac:dyDescent="0.3">
      <c r="B80" s="476">
        <v>66</v>
      </c>
      <c r="C80" s="78" t="s">
        <v>2217</v>
      </c>
      <c r="D80" s="559">
        <f>IF('16 Scenarios'!$D$6=1,'17 Model'!P123,'DCF Base Model'!P123)</f>
        <v>0.33350606145125905</v>
      </c>
      <c r="E80" s="559">
        <f>'DCF Base Model'!P123</f>
        <v>0.33350606145125905</v>
      </c>
      <c r="F80" s="480" t="str">
        <f t="shared" si="5"/>
        <v>TIES</v>
      </c>
      <c r="G80" s="79" t="s">
        <v>2218</v>
      </c>
    </row>
    <row r="81" spans="2:7" x14ac:dyDescent="0.3">
      <c r="B81" s="530">
        <v>67</v>
      </c>
      <c r="C81" s="78" t="s">
        <v>2252</v>
      </c>
      <c r="D81" s="579">
        <f>'15 Assumptions'!C137</f>
        <v>1.0788256856727412</v>
      </c>
      <c r="E81" s="579">
        <f>CHOOSE('15 Assumptions'!C130,'11 Valuation'!C59,0.67*'11 Valuation'!C59+0.33,'15 Assumptions'!C135,'15 Assumptions'!C136)</f>
        <v>1.0788256856727412</v>
      </c>
      <c r="F81" s="532" t="str">
        <f t="shared" si="5"/>
        <v>TIES</v>
      </c>
      <c r="G81" s="79" t="s">
        <v>2253</v>
      </c>
    </row>
    <row r="82" spans="2:7" x14ac:dyDescent="0.3">
      <c r="B82" s="530">
        <v>68</v>
      </c>
      <c r="C82" s="78" t="s">
        <v>2254</v>
      </c>
      <c r="D82" s="579">
        <f>'11 Valuation'!C60</f>
        <v>9.7284095306735152E-2</v>
      </c>
      <c r="E82" s="579">
        <f>'11 Valuation'!C57+'15 Assumptions'!C137*'11 Valuation'!C58</f>
        <v>9.7284095306735152E-2</v>
      </c>
      <c r="F82" s="532" t="str">
        <f t="shared" si="5"/>
        <v>TIES</v>
      </c>
      <c r="G82" s="79" t="s">
        <v>2255</v>
      </c>
    </row>
    <row r="83" spans="2:7" x14ac:dyDescent="0.3">
      <c r="B83" s="530">
        <v>69</v>
      </c>
      <c r="C83" s="78" t="s">
        <v>2271</v>
      </c>
      <c r="D83" s="529">
        <f>'04 Balance Sheet'!G44</f>
        <v>124259</v>
      </c>
      <c r="E83" s="529">
        <f>'04 Balance Sheet'!G45+'04 Balance Sheet'!G46+'04 Balance Sheet'!G47</f>
        <v>124259</v>
      </c>
      <c r="F83" s="532" t="str">
        <f t="shared" si="5"/>
        <v>TIES</v>
      </c>
      <c r="G83" s="79" t="s">
        <v>2272</v>
      </c>
    </row>
    <row r="84" spans="2:7" x14ac:dyDescent="0.3">
      <c r="B84" s="530">
        <v>70</v>
      </c>
      <c r="C84" s="78" t="s">
        <v>2273</v>
      </c>
      <c r="D84" s="529">
        <f>'04 Balance Sheet'!G40+'04 Balance Sheet'!G41</f>
        <v>186563</v>
      </c>
      <c r="E84" s="529">
        <f>'04 Balance Sheet'!G7</f>
        <v>186563</v>
      </c>
      <c r="F84" s="532" t="str">
        <f t="shared" si="5"/>
        <v>TIES</v>
      </c>
      <c r="G84" s="79" t="s">
        <v>2274</v>
      </c>
    </row>
    <row r="85" spans="2:7" x14ac:dyDescent="0.3">
      <c r="B85" s="530">
        <v>71</v>
      </c>
      <c r="C85" s="78" t="s">
        <v>2594</v>
      </c>
      <c r="D85" s="529">
        <f>'21 Reverse DCF'!C13</f>
        <v>193.52645840684036</v>
      </c>
      <c r="E85" s="529">
        <f>'20 DCF Valuation'!C29</f>
        <v>193.52645840684036</v>
      </c>
      <c r="F85" s="532" t="str">
        <f>IF(ABS(D85-E85)&lt;=0.005,"TIES","DOES NOT TIE")</f>
        <v>TIES</v>
      </c>
      <c r="G85" s="79" t="s">
        <v>2433</v>
      </c>
    </row>
    <row r="87" spans="2:7" x14ac:dyDescent="0.3">
      <c r="B87" s="476" t="s">
        <v>2182</v>
      </c>
      <c r="C87" s="78" t="s">
        <v>2183</v>
      </c>
      <c r="D87" s="553">
        <f>'17 Model'!O111</f>
        <v>0.29860136963512718</v>
      </c>
      <c r="E87" s="553">
        <f>'15 Assumptions'!C114</f>
        <v>0.1</v>
      </c>
      <c r="F87" s="554" t="str">
        <f>'17 Model'!O112</f>
        <v>OK</v>
      </c>
      <c r="G87" s="79" t="s">
        <v>2184</v>
      </c>
    </row>
    <row r="90" spans="2:7" x14ac:dyDescent="0.3">
      <c r="B90" s="511" t="str">
        <f>COUNTIF(F6:F89,"TIES")&amp;" of "&amp;(COUNTIF(F6:F89,"TIES")+COUNTIF(F6:F89,"DOES NOT TIE"))&amp;" checks tie. Scenario switch currently: "&amp;'16 Scenarios'!F6</f>
        <v>71 of 71 checks tie. Scenario switch currently: BASE CASE</v>
      </c>
      <c r="C90" s="15"/>
      <c r="D90" s="15"/>
      <c r="E90" s="15"/>
      <c r="F90" s="15"/>
      <c r="G90" s="15"/>
    </row>
    <row r="91" spans="2:7" ht="364.8" x14ac:dyDescent="0.3">
      <c r="B91" s="512" t="s">
        <v>2065</v>
      </c>
      <c r="C91" s="15"/>
      <c r="D91" s="15"/>
      <c r="E91" s="15"/>
      <c r="F91" s="15"/>
      <c r="G91" s="15"/>
    </row>
  </sheetData>
  <conditionalFormatting sqref="F6:F85">
    <cfRule type="containsText" dxfId="3" priority="3" operator="containsText" text="TIES">
      <formula>NOT(ISERROR(SEARCH("TIES",F6)))</formula>
    </cfRule>
    <cfRule type="containsText" dxfId="2" priority="4" operator="containsText" text="DOES NOT">
      <formula>NOT(ISERROR(SEARCH("DOES NOT",F6)))</formula>
    </cfRule>
  </conditionalFormatting>
  <conditionalFormatting sqref="F87">
    <cfRule type="containsText" dxfId="1" priority="1" operator="containsText" text="TIES">
      <formula>NOT(ISERROR(SEARCH("TIES",F87)))</formula>
    </cfRule>
    <cfRule type="containsText" dxfId="0" priority="2" operator="containsText" text="DOES NOT">
      <formula>NOT(ISERROR(SEARCH("DOES NOT",F87)))</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B2D5C"/>
    <pageSetUpPr fitToPage="1"/>
  </sheetPr>
  <dimension ref="B1:I259"/>
  <sheetViews>
    <sheetView showGridLines="0" workbookViewId="0">
      <pane ySplit="5" topLeftCell="A227" activePane="bottomLeft" state="frozen"/>
      <selection pane="bottomLeft"/>
    </sheetView>
  </sheetViews>
  <sheetFormatPr defaultRowHeight="14.4" x14ac:dyDescent="0.3"/>
  <cols>
    <col min="1" max="1" width="3.33203125" customWidth="1"/>
    <col min="2" max="2" width="7" customWidth="1"/>
    <col min="3" max="3" width="51.88671875" customWidth="1"/>
    <col min="4" max="4" width="20.33203125" customWidth="1"/>
    <col min="5" max="8" width="15.77734375" customWidth="1"/>
    <col min="9" max="9" width="44.44140625" customWidth="1"/>
  </cols>
  <sheetData>
    <row r="1" spans="2:9" ht="6" customHeight="1" x14ac:dyDescent="0.3"/>
    <row r="2" spans="2:9" ht="28.05" customHeight="1" thickBot="1" x14ac:dyDescent="0.45">
      <c r="B2" s="396" t="s">
        <v>2602</v>
      </c>
      <c r="C2" s="396"/>
      <c r="D2" s="396"/>
      <c r="E2" s="396"/>
      <c r="F2" s="396"/>
      <c r="G2" s="396"/>
      <c r="H2" s="396"/>
      <c r="I2" s="396"/>
    </row>
    <row r="3" spans="2:9" ht="15" customHeight="1" thickBot="1" x14ac:dyDescent="0.35">
      <c r="B3" s="661" t="s">
        <v>1324</v>
      </c>
      <c r="C3" s="662"/>
      <c r="D3" s="662"/>
      <c r="E3" s="662"/>
      <c r="F3" s="662"/>
      <c r="G3" s="662"/>
      <c r="H3" s="662"/>
      <c r="I3" s="662"/>
    </row>
    <row r="4" spans="2:9" x14ac:dyDescent="0.3">
      <c r="B4" s="1"/>
      <c r="C4" s="1"/>
      <c r="D4" s="1"/>
      <c r="E4" s="1"/>
      <c r="F4" s="1"/>
      <c r="G4" s="1"/>
      <c r="H4" s="1"/>
      <c r="I4" s="1"/>
    </row>
    <row r="5" spans="2:9" ht="18" customHeight="1" x14ac:dyDescent="0.3">
      <c r="B5" s="128" t="s">
        <v>307</v>
      </c>
      <c r="C5" s="129" t="s">
        <v>308</v>
      </c>
      <c r="D5" s="129" t="s">
        <v>309</v>
      </c>
      <c r="E5" s="129" t="s">
        <v>310</v>
      </c>
      <c r="F5" s="129" t="s">
        <v>311</v>
      </c>
      <c r="G5" s="129" t="s">
        <v>312</v>
      </c>
      <c r="H5" s="129" t="s">
        <v>313</v>
      </c>
      <c r="I5" s="129" t="s">
        <v>314</v>
      </c>
    </row>
    <row r="6" spans="2:9" ht="22.8" x14ac:dyDescent="0.3">
      <c r="B6" s="363">
        <f>ROW()-5</f>
        <v>1</v>
      </c>
      <c r="C6" s="315" t="s">
        <v>315</v>
      </c>
      <c r="D6" s="315" t="s">
        <v>316</v>
      </c>
      <c r="E6" s="315" t="s">
        <v>317</v>
      </c>
      <c r="F6" s="315" t="s">
        <v>318</v>
      </c>
      <c r="G6" s="315" t="s">
        <v>319</v>
      </c>
      <c r="H6" s="315" t="s">
        <v>320</v>
      </c>
      <c r="I6" s="314" t="s">
        <v>321</v>
      </c>
    </row>
    <row r="7" spans="2:9" ht="22.8" x14ac:dyDescent="0.3">
      <c r="B7" s="363">
        <f t="shared" ref="B7:B70" si="0">ROW()-5</f>
        <v>2</v>
      </c>
      <c r="C7" s="315" t="s">
        <v>322</v>
      </c>
      <c r="D7" s="315" t="s">
        <v>316</v>
      </c>
      <c r="E7" s="315" t="s">
        <v>317</v>
      </c>
      <c r="F7" s="315" t="s">
        <v>318</v>
      </c>
      <c r="G7" s="315" t="s">
        <v>319</v>
      </c>
      <c r="H7" s="315" t="s">
        <v>320</v>
      </c>
      <c r="I7" s="314" t="s">
        <v>323</v>
      </c>
    </row>
    <row r="8" spans="2:9" ht="22.8" x14ac:dyDescent="0.3">
      <c r="B8" s="363">
        <f t="shared" si="0"/>
        <v>3</v>
      </c>
      <c r="C8" s="315" t="s">
        <v>324</v>
      </c>
      <c r="D8" s="315" t="s">
        <v>325</v>
      </c>
      <c r="E8" s="315" t="s">
        <v>317</v>
      </c>
      <c r="F8" s="315" t="s">
        <v>318</v>
      </c>
      <c r="G8" s="315" t="s">
        <v>319</v>
      </c>
      <c r="H8" s="315" t="s">
        <v>326</v>
      </c>
      <c r="I8" s="314" t="s">
        <v>327</v>
      </c>
    </row>
    <row r="9" spans="2:9" ht="22.8" x14ac:dyDescent="0.3">
      <c r="B9" s="363">
        <f t="shared" si="0"/>
        <v>4</v>
      </c>
      <c r="C9" s="315" t="s">
        <v>328</v>
      </c>
      <c r="D9" s="315" t="s">
        <v>325</v>
      </c>
      <c r="E9" s="315" t="s">
        <v>317</v>
      </c>
      <c r="F9" s="315" t="s">
        <v>318</v>
      </c>
      <c r="G9" s="315" t="s">
        <v>319</v>
      </c>
      <c r="H9" s="315" t="s">
        <v>320</v>
      </c>
      <c r="I9" s="314" t="s">
        <v>329</v>
      </c>
    </row>
    <row r="10" spans="2:9" ht="22.8" x14ac:dyDescent="0.3">
      <c r="B10" s="363">
        <f t="shared" si="0"/>
        <v>5</v>
      </c>
      <c r="C10" s="315" t="s">
        <v>330</v>
      </c>
      <c r="D10" s="315" t="s">
        <v>325</v>
      </c>
      <c r="E10" s="315" t="s">
        <v>317</v>
      </c>
      <c r="F10" s="315" t="s">
        <v>318</v>
      </c>
      <c r="G10" s="315" t="s">
        <v>319</v>
      </c>
      <c r="H10" s="315" t="s">
        <v>320</v>
      </c>
      <c r="I10" s="314" t="s">
        <v>331</v>
      </c>
    </row>
    <row r="11" spans="2:9" ht="22.8" x14ac:dyDescent="0.3">
      <c r="B11" s="363">
        <f t="shared" si="0"/>
        <v>6</v>
      </c>
      <c r="C11" s="315" t="s">
        <v>328</v>
      </c>
      <c r="D11" s="315" t="s">
        <v>332</v>
      </c>
      <c r="E11" s="315" t="s">
        <v>317</v>
      </c>
      <c r="F11" s="315" t="s">
        <v>318</v>
      </c>
      <c r="G11" s="315" t="s">
        <v>319</v>
      </c>
      <c r="H11" s="315" t="s">
        <v>320</v>
      </c>
      <c r="I11" s="314" t="s">
        <v>333</v>
      </c>
    </row>
    <row r="12" spans="2:9" ht="45.6" x14ac:dyDescent="0.3">
      <c r="B12" s="363">
        <f t="shared" si="0"/>
        <v>7</v>
      </c>
      <c r="C12" s="315" t="s">
        <v>1297</v>
      </c>
      <c r="D12" s="315" t="s">
        <v>334</v>
      </c>
      <c r="E12" s="315" t="s">
        <v>317</v>
      </c>
      <c r="F12" s="315" t="s">
        <v>318</v>
      </c>
      <c r="G12" s="315" t="s">
        <v>319</v>
      </c>
      <c r="H12" s="315" t="s">
        <v>320</v>
      </c>
      <c r="I12" s="314" t="s">
        <v>335</v>
      </c>
    </row>
    <row r="13" spans="2:9" x14ac:dyDescent="0.3">
      <c r="B13" s="363">
        <f t="shared" si="0"/>
        <v>8</v>
      </c>
      <c r="C13" s="315" t="s">
        <v>336</v>
      </c>
      <c r="D13" s="315" t="s">
        <v>337</v>
      </c>
      <c r="E13" s="315" t="s">
        <v>317</v>
      </c>
      <c r="F13" s="315" t="s">
        <v>318</v>
      </c>
      <c r="G13" s="315" t="s">
        <v>319</v>
      </c>
      <c r="H13" s="315" t="s">
        <v>320</v>
      </c>
      <c r="I13" s="314" t="s">
        <v>338</v>
      </c>
    </row>
    <row r="14" spans="2:9" ht="22.8" x14ac:dyDescent="0.3">
      <c r="B14" s="363">
        <f t="shared" si="0"/>
        <v>9</v>
      </c>
      <c r="C14" s="315" t="s">
        <v>339</v>
      </c>
      <c r="D14" s="315" t="s">
        <v>340</v>
      </c>
      <c r="E14" s="315" t="s">
        <v>317</v>
      </c>
      <c r="F14" s="315" t="s">
        <v>318</v>
      </c>
      <c r="G14" s="315" t="s">
        <v>319</v>
      </c>
      <c r="H14" s="315" t="s">
        <v>320</v>
      </c>
      <c r="I14" s="314" t="s">
        <v>341</v>
      </c>
    </row>
    <row r="15" spans="2:9" ht="22.8" x14ac:dyDescent="0.3">
      <c r="B15" s="363">
        <f t="shared" si="0"/>
        <v>10</v>
      </c>
      <c r="C15" s="315" t="s">
        <v>342</v>
      </c>
      <c r="D15" s="315" t="s">
        <v>343</v>
      </c>
      <c r="E15" s="315" t="s">
        <v>317</v>
      </c>
      <c r="F15" s="315" t="s">
        <v>318</v>
      </c>
      <c r="G15" s="315" t="s">
        <v>319</v>
      </c>
      <c r="H15" s="315" t="s">
        <v>320</v>
      </c>
      <c r="I15" s="314" t="s">
        <v>344</v>
      </c>
    </row>
    <row r="16" spans="2:9" x14ac:dyDescent="0.3">
      <c r="B16" s="363">
        <f t="shared" si="0"/>
        <v>11</v>
      </c>
      <c r="C16" s="315" t="s">
        <v>345</v>
      </c>
      <c r="D16" s="315" t="s">
        <v>346</v>
      </c>
      <c r="E16" s="315" t="s">
        <v>317</v>
      </c>
      <c r="F16" s="315" t="s">
        <v>318</v>
      </c>
      <c r="G16" s="315" t="s">
        <v>319</v>
      </c>
      <c r="H16" s="315" t="s">
        <v>320</v>
      </c>
      <c r="I16" s="314" t="s">
        <v>347</v>
      </c>
    </row>
    <row r="17" spans="2:9" ht="22.8" x14ac:dyDescent="0.3">
      <c r="B17" s="363">
        <f t="shared" si="0"/>
        <v>12</v>
      </c>
      <c r="C17" s="315" t="s">
        <v>348</v>
      </c>
      <c r="D17" s="315" t="s">
        <v>349</v>
      </c>
      <c r="E17" s="315" t="s">
        <v>317</v>
      </c>
      <c r="F17" s="315" t="s">
        <v>318</v>
      </c>
      <c r="G17" s="315" t="s">
        <v>319</v>
      </c>
      <c r="H17" s="315" t="s">
        <v>320</v>
      </c>
      <c r="I17" s="314" t="s">
        <v>350</v>
      </c>
    </row>
    <row r="18" spans="2:9" ht="22.8" x14ac:dyDescent="0.3">
      <c r="B18" s="363">
        <f t="shared" si="0"/>
        <v>13</v>
      </c>
      <c r="C18" s="315" t="s">
        <v>351</v>
      </c>
      <c r="D18" s="315" t="s">
        <v>349</v>
      </c>
      <c r="E18" s="315" t="s">
        <v>317</v>
      </c>
      <c r="F18" s="315" t="s">
        <v>318</v>
      </c>
      <c r="G18" s="315" t="s">
        <v>319</v>
      </c>
      <c r="H18" s="315" t="s">
        <v>320</v>
      </c>
      <c r="I18" s="314" t="s">
        <v>352</v>
      </c>
    </row>
    <row r="19" spans="2:9" ht="22.8" x14ac:dyDescent="0.3">
      <c r="B19" s="363">
        <f t="shared" si="0"/>
        <v>14</v>
      </c>
      <c r="C19" s="315" t="s">
        <v>353</v>
      </c>
      <c r="D19" s="315" t="s">
        <v>349</v>
      </c>
      <c r="E19" s="315" t="s">
        <v>317</v>
      </c>
      <c r="F19" s="315" t="s">
        <v>318</v>
      </c>
      <c r="G19" s="315" t="s">
        <v>319</v>
      </c>
      <c r="H19" s="315" t="s">
        <v>320</v>
      </c>
      <c r="I19" s="314" t="s">
        <v>354</v>
      </c>
    </row>
    <row r="20" spans="2:9" ht="34.200000000000003" x14ac:dyDescent="0.3">
      <c r="B20" s="363">
        <f t="shared" si="0"/>
        <v>15</v>
      </c>
      <c r="C20" s="315" t="s">
        <v>355</v>
      </c>
      <c r="D20" s="315" t="s">
        <v>356</v>
      </c>
      <c r="E20" s="315" t="s">
        <v>317</v>
      </c>
      <c r="F20" s="315" t="s">
        <v>318</v>
      </c>
      <c r="G20" s="315" t="s">
        <v>319</v>
      </c>
      <c r="H20" s="315" t="s">
        <v>320</v>
      </c>
      <c r="I20" s="314" t="s">
        <v>357</v>
      </c>
    </row>
    <row r="21" spans="2:9" ht="22.8" x14ac:dyDescent="0.3">
      <c r="B21" s="363">
        <f t="shared" si="0"/>
        <v>16</v>
      </c>
      <c r="C21" s="315" t="s">
        <v>358</v>
      </c>
      <c r="D21" s="315" t="s">
        <v>359</v>
      </c>
      <c r="E21" s="315" t="s">
        <v>317</v>
      </c>
      <c r="F21" s="315" t="s">
        <v>318</v>
      </c>
      <c r="G21" s="315" t="s">
        <v>319</v>
      </c>
      <c r="H21" s="315" t="s">
        <v>360</v>
      </c>
      <c r="I21" s="314" t="s">
        <v>361</v>
      </c>
    </row>
    <row r="22" spans="2:9" ht="22.8" x14ac:dyDescent="0.3">
      <c r="B22" s="363">
        <f t="shared" si="0"/>
        <v>17</v>
      </c>
      <c r="C22" s="315" t="s">
        <v>362</v>
      </c>
      <c r="D22" s="315" t="s">
        <v>359</v>
      </c>
      <c r="E22" s="315" t="s">
        <v>317</v>
      </c>
      <c r="F22" s="315" t="s">
        <v>318</v>
      </c>
      <c r="G22" s="315" t="s">
        <v>319</v>
      </c>
      <c r="H22" s="315" t="s">
        <v>363</v>
      </c>
      <c r="I22" s="314" t="s">
        <v>364</v>
      </c>
    </row>
    <row r="23" spans="2:9" ht="34.200000000000003" x14ac:dyDescent="0.3">
      <c r="B23" s="363">
        <f t="shared" si="0"/>
        <v>18</v>
      </c>
      <c r="C23" s="315" t="s">
        <v>365</v>
      </c>
      <c r="D23" s="315" t="s">
        <v>359</v>
      </c>
      <c r="E23" s="315" t="s">
        <v>317</v>
      </c>
      <c r="F23" s="315" t="s">
        <v>318</v>
      </c>
      <c r="G23" s="315" t="s">
        <v>319</v>
      </c>
      <c r="H23" s="315" t="s">
        <v>366</v>
      </c>
      <c r="I23" s="314" t="s">
        <v>367</v>
      </c>
    </row>
    <row r="24" spans="2:9" ht="22.8" x14ac:dyDescent="0.3">
      <c r="B24" s="363">
        <f t="shared" si="0"/>
        <v>19</v>
      </c>
      <c r="C24" s="315" t="s">
        <v>1298</v>
      </c>
      <c r="D24" s="315" t="s">
        <v>359</v>
      </c>
      <c r="E24" s="315" t="s">
        <v>317</v>
      </c>
      <c r="F24" s="315" t="s">
        <v>318</v>
      </c>
      <c r="G24" s="315" t="s">
        <v>319</v>
      </c>
      <c r="H24" s="315" t="s">
        <v>368</v>
      </c>
      <c r="I24" s="314" t="s">
        <v>369</v>
      </c>
    </row>
    <row r="25" spans="2:9" ht="22.8" x14ac:dyDescent="0.3">
      <c r="B25" s="363">
        <f t="shared" si="0"/>
        <v>20</v>
      </c>
      <c r="C25" s="315" t="s">
        <v>370</v>
      </c>
      <c r="D25" s="315" t="s">
        <v>371</v>
      </c>
      <c r="E25" s="315" t="s">
        <v>317</v>
      </c>
      <c r="F25" s="315" t="s">
        <v>372</v>
      </c>
      <c r="G25" s="315" t="s">
        <v>373</v>
      </c>
      <c r="H25" s="315" t="s">
        <v>363</v>
      </c>
      <c r="I25" s="314" t="s">
        <v>374</v>
      </c>
    </row>
    <row r="26" spans="2:9" ht="22.8" x14ac:dyDescent="0.3">
      <c r="B26" s="363">
        <f t="shared" si="0"/>
        <v>21</v>
      </c>
      <c r="C26" s="315" t="s">
        <v>375</v>
      </c>
      <c r="D26" s="315" t="s">
        <v>371</v>
      </c>
      <c r="E26" s="315" t="s">
        <v>317</v>
      </c>
      <c r="F26" s="315" t="s">
        <v>372</v>
      </c>
      <c r="G26" s="315" t="s">
        <v>373</v>
      </c>
      <c r="H26" s="315" t="s">
        <v>376</v>
      </c>
      <c r="I26" s="314" t="s">
        <v>377</v>
      </c>
    </row>
    <row r="27" spans="2:9" ht="22.8" x14ac:dyDescent="0.3">
      <c r="B27" s="363">
        <f t="shared" si="0"/>
        <v>22</v>
      </c>
      <c r="C27" s="315" t="s">
        <v>378</v>
      </c>
      <c r="D27" s="315" t="s">
        <v>371</v>
      </c>
      <c r="E27" s="315" t="s">
        <v>317</v>
      </c>
      <c r="F27" s="315" t="s">
        <v>372</v>
      </c>
      <c r="G27" s="315" t="s">
        <v>373</v>
      </c>
      <c r="H27" s="315" t="s">
        <v>363</v>
      </c>
      <c r="I27" s="314" t="s">
        <v>379</v>
      </c>
    </row>
    <row r="28" spans="2:9" ht="34.200000000000003" x14ac:dyDescent="0.3">
      <c r="B28" s="363">
        <f t="shared" si="0"/>
        <v>23</v>
      </c>
      <c r="C28" s="315" t="s">
        <v>380</v>
      </c>
      <c r="D28" s="315" t="s">
        <v>371</v>
      </c>
      <c r="E28" s="315" t="s">
        <v>317</v>
      </c>
      <c r="F28" s="315" t="s">
        <v>372</v>
      </c>
      <c r="G28" s="315" t="s">
        <v>373</v>
      </c>
      <c r="H28" s="315" t="s">
        <v>363</v>
      </c>
      <c r="I28" s="314" t="s">
        <v>381</v>
      </c>
    </row>
    <row r="29" spans="2:9" ht="22.8" x14ac:dyDescent="0.3">
      <c r="B29" s="363">
        <f t="shared" si="0"/>
        <v>24</v>
      </c>
      <c r="C29" s="315" t="s">
        <v>382</v>
      </c>
      <c r="D29" s="315" t="s">
        <v>371</v>
      </c>
      <c r="E29" s="315" t="s">
        <v>317</v>
      </c>
      <c r="F29" s="315" t="s">
        <v>372</v>
      </c>
      <c r="G29" s="315" t="s">
        <v>373</v>
      </c>
      <c r="H29" s="315" t="s">
        <v>363</v>
      </c>
      <c r="I29" s="314" t="s">
        <v>383</v>
      </c>
    </row>
    <row r="30" spans="2:9" ht="22.8" x14ac:dyDescent="0.3">
      <c r="B30" s="363">
        <f t="shared" si="0"/>
        <v>25</v>
      </c>
      <c r="C30" s="315" t="s">
        <v>384</v>
      </c>
      <c r="D30" s="315" t="s">
        <v>371</v>
      </c>
      <c r="E30" s="315" t="s">
        <v>317</v>
      </c>
      <c r="F30" s="315" t="s">
        <v>372</v>
      </c>
      <c r="G30" s="315" t="s">
        <v>373</v>
      </c>
      <c r="H30" s="315" t="s">
        <v>363</v>
      </c>
      <c r="I30" s="314" t="s">
        <v>385</v>
      </c>
    </row>
    <row r="31" spans="2:9" ht="34.200000000000003" x14ac:dyDescent="0.3">
      <c r="B31" s="363">
        <f t="shared" si="0"/>
        <v>26</v>
      </c>
      <c r="C31" s="315" t="s">
        <v>386</v>
      </c>
      <c r="D31" s="315" t="s">
        <v>371</v>
      </c>
      <c r="E31" s="315" t="s">
        <v>317</v>
      </c>
      <c r="F31" s="315" t="s">
        <v>372</v>
      </c>
      <c r="G31" s="315" t="s">
        <v>373</v>
      </c>
      <c r="H31" s="315" t="s">
        <v>387</v>
      </c>
      <c r="I31" s="314" t="s">
        <v>388</v>
      </c>
    </row>
    <row r="32" spans="2:9" ht="34.200000000000003" x14ac:dyDescent="0.3">
      <c r="B32" s="363">
        <f t="shared" si="0"/>
        <v>27</v>
      </c>
      <c r="C32" s="315" t="s">
        <v>389</v>
      </c>
      <c r="D32" s="315" t="s">
        <v>371</v>
      </c>
      <c r="E32" s="315" t="s">
        <v>317</v>
      </c>
      <c r="F32" s="315" t="s">
        <v>372</v>
      </c>
      <c r="G32" s="315" t="s">
        <v>373</v>
      </c>
      <c r="H32" s="315" t="s">
        <v>387</v>
      </c>
      <c r="I32" s="314" t="s">
        <v>390</v>
      </c>
    </row>
    <row r="33" spans="2:9" ht="22.8" x14ac:dyDescent="0.3">
      <c r="B33" s="363">
        <f t="shared" si="0"/>
        <v>28</v>
      </c>
      <c r="C33" s="315" t="s">
        <v>391</v>
      </c>
      <c r="D33" s="315" t="s">
        <v>371</v>
      </c>
      <c r="E33" s="315" t="s">
        <v>317</v>
      </c>
      <c r="F33" s="315" t="s">
        <v>372</v>
      </c>
      <c r="G33" s="315" t="s">
        <v>373</v>
      </c>
      <c r="H33" s="315" t="s">
        <v>392</v>
      </c>
      <c r="I33" s="314" t="s">
        <v>393</v>
      </c>
    </row>
    <row r="34" spans="2:9" ht="22.8" x14ac:dyDescent="0.3">
      <c r="B34" s="363">
        <f t="shared" si="0"/>
        <v>29</v>
      </c>
      <c r="C34" s="315" t="s">
        <v>394</v>
      </c>
      <c r="D34" s="315" t="s">
        <v>371</v>
      </c>
      <c r="E34" s="315" t="s">
        <v>317</v>
      </c>
      <c r="F34" s="315" t="s">
        <v>372</v>
      </c>
      <c r="G34" s="315" t="s">
        <v>373</v>
      </c>
      <c r="H34" s="315" t="s">
        <v>392</v>
      </c>
      <c r="I34" s="314" t="s">
        <v>395</v>
      </c>
    </row>
    <row r="35" spans="2:9" ht="22.8" x14ac:dyDescent="0.3">
      <c r="B35" s="363">
        <f t="shared" si="0"/>
        <v>30</v>
      </c>
      <c r="C35" s="315" t="s">
        <v>396</v>
      </c>
      <c r="D35" s="315" t="s">
        <v>371</v>
      </c>
      <c r="E35" s="315" t="s">
        <v>317</v>
      </c>
      <c r="F35" s="315" t="s">
        <v>372</v>
      </c>
      <c r="G35" s="315" t="s">
        <v>373</v>
      </c>
      <c r="H35" s="315" t="s">
        <v>392</v>
      </c>
      <c r="I35" s="314" t="s">
        <v>397</v>
      </c>
    </row>
    <row r="36" spans="2:9" ht="22.8" x14ac:dyDescent="0.3">
      <c r="B36" s="363">
        <f t="shared" si="0"/>
        <v>31</v>
      </c>
      <c r="C36" s="315" t="s">
        <v>398</v>
      </c>
      <c r="D36" s="315" t="s">
        <v>371</v>
      </c>
      <c r="E36" s="315" t="s">
        <v>317</v>
      </c>
      <c r="F36" s="315" t="s">
        <v>372</v>
      </c>
      <c r="G36" s="315" t="s">
        <v>373</v>
      </c>
      <c r="H36" s="315" t="s">
        <v>320</v>
      </c>
      <c r="I36" s="314" t="s">
        <v>399</v>
      </c>
    </row>
    <row r="37" spans="2:9" ht="22.8" x14ac:dyDescent="0.3">
      <c r="B37" s="363">
        <f t="shared" si="0"/>
        <v>32</v>
      </c>
      <c r="C37" s="315" t="s">
        <v>400</v>
      </c>
      <c r="D37" s="315" t="s">
        <v>371</v>
      </c>
      <c r="E37" s="315" t="s">
        <v>317</v>
      </c>
      <c r="F37" s="315" t="s">
        <v>372</v>
      </c>
      <c r="G37" s="315" t="s">
        <v>373</v>
      </c>
      <c r="H37" s="315" t="s">
        <v>320</v>
      </c>
      <c r="I37" s="314" t="s">
        <v>401</v>
      </c>
    </row>
    <row r="38" spans="2:9" ht="22.8" x14ac:dyDescent="0.3">
      <c r="B38" s="363">
        <f t="shared" si="0"/>
        <v>33</v>
      </c>
      <c r="C38" s="315" t="s">
        <v>1299</v>
      </c>
      <c r="D38" s="315" t="s">
        <v>371</v>
      </c>
      <c r="E38" s="315" t="s">
        <v>317</v>
      </c>
      <c r="F38" s="315" t="s">
        <v>372</v>
      </c>
      <c r="G38" s="315" t="s">
        <v>373</v>
      </c>
      <c r="H38" s="315" t="s">
        <v>368</v>
      </c>
      <c r="I38" s="314" t="s">
        <v>402</v>
      </c>
    </row>
    <row r="39" spans="2:9" ht="22.8" x14ac:dyDescent="0.3">
      <c r="B39" s="363">
        <f t="shared" si="0"/>
        <v>34</v>
      </c>
      <c r="C39" s="315" t="s">
        <v>1300</v>
      </c>
      <c r="D39" s="315" t="s">
        <v>371</v>
      </c>
      <c r="E39" s="315" t="s">
        <v>317</v>
      </c>
      <c r="F39" s="315" t="s">
        <v>372</v>
      </c>
      <c r="G39" s="315" t="s">
        <v>373</v>
      </c>
      <c r="H39" s="315" t="s">
        <v>368</v>
      </c>
      <c r="I39" s="314" t="s">
        <v>403</v>
      </c>
    </row>
    <row r="40" spans="2:9" ht="22.8" x14ac:dyDescent="0.3">
      <c r="B40" s="363">
        <f t="shared" si="0"/>
        <v>35</v>
      </c>
      <c r="C40" s="315" t="s">
        <v>1301</v>
      </c>
      <c r="D40" s="315" t="s">
        <v>371</v>
      </c>
      <c r="E40" s="315" t="s">
        <v>317</v>
      </c>
      <c r="F40" s="315" t="s">
        <v>372</v>
      </c>
      <c r="G40" s="315" t="s">
        <v>373</v>
      </c>
      <c r="H40" s="315" t="s">
        <v>368</v>
      </c>
      <c r="I40" s="314" t="s">
        <v>404</v>
      </c>
    </row>
    <row r="41" spans="2:9" ht="22.8" x14ac:dyDescent="0.3">
      <c r="B41" s="363">
        <f t="shared" si="0"/>
        <v>36</v>
      </c>
      <c r="C41" s="315" t="s">
        <v>1302</v>
      </c>
      <c r="D41" s="315" t="s">
        <v>371</v>
      </c>
      <c r="E41" s="315" t="s">
        <v>317</v>
      </c>
      <c r="F41" s="315">
        <v>403</v>
      </c>
      <c r="G41" s="315" t="s">
        <v>373</v>
      </c>
      <c r="H41" s="315" t="s">
        <v>368</v>
      </c>
      <c r="I41" s="314" t="s">
        <v>405</v>
      </c>
    </row>
    <row r="42" spans="2:9" ht="34.200000000000003" x14ac:dyDescent="0.3">
      <c r="B42" s="363">
        <f t="shared" si="0"/>
        <v>37</v>
      </c>
      <c r="C42" s="315" t="s">
        <v>365</v>
      </c>
      <c r="D42" s="315" t="s">
        <v>371</v>
      </c>
      <c r="E42" s="315" t="s">
        <v>317</v>
      </c>
      <c r="F42" s="315" t="s">
        <v>372</v>
      </c>
      <c r="G42" s="315" t="s">
        <v>373</v>
      </c>
      <c r="H42" s="315" t="s">
        <v>406</v>
      </c>
      <c r="I42" s="314" t="s">
        <v>407</v>
      </c>
    </row>
    <row r="43" spans="2:9" ht="34.200000000000003" x14ac:dyDescent="0.3">
      <c r="B43" s="363">
        <f t="shared" si="0"/>
        <v>38</v>
      </c>
      <c r="C43" s="315" t="s">
        <v>408</v>
      </c>
      <c r="D43" s="315" t="s">
        <v>409</v>
      </c>
      <c r="E43" s="315" t="s">
        <v>317</v>
      </c>
      <c r="F43" s="315" t="s">
        <v>318</v>
      </c>
      <c r="G43" s="315" t="s">
        <v>319</v>
      </c>
      <c r="H43" s="315" t="s">
        <v>320</v>
      </c>
      <c r="I43" s="314" t="s">
        <v>410</v>
      </c>
    </row>
    <row r="44" spans="2:9" ht="34.200000000000003" x14ac:dyDescent="0.3">
      <c r="B44" s="363">
        <f t="shared" si="0"/>
        <v>39</v>
      </c>
      <c r="C44" s="315" t="s">
        <v>411</v>
      </c>
      <c r="D44" s="315" t="s">
        <v>409</v>
      </c>
      <c r="E44" s="315" t="s">
        <v>317</v>
      </c>
      <c r="F44" s="315" t="s">
        <v>318</v>
      </c>
      <c r="G44" s="315" t="s">
        <v>319</v>
      </c>
      <c r="H44" s="315" t="s">
        <v>320</v>
      </c>
      <c r="I44" s="314" t="s">
        <v>412</v>
      </c>
    </row>
    <row r="45" spans="2:9" ht="34.200000000000003" x14ac:dyDescent="0.3">
      <c r="B45" s="471">
        <f t="shared" si="0"/>
        <v>40</v>
      </c>
      <c r="C45" s="311" t="s">
        <v>413</v>
      </c>
      <c r="D45" s="311" t="s">
        <v>414</v>
      </c>
      <c r="E45" s="311" t="s">
        <v>415</v>
      </c>
      <c r="F45" s="311" t="s">
        <v>372</v>
      </c>
      <c r="G45" s="311" t="s">
        <v>416</v>
      </c>
      <c r="H45" s="311" t="s">
        <v>363</v>
      </c>
      <c r="I45" s="316" t="s">
        <v>417</v>
      </c>
    </row>
    <row r="46" spans="2:9" ht="34.200000000000003" x14ac:dyDescent="0.3">
      <c r="B46" s="471">
        <f t="shared" si="0"/>
        <v>41</v>
      </c>
      <c r="C46" s="311" t="s">
        <v>418</v>
      </c>
      <c r="D46" s="311" t="s">
        <v>414</v>
      </c>
      <c r="E46" s="311" t="s">
        <v>415</v>
      </c>
      <c r="F46" s="311" t="s">
        <v>372</v>
      </c>
      <c r="G46" s="311" t="s">
        <v>416</v>
      </c>
      <c r="H46" s="311" t="s">
        <v>363</v>
      </c>
      <c r="I46" s="316" t="s">
        <v>419</v>
      </c>
    </row>
    <row r="47" spans="2:9" ht="34.200000000000003" x14ac:dyDescent="0.3">
      <c r="B47" s="471">
        <f t="shared" si="0"/>
        <v>42</v>
      </c>
      <c r="C47" s="311" t="s">
        <v>420</v>
      </c>
      <c r="D47" s="311" t="s">
        <v>414</v>
      </c>
      <c r="E47" s="311" t="s">
        <v>415</v>
      </c>
      <c r="F47" s="311" t="s">
        <v>372</v>
      </c>
      <c r="G47" s="311" t="s">
        <v>416</v>
      </c>
      <c r="H47" s="311" t="s">
        <v>320</v>
      </c>
      <c r="I47" s="316" t="s">
        <v>421</v>
      </c>
    </row>
    <row r="48" spans="2:9" ht="34.200000000000003" x14ac:dyDescent="0.3">
      <c r="B48" s="471">
        <f t="shared" si="0"/>
        <v>43</v>
      </c>
      <c r="C48" s="311" t="s">
        <v>422</v>
      </c>
      <c r="D48" s="311" t="s">
        <v>414</v>
      </c>
      <c r="E48" s="311" t="s">
        <v>415</v>
      </c>
      <c r="F48" s="311" t="s">
        <v>372</v>
      </c>
      <c r="G48" s="311" t="s">
        <v>416</v>
      </c>
      <c r="H48" s="311" t="s">
        <v>320</v>
      </c>
      <c r="I48" s="316" t="s">
        <v>423</v>
      </c>
    </row>
    <row r="49" spans="2:9" ht="22.8" x14ac:dyDescent="0.3">
      <c r="B49" s="363">
        <f t="shared" si="0"/>
        <v>44</v>
      </c>
      <c r="C49" s="315" t="s">
        <v>424</v>
      </c>
      <c r="D49" s="315" t="s">
        <v>425</v>
      </c>
      <c r="E49" s="315" t="s">
        <v>415</v>
      </c>
      <c r="F49" s="315" t="s">
        <v>318</v>
      </c>
      <c r="G49" s="315" t="s">
        <v>319</v>
      </c>
      <c r="H49" s="315" t="s">
        <v>363</v>
      </c>
      <c r="I49" s="314" t="s">
        <v>426</v>
      </c>
    </row>
    <row r="50" spans="2:9" ht="22.8" x14ac:dyDescent="0.3">
      <c r="B50" s="363">
        <f t="shared" si="0"/>
        <v>45</v>
      </c>
      <c r="C50" s="315" t="s">
        <v>427</v>
      </c>
      <c r="D50" s="315" t="s">
        <v>425</v>
      </c>
      <c r="E50" s="315" t="s">
        <v>415</v>
      </c>
      <c r="F50" s="315" t="s">
        <v>318</v>
      </c>
      <c r="G50" s="315" t="s">
        <v>319</v>
      </c>
      <c r="H50" s="315" t="s">
        <v>363</v>
      </c>
      <c r="I50" s="314" t="s">
        <v>428</v>
      </c>
    </row>
    <row r="51" spans="2:9" ht="22.8" x14ac:dyDescent="0.3">
      <c r="B51" s="363">
        <f t="shared" si="0"/>
        <v>46</v>
      </c>
      <c r="C51" s="315" t="s">
        <v>429</v>
      </c>
      <c r="D51" s="315" t="s">
        <v>425</v>
      </c>
      <c r="E51" s="315" t="s">
        <v>415</v>
      </c>
      <c r="F51" s="315" t="s">
        <v>318</v>
      </c>
      <c r="G51" s="315" t="s">
        <v>319</v>
      </c>
      <c r="H51" s="315" t="s">
        <v>363</v>
      </c>
      <c r="I51" s="314" t="s">
        <v>430</v>
      </c>
    </row>
    <row r="52" spans="2:9" ht="22.8" x14ac:dyDescent="0.3">
      <c r="B52" s="363">
        <f t="shared" si="0"/>
        <v>47</v>
      </c>
      <c r="C52" s="315" t="s">
        <v>431</v>
      </c>
      <c r="D52" s="315" t="s">
        <v>425</v>
      </c>
      <c r="E52" s="315" t="s">
        <v>415</v>
      </c>
      <c r="F52" s="315" t="s">
        <v>318</v>
      </c>
      <c r="G52" s="315" t="s">
        <v>319</v>
      </c>
      <c r="H52" s="315" t="s">
        <v>363</v>
      </c>
      <c r="I52" s="314" t="s">
        <v>432</v>
      </c>
    </row>
    <row r="53" spans="2:9" ht="22.8" x14ac:dyDescent="0.3">
      <c r="B53" s="363">
        <f t="shared" si="0"/>
        <v>48</v>
      </c>
      <c r="C53" s="315" t="s">
        <v>433</v>
      </c>
      <c r="D53" s="315" t="s">
        <v>425</v>
      </c>
      <c r="E53" s="315" t="s">
        <v>415</v>
      </c>
      <c r="F53" s="315" t="s">
        <v>318</v>
      </c>
      <c r="G53" s="315" t="s">
        <v>319</v>
      </c>
      <c r="H53" s="315" t="s">
        <v>363</v>
      </c>
      <c r="I53" s="314" t="s">
        <v>434</v>
      </c>
    </row>
    <row r="54" spans="2:9" ht="22.8" x14ac:dyDescent="0.3">
      <c r="B54" s="363">
        <f t="shared" si="0"/>
        <v>49</v>
      </c>
      <c r="C54" s="315" t="s">
        <v>435</v>
      </c>
      <c r="D54" s="315" t="s">
        <v>425</v>
      </c>
      <c r="E54" s="315" t="s">
        <v>415</v>
      </c>
      <c r="F54" s="315" t="s">
        <v>318</v>
      </c>
      <c r="G54" s="315" t="s">
        <v>319</v>
      </c>
      <c r="H54" s="315" t="s">
        <v>363</v>
      </c>
      <c r="I54" s="314" t="s">
        <v>436</v>
      </c>
    </row>
    <row r="55" spans="2:9" ht="22.8" x14ac:dyDescent="0.3">
      <c r="B55" s="363">
        <f t="shared" si="0"/>
        <v>50</v>
      </c>
      <c r="C55" s="315" t="s">
        <v>437</v>
      </c>
      <c r="D55" s="315" t="s">
        <v>425</v>
      </c>
      <c r="E55" s="315" t="s">
        <v>415</v>
      </c>
      <c r="F55" s="315" t="s">
        <v>318</v>
      </c>
      <c r="G55" s="315" t="s">
        <v>319</v>
      </c>
      <c r="H55" s="315" t="s">
        <v>363</v>
      </c>
      <c r="I55" s="314" t="s">
        <v>438</v>
      </c>
    </row>
    <row r="56" spans="2:9" ht="22.8" x14ac:dyDescent="0.3">
      <c r="B56" s="363">
        <f t="shared" si="0"/>
        <v>51</v>
      </c>
      <c r="C56" s="315" t="s">
        <v>439</v>
      </c>
      <c r="D56" s="315" t="s">
        <v>425</v>
      </c>
      <c r="E56" s="315" t="s">
        <v>415</v>
      </c>
      <c r="F56" s="315" t="s">
        <v>318</v>
      </c>
      <c r="G56" s="315" t="s">
        <v>319</v>
      </c>
      <c r="H56" s="315" t="s">
        <v>363</v>
      </c>
      <c r="I56" s="314" t="s">
        <v>440</v>
      </c>
    </row>
    <row r="57" spans="2:9" ht="22.8" x14ac:dyDescent="0.3">
      <c r="B57" s="363">
        <f t="shared" si="0"/>
        <v>52</v>
      </c>
      <c r="C57" s="315" t="s">
        <v>441</v>
      </c>
      <c r="D57" s="315" t="s">
        <v>425</v>
      </c>
      <c r="E57" s="315" t="s">
        <v>415</v>
      </c>
      <c r="F57" s="315" t="s">
        <v>318</v>
      </c>
      <c r="G57" s="315" t="s">
        <v>319</v>
      </c>
      <c r="H57" s="315" t="s">
        <v>363</v>
      </c>
      <c r="I57" s="314" t="s">
        <v>442</v>
      </c>
    </row>
    <row r="58" spans="2:9" ht="22.8" x14ac:dyDescent="0.3">
      <c r="B58" s="363">
        <f t="shared" si="0"/>
        <v>53</v>
      </c>
      <c r="C58" s="315" t="s">
        <v>443</v>
      </c>
      <c r="D58" s="315" t="s">
        <v>425</v>
      </c>
      <c r="E58" s="315" t="s">
        <v>415</v>
      </c>
      <c r="F58" s="315" t="s">
        <v>318</v>
      </c>
      <c r="G58" s="315" t="s">
        <v>319</v>
      </c>
      <c r="H58" s="315" t="s">
        <v>363</v>
      </c>
      <c r="I58" s="314" t="s">
        <v>444</v>
      </c>
    </row>
    <row r="59" spans="2:9" ht="22.8" x14ac:dyDescent="0.3">
      <c r="B59" s="363">
        <f t="shared" si="0"/>
        <v>54</v>
      </c>
      <c r="C59" s="315" t="s">
        <v>445</v>
      </c>
      <c r="D59" s="315" t="s">
        <v>425</v>
      </c>
      <c r="E59" s="315" t="s">
        <v>415</v>
      </c>
      <c r="F59" s="315" t="s">
        <v>318</v>
      </c>
      <c r="G59" s="315" t="s">
        <v>319</v>
      </c>
      <c r="H59" s="315" t="s">
        <v>363</v>
      </c>
      <c r="I59" s="314" t="s">
        <v>446</v>
      </c>
    </row>
    <row r="60" spans="2:9" ht="22.8" x14ac:dyDescent="0.3">
      <c r="B60" s="363">
        <f t="shared" si="0"/>
        <v>55</v>
      </c>
      <c r="C60" s="315" t="s">
        <v>447</v>
      </c>
      <c r="D60" s="315" t="s">
        <v>425</v>
      </c>
      <c r="E60" s="315" t="s">
        <v>415</v>
      </c>
      <c r="F60" s="315" t="s">
        <v>318</v>
      </c>
      <c r="G60" s="315" t="s">
        <v>319</v>
      </c>
      <c r="H60" s="315" t="s">
        <v>360</v>
      </c>
      <c r="I60" s="314" t="s">
        <v>448</v>
      </c>
    </row>
    <row r="61" spans="2:9" ht="22.8" x14ac:dyDescent="0.3">
      <c r="B61" s="363">
        <f t="shared" si="0"/>
        <v>56</v>
      </c>
      <c r="C61" s="315" t="s">
        <v>449</v>
      </c>
      <c r="D61" s="315" t="s">
        <v>425</v>
      </c>
      <c r="E61" s="315" t="s">
        <v>415</v>
      </c>
      <c r="F61" s="315" t="s">
        <v>318</v>
      </c>
      <c r="G61" s="315" t="s">
        <v>319</v>
      </c>
      <c r="H61" s="315" t="s">
        <v>363</v>
      </c>
      <c r="I61" s="314" t="s">
        <v>450</v>
      </c>
    </row>
    <row r="62" spans="2:9" ht="22.8" x14ac:dyDescent="0.3">
      <c r="B62" s="363">
        <f t="shared" si="0"/>
        <v>57</v>
      </c>
      <c r="C62" s="315" t="s">
        <v>451</v>
      </c>
      <c r="D62" s="315" t="s">
        <v>425</v>
      </c>
      <c r="E62" s="315" t="s">
        <v>415</v>
      </c>
      <c r="F62" s="315" t="s">
        <v>318</v>
      </c>
      <c r="G62" s="315" t="s">
        <v>319</v>
      </c>
      <c r="H62" s="315" t="s">
        <v>363</v>
      </c>
      <c r="I62" s="314" t="s">
        <v>452</v>
      </c>
    </row>
    <row r="63" spans="2:9" ht="22.8" x14ac:dyDescent="0.3">
      <c r="B63" s="363">
        <f t="shared" si="0"/>
        <v>58</v>
      </c>
      <c r="C63" s="315" t="s">
        <v>453</v>
      </c>
      <c r="D63" s="315" t="s">
        <v>425</v>
      </c>
      <c r="E63" s="315" t="s">
        <v>415</v>
      </c>
      <c r="F63" s="315" t="s">
        <v>318</v>
      </c>
      <c r="G63" s="315" t="s">
        <v>319</v>
      </c>
      <c r="H63" s="315" t="s">
        <v>363</v>
      </c>
      <c r="I63" s="314" t="s">
        <v>454</v>
      </c>
    </row>
    <row r="64" spans="2:9" ht="22.8" x14ac:dyDescent="0.3">
      <c r="B64" s="363">
        <f t="shared" si="0"/>
        <v>59</v>
      </c>
      <c r="C64" s="315" t="s">
        <v>455</v>
      </c>
      <c r="D64" s="315" t="s">
        <v>425</v>
      </c>
      <c r="E64" s="315" t="s">
        <v>415</v>
      </c>
      <c r="F64" s="315" t="s">
        <v>318</v>
      </c>
      <c r="G64" s="315" t="s">
        <v>319</v>
      </c>
      <c r="H64" s="315" t="s">
        <v>363</v>
      </c>
      <c r="I64" s="314" t="s">
        <v>456</v>
      </c>
    </row>
    <row r="65" spans="2:9" ht="22.8" x14ac:dyDescent="0.3">
      <c r="B65" s="363">
        <f t="shared" si="0"/>
        <v>60</v>
      </c>
      <c r="C65" s="315" t="s">
        <v>457</v>
      </c>
      <c r="D65" s="315" t="s">
        <v>425</v>
      </c>
      <c r="E65" s="315" t="s">
        <v>415</v>
      </c>
      <c r="F65" s="315" t="s">
        <v>318</v>
      </c>
      <c r="G65" s="315" t="s">
        <v>319</v>
      </c>
      <c r="H65" s="315" t="s">
        <v>326</v>
      </c>
      <c r="I65" s="314" t="s">
        <v>458</v>
      </c>
    </row>
    <row r="66" spans="2:9" ht="22.8" x14ac:dyDescent="0.3">
      <c r="B66" s="363">
        <f t="shared" si="0"/>
        <v>61</v>
      </c>
      <c r="C66" s="315" t="s">
        <v>459</v>
      </c>
      <c r="D66" s="315" t="s">
        <v>425</v>
      </c>
      <c r="E66" s="315" t="s">
        <v>415</v>
      </c>
      <c r="F66" s="315" t="s">
        <v>318</v>
      </c>
      <c r="G66" s="315" t="s">
        <v>319</v>
      </c>
      <c r="H66" s="315" t="s">
        <v>320</v>
      </c>
      <c r="I66" s="314" t="s">
        <v>460</v>
      </c>
    </row>
    <row r="67" spans="2:9" ht="22.8" x14ac:dyDescent="0.3">
      <c r="B67" s="363">
        <f t="shared" si="0"/>
        <v>62</v>
      </c>
      <c r="C67" s="315" t="s">
        <v>461</v>
      </c>
      <c r="D67" s="315" t="s">
        <v>425</v>
      </c>
      <c r="E67" s="315" t="s">
        <v>415</v>
      </c>
      <c r="F67" s="315" t="s">
        <v>318</v>
      </c>
      <c r="G67" s="315" t="s">
        <v>319</v>
      </c>
      <c r="H67" s="315" t="s">
        <v>320</v>
      </c>
      <c r="I67" s="314" t="s">
        <v>462</v>
      </c>
    </row>
    <row r="68" spans="2:9" ht="45.6" x14ac:dyDescent="0.3">
      <c r="B68" s="363">
        <f t="shared" si="0"/>
        <v>63</v>
      </c>
      <c r="C68" s="315" t="s">
        <v>463</v>
      </c>
      <c r="D68" s="315" t="s">
        <v>425</v>
      </c>
      <c r="E68" s="315" t="s">
        <v>415</v>
      </c>
      <c r="F68" s="315" t="s">
        <v>318</v>
      </c>
      <c r="G68" s="315" t="s">
        <v>319</v>
      </c>
      <c r="H68" s="315" t="s">
        <v>320</v>
      </c>
      <c r="I68" s="314" t="s">
        <v>464</v>
      </c>
    </row>
    <row r="69" spans="2:9" ht="22.8" x14ac:dyDescent="0.3">
      <c r="B69" s="363">
        <f t="shared" si="0"/>
        <v>64</v>
      </c>
      <c r="C69" s="315" t="s">
        <v>465</v>
      </c>
      <c r="D69" s="315" t="s">
        <v>425</v>
      </c>
      <c r="E69" s="315" t="s">
        <v>415</v>
      </c>
      <c r="F69" s="315" t="s">
        <v>318</v>
      </c>
      <c r="G69" s="315" t="s">
        <v>319</v>
      </c>
      <c r="H69" s="315" t="s">
        <v>320</v>
      </c>
      <c r="I69" s="314" t="s">
        <v>466</v>
      </c>
    </row>
    <row r="70" spans="2:9" ht="22.8" x14ac:dyDescent="0.3">
      <c r="B70" s="363">
        <f t="shared" si="0"/>
        <v>65</v>
      </c>
      <c r="C70" s="315" t="s">
        <v>467</v>
      </c>
      <c r="D70" s="315" t="s">
        <v>425</v>
      </c>
      <c r="E70" s="315" t="s">
        <v>415</v>
      </c>
      <c r="F70" s="315" t="s">
        <v>318</v>
      </c>
      <c r="G70" s="315" t="s">
        <v>319</v>
      </c>
      <c r="H70" s="315" t="s">
        <v>320</v>
      </c>
      <c r="I70" s="314" t="s">
        <v>468</v>
      </c>
    </row>
    <row r="71" spans="2:9" ht="22.8" x14ac:dyDescent="0.3">
      <c r="B71" s="363">
        <f t="shared" ref="B71:B133" si="1">ROW()-5</f>
        <v>66</v>
      </c>
      <c r="C71" s="315" t="s">
        <v>469</v>
      </c>
      <c r="D71" s="315" t="s">
        <v>425</v>
      </c>
      <c r="E71" s="315" t="s">
        <v>415</v>
      </c>
      <c r="F71" s="315" t="s">
        <v>318</v>
      </c>
      <c r="G71" s="315" t="s">
        <v>319</v>
      </c>
      <c r="H71" s="315" t="s">
        <v>320</v>
      </c>
      <c r="I71" s="314" t="s">
        <v>470</v>
      </c>
    </row>
    <row r="72" spans="2:9" ht="22.8" x14ac:dyDescent="0.3">
      <c r="B72" s="363">
        <f t="shared" si="1"/>
        <v>67</v>
      </c>
      <c r="C72" s="315" t="s">
        <v>471</v>
      </c>
      <c r="D72" s="315" t="s">
        <v>425</v>
      </c>
      <c r="E72" s="315" t="s">
        <v>415</v>
      </c>
      <c r="F72" s="315" t="s">
        <v>318</v>
      </c>
      <c r="G72" s="315" t="s">
        <v>319</v>
      </c>
      <c r="H72" s="315" t="s">
        <v>320</v>
      </c>
      <c r="I72" s="314" t="s">
        <v>472</v>
      </c>
    </row>
    <row r="73" spans="2:9" ht="22.8" x14ac:dyDescent="0.3">
      <c r="B73" s="363">
        <f t="shared" si="1"/>
        <v>68</v>
      </c>
      <c r="C73" s="315" t="s">
        <v>1303</v>
      </c>
      <c r="D73" s="315" t="s">
        <v>425</v>
      </c>
      <c r="E73" s="315" t="s">
        <v>415</v>
      </c>
      <c r="F73" s="315" t="s">
        <v>318</v>
      </c>
      <c r="G73" s="315" t="s">
        <v>319</v>
      </c>
      <c r="H73" s="315" t="s">
        <v>368</v>
      </c>
      <c r="I73" s="314" t="s">
        <v>473</v>
      </c>
    </row>
    <row r="74" spans="2:9" ht="22.8" x14ac:dyDescent="0.3">
      <c r="B74" s="363">
        <f t="shared" si="1"/>
        <v>69</v>
      </c>
      <c r="C74" s="315" t="s">
        <v>474</v>
      </c>
      <c r="D74" s="315" t="s">
        <v>475</v>
      </c>
      <c r="E74" s="315" t="s">
        <v>415</v>
      </c>
      <c r="F74" s="315" t="s">
        <v>318</v>
      </c>
      <c r="G74" s="315" t="s">
        <v>319</v>
      </c>
      <c r="H74" s="315" t="s">
        <v>320</v>
      </c>
      <c r="I74" s="314" t="s">
        <v>476</v>
      </c>
    </row>
    <row r="75" spans="2:9" ht="22.8" x14ac:dyDescent="0.3">
      <c r="B75" s="363">
        <f t="shared" si="1"/>
        <v>70</v>
      </c>
      <c r="C75" s="315" t="s">
        <v>477</v>
      </c>
      <c r="D75" s="315" t="s">
        <v>475</v>
      </c>
      <c r="E75" s="315" t="s">
        <v>415</v>
      </c>
      <c r="F75" s="315" t="s">
        <v>318</v>
      </c>
      <c r="G75" s="315" t="s">
        <v>319</v>
      </c>
      <c r="H75" s="315" t="s">
        <v>320</v>
      </c>
      <c r="I75" s="314" t="s">
        <v>478</v>
      </c>
    </row>
    <row r="76" spans="2:9" ht="34.200000000000003" x14ac:dyDescent="0.3">
      <c r="B76" s="471">
        <f t="shared" si="1"/>
        <v>71</v>
      </c>
      <c r="C76" s="311" t="s">
        <v>1304</v>
      </c>
      <c r="D76" s="311" t="s">
        <v>479</v>
      </c>
      <c r="E76" s="311" t="s">
        <v>415</v>
      </c>
      <c r="F76" s="311" t="s">
        <v>372</v>
      </c>
      <c r="G76" s="311" t="s">
        <v>416</v>
      </c>
      <c r="H76" s="311" t="s">
        <v>368</v>
      </c>
      <c r="I76" s="316" t="s">
        <v>480</v>
      </c>
    </row>
    <row r="77" spans="2:9" ht="22.8" x14ac:dyDescent="0.3">
      <c r="B77" s="363">
        <f t="shared" si="1"/>
        <v>72</v>
      </c>
      <c r="C77" s="315" t="s">
        <v>481</v>
      </c>
      <c r="D77" s="315" t="s">
        <v>482</v>
      </c>
      <c r="E77" s="315" t="s">
        <v>415</v>
      </c>
      <c r="F77" s="315" t="s">
        <v>318</v>
      </c>
      <c r="G77" s="315" t="s">
        <v>319</v>
      </c>
      <c r="H77" s="315" t="s">
        <v>363</v>
      </c>
      <c r="I77" s="314" t="s">
        <v>483</v>
      </c>
    </row>
    <row r="78" spans="2:9" ht="22.8" x14ac:dyDescent="0.3">
      <c r="B78" s="363">
        <f t="shared" si="1"/>
        <v>73</v>
      </c>
      <c r="C78" s="315" t="s">
        <v>484</v>
      </c>
      <c r="D78" s="315" t="s">
        <v>482</v>
      </c>
      <c r="E78" s="315" t="s">
        <v>415</v>
      </c>
      <c r="F78" s="315" t="s">
        <v>318</v>
      </c>
      <c r="G78" s="315" t="s">
        <v>319</v>
      </c>
      <c r="H78" s="315" t="s">
        <v>363</v>
      </c>
      <c r="I78" s="314" t="s">
        <v>485</v>
      </c>
    </row>
    <row r="79" spans="2:9" ht="22.8" x14ac:dyDescent="0.3">
      <c r="B79" s="363">
        <f t="shared" si="1"/>
        <v>74</v>
      </c>
      <c r="C79" s="315" t="s">
        <v>486</v>
      </c>
      <c r="D79" s="315" t="s">
        <v>482</v>
      </c>
      <c r="E79" s="315" t="s">
        <v>415</v>
      </c>
      <c r="F79" s="315" t="s">
        <v>318</v>
      </c>
      <c r="G79" s="315" t="s">
        <v>319</v>
      </c>
      <c r="H79" s="315" t="s">
        <v>363</v>
      </c>
      <c r="I79" s="314" t="s">
        <v>487</v>
      </c>
    </row>
    <row r="80" spans="2:9" ht="22.8" x14ac:dyDescent="0.3">
      <c r="B80" s="363">
        <f t="shared" si="1"/>
        <v>75</v>
      </c>
      <c r="C80" s="315" t="s">
        <v>488</v>
      </c>
      <c r="D80" s="315" t="s">
        <v>482</v>
      </c>
      <c r="E80" s="315" t="s">
        <v>415</v>
      </c>
      <c r="F80" s="315" t="s">
        <v>318</v>
      </c>
      <c r="G80" s="315" t="s">
        <v>319</v>
      </c>
      <c r="H80" s="315" t="s">
        <v>363</v>
      </c>
      <c r="I80" s="314" t="s">
        <v>489</v>
      </c>
    </row>
    <row r="81" spans="2:9" ht="22.8" x14ac:dyDescent="0.3">
      <c r="B81" s="363">
        <f t="shared" si="1"/>
        <v>76</v>
      </c>
      <c r="C81" s="315" t="s">
        <v>490</v>
      </c>
      <c r="D81" s="315" t="s">
        <v>482</v>
      </c>
      <c r="E81" s="315" t="s">
        <v>415</v>
      </c>
      <c r="F81" s="315" t="s">
        <v>318</v>
      </c>
      <c r="G81" s="315" t="s">
        <v>319</v>
      </c>
      <c r="H81" s="315" t="s">
        <v>320</v>
      </c>
      <c r="I81" s="314" t="s">
        <v>491</v>
      </c>
    </row>
    <row r="82" spans="2:9" ht="22.8" x14ac:dyDescent="0.3">
      <c r="B82" s="363">
        <f t="shared" si="1"/>
        <v>77</v>
      </c>
      <c r="C82" s="315" t="s">
        <v>492</v>
      </c>
      <c r="D82" s="315" t="s">
        <v>482</v>
      </c>
      <c r="E82" s="315" t="s">
        <v>415</v>
      </c>
      <c r="F82" s="315" t="s">
        <v>318</v>
      </c>
      <c r="G82" s="315" t="s">
        <v>319</v>
      </c>
      <c r="H82" s="315" t="s">
        <v>320</v>
      </c>
      <c r="I82" s="314" t="s">
        <v>493</v>
      </c>
    </row>
    <row r="83" spans="2:9" ht="22.8" x14ac:dyDescent="0.3">
      <c r="B83" s="363">
        <f t="shared" si="1"/>
        <v>78</v>
      </c>
      <c r="C83" s="315" t="s">
        <v>494</v>
      </c>
      <c r="D83" s="315" t="s">
        <v>482</v>
      </c>
      <c r="E83" s="315" t="s">
        <v>415</v>
      </c>
      <c r="F83" s="315" t="s">
        <v>318</v>
      </c>
      <c r="G83" s="315" t="s">
        <v>319</v>
      </c>
      <c r="H83" s="315" t="s">
        <v>320</v>
      </c>
      <c r="I83" s="314" t="s">
        <v>495</v>
      </c>
    </row>
    <row r="84" spans="2:9" ht="34.200000000000003" x14ac:dyDescent="0.3">
      <c r="B84" s="363">
        <f t="shared" si="1"/>
        <v>79</v>
      </c>
      <c r="C84" s="315" t="s">
        <v>496</v>
      </c>
      <c r="D84" s="315" t="s">
        <v>482</v>
      </c>
      <c r="E84" s="315" t="s">
        <v>415</v>
      </c>
      <c r="F84" s="315" t="s">
        <v>318</v>
      </c>
      <c r="G84" s="315" t="s">
        <v>319</v>
      </c>
      <c r="H84" s="315" t="s">
        <v>320</v>
      </c>
      <c r="I84" s="314" t="s">
        <v>497</v>
      </c>
    </row>
    <row r="85" spans="2:9" ht="22.8" x14ac:dyDescent="0.3">
      <c r="B85" s="363">
        <f t="shared" si="1"/>
        <v>80</v>
      </c>
      <c r="C85" s="315" t="s">
        <v>498</v>
      </c>
      <c r="D85" s="315" t="s">
        <v>499</v>
      </c>
      <c r="E85" s="315" t="s">
        <v>415</v>
      </c>
      <c r="F85" s="315" t="s">
        <v>318</v>
      </c>
      <c r="G85" s="315" t="s">
        <v>319</v>
      </c>
      <c r="H85" s="315" t="s">
        <v>363</v>
      </c>
      <c r="I85" s="314" t="s">
        <v>500</v>
      </c>
    </row>
    <row r="86" spans="2:9" ht="22.8" x14ac:dyDescent="0.3">
      <c r="B86" s="363">
        <f t="shared" si="1"/>
        <v>81</v>
      </c>
      <c r="C86" s="315" t="s">
        <v>501</v>
      </c>
      <c r="D86" s="315" t="s">
        <v>499</v>
      </c>
      <c r="E86" s="315" t="s">
        <v>415</v>
      </c>
      <c r="F86" s="315" t="s">
        <v>318</v>
      </c>
      <c r="G86" s="315" t="s">
        <v>319</v>
      </c>
      <c r="H86" s="315" t="s">
        <v>376</v>
      </c>
      <c r="I86" s="314" t="s">
        <v>502</v>
      </c>
    </row>
    <row r="87" spans="2:9" ht="22.8" x14ac:dyDescent="0.3">
      <c r="B87" s="363">
        <f t="shared" si="1"/>
        <v>82</v>
      </c>
      <c r="C87" s="315" t="s">
        <v>1305</v>
      </c>
      <c r="D87" s="315" t="s">
        <v>503</v>
      </c>
      <c r="E87" s="315" t="s">
        <v>415</v>
      </c>
      <c r="F87" s="315" t="s">
        <v>504</v>
      </c>
      <c r="G87" s="315" t="s">
        <v>319</v>
      </c>
      <c r="H87" s="315" t="s">
        <v>368</v>
      </c>
      <c r="I87" s="314" t="s">
        <v>505</v>
      </c>
    </row>
    <row r="88" spans="2:9" ht="22.8" x14ac:dyDescent="0.3">
      <c r="B88" s="363">
        <f t="shared" si="1"/>
        <v>83</v>
      </c>
      <c r="C88" s="315" t="s">
        <v>506</v>
      </c>
      <c r="D88" s="315" t="s">
        <v>507</v>
      </c>
      <c r="E88" s="315" t="s">
        <v>415</v>
      </c>
      <c r="F88" s="315" t="s">
        <v>318</v>
      </c>
      <c r="G88" s="315" t="s">
        <v>319</v>
      </c>
      <c r="H88" s="315" t="s">
        <v>363</v>
      </c>
      <c r="I88" s="314" t="s">
        <v>508</v>
      </c>
    </row>
    <row r="89" spans="2:9" ht="22.8" x14ac:dyDescent="0.3">
      <c r="B89" s="363">
        <f t="shared" si="1"/>
        <v>84</v>
      </c>
      <c r="C89" s="315" t="s">
        <v>509</v>
      </c>
      <c r="D89" s="315" t="s">
        <v>507</v>
      </c>
      <c r="E89" s="315" t="s">
        <v>415</v>
      </c>
      <c r="F89" s="315" t="s">
        <v>318</v>
      </c>
      <c r="G89" s="315" t="s">
        <v>319</v>
      </c>
      <c r="H89" s="315" t="s">
        <v>363</v>
      </c>
      <c r="I89" s="314" t="s">
        <v>510</v>
      </c>
    </row>
    <row r="90" spans="2:9" ht="34.200000000000003" x14ac:dyDescent="0.3">
      <c r="B90" s="363">
        <f t="shared" si="1"/>
        <v>85</v>
      </c>
      <c r="C90" s="315" t="s">
        <v>511</v>
      </c>
      <c r="D90" s="315" t="s">
        <v>507</v>
      </c>
      <c r="E90" s="315" t="s">
        <v>415</v>
      </c>
      <c r="F90" s="315" t="s">
        <v>318</v>
      </c>
      <c r="G90" s="315" t="s">
        <v>319</v>
      </c>
      <c r="H90" s="315" t="s">
        <v>363</v>
      </c>
      <c r="I90" s="314" t="s">
        <v>512</v>
      </c>
    </row>
    <row r="91" spans="2:9" ht="34.200000000000003" x14ac:dyDescent="0.3">
      <c r="B91" s="363">
        <f t="shared" si="1"/>
        <v>86</v>
      </c>
      <c r="C91" s="315" t="s">
        <v>513</v>
      </c>
      <c r="D91" s="315" t="s">
        <v>507</v>
      </c>
      <c r="E91" s="315" t="s">
        <v>415</v>
      </c>
      <c r="F91" s="315" t="s">
        <v>318</v>
      </c>
      <c r="G91" s="315" t="s">
        <v>319</v>
      </c>
      <c r="H91" s="315" t="s">
        <v>363</v>
      </c>
      <c r="I91" s="314" t="s">
        <v>514</v>
      </c>
    </row>
    <row r="92" spans="2:9" ht="22.8" x14ac:dyDescent="0.3">
      <c r="B92" s="363">
        <f t="shared" si="1"/>
        <v>87</v>
      </c>
      <c r="C92" s="315" t="s">
        <v>515</v>
      </c>
      <c r="D92" s="315" t="s">
        <v>507</v>
      </c>
      <c r="E92" s="315" t="s">
        <v>415</v>
      </c>
      <c r="F92" s="315" t="s">
        <v>318</v>
      </c>
      <c r="G92" s="315" t="s">
        <v>319</v>
      </c>
      <c r="H92" s="315" t="s">
        <v>320</v>
      </c>
      <c r="I92" s="314" t="s">
        <v>516</v>
      </c>
    </row>
    <row r="93" spans="2:9" ht="22.8" x14ac:dyDescent="0.3">
      <c r="B93" s="363">
        <f t="shared" si="1"/>
        <v>88</v>
      </c>
      <c r="C93" s="315" t="s">
        <v>517</v>
      </c>
      <c r="D93" s="315" t="s">
        <v>518</v>
      </c>
      <c r="E93" s="315" t="s">
        <v>415</v>
      </c>
      <c r="F93" s="315" t="s">
        <v>318</v>
      </c>
      <c r="G93" s="315" t="s">
        <v>319</v>
      </c>
      <c r="H93" s="315" t="s">
        <v>363</v>
      </c>
      <c r="I93" s="314" t="s">
        <v>519</v>
      </c>
    </row>
    <row r="94" spans="2:9" ht="34.200000000000003" x14ac:dyDescent="0.3">
      <c r="B94" s="363">
        <f t="shared" si="1"/>
        <v>89</v>
      </c>
      <c r="C94" s="315" t="s">
        <v>520</v>
      </c>
      <c r="D94" s="315" t="s">
        <v>518</v>
      </c>
      <c r="E94" s="315" t="s">
        <v>415</v>
      </c>
      <c r="F94" s="315" t="s">
        <v>318</v>
      </c>
      <c r="G94" s="315" t="s">
        <v>319</v>
      </c>
      <c r="H94" s="315" t="s">
        <v>320</v>
      </c>
      <c r="I94" s="314" t="s">
        <v>521</v>
      </c>
    </row>
    <row r="95" spans="2:9" ht="45.6" x14ac:dyDescent="0.3">
      <c r="B95" s="363">
        <f t="shared" si="1"/>
        <v>90</v>
      </c>
      <c r="C95" s="315" t="s">
        <v>463</v>
      </c>
      <c r="D95" s="315" t="s">
        <v>518</v>
      </c>
      <c r="E95" s="315" t="s">
        <v>415</v>
      </c>
      <c r="F95" s="315" t="s">
        <v>318</v>
      </c>
      <c r="G95" s="315" t="s">
        <v>319</v>
      </c>
      <c r="H95" s="315" t="s">
        <v>320</v>
      </c>
      <c r="I95" s="314" t="s">
        <v>522</v>
      </c>
    </row>
    <row r="96" spans="2:9" ht="22.8" x14ac:dyDescent="0.3">
      <c r="B96" s="363">
        <f t="shared" si="1"/>
        <v>91</v>
      </c>
      <c r="C96" s="315" t="s">
        <v>523</v>
      </c>
      <c r="D96" s="315" t="s">
        <v>524</v>
      </c>
      <c r="E96" s="315" t="s">
        <v>415</v>
      </c>
      <c r="F96" s="315" t="s">
        <v>318</v>
      </c>
      <c r="G96" s="315" t="s">
        <v>319</v>
      </c>
      <c r="H96" s="315" t="s">
        <v>320</v>
      </c>
      <c r="I96" s="314" t="s">
        <v>525</v>
      </c>
    </row>
    <row r="97" spans="2:9" ht="22.8" x14ac:dyDescent="0.3">
      <c r="B97" s="363">
        <f t="shared" si="1"/>
        <v>92</v>
      </c>
      <c r="C97" s="315" t="s">
        <v>526</v>
      </c>
      <c r="D97" s="315" t="s">
        <v>527</v>
      </c>
      <c r="E97" s="315" t="s">
        <v>528</v>
      </c>
      <c r="F97" s="315" t="s">
        <v>318</v>
      </c>
      <c r="G97" s="315" t="s">
        <v>319</v>
      </c>
      <c r="H97" s="315" t="s">
        <v>320</v>
      </c>
      <c r="I97" s="314" t="s">
        <v>529</v>
      </c>
    </row>
    <row r="98" spans="2:9" ht="34.200000000000003" x14ac:dyDescent="0.3">
      <c r="B98" s="363">
        <f t="shared" si="1"/>
        <v>93</v>
      </c>
      <c r="C98" s="315" t="s">
        <v>530</v>
      </c>
      <c r="D98" s="315" t="s">
        <v>531</v>
      </c>
      <c r="E98" s="315" t="s">
        <v>528</v>
      </c>
      <c r="F98" s="315" t="s">
        <v>318</v>
      </c>
      <c r="G98" s="315" t="s">
        <v>319</v>
      </c>
      <c r="H98" s="315" t="s">
        <v>320</v>
      </c>
      <c r="I98" s="314" t="s">
        <v>532</v>
      </c>
    </row>
    <row r="99" spans="2:9" ht="22.8" x14ac:dyDescent="0.3">
      <c r="B99" s="363">
        <f t="shared" si="1"/>
        <v>94</v>
      </c>
      <c r="C99" s="315" t="s">
        <v>533</v>
      </c>
      <c r="D99" s="315" t="s">
        <v>534</v>
      </c>
      <c r="E99" s="315" t="s">
        <v>528</v>
      </c>
      <c r="F99" s="315" t="s">
        <v>318</v>
      </c>
      <c r="G99" s="315" t="s">
        <v>319</v>
      </c>
      <c r="H99" s="315" t="s">
        <v>320</v>
      </c>
      <c r="I99" s="314" t="s">
        <v>535</v>
      </c>
    </row>
    <row r="100" spans="2:9" ht="22.8" x14ac:dyDescent="0.3">
      <c r="B100" s="363">
        <f t="shared" si="1"/>
        <v>95</v>
      </c>
      <c r="C100" s="315" t="s">
        <v>536</v>
      </c>
      <c r="D100" s="315" t="s">
        <v>534</v>
      </c>
      <c r="E100" s="315" t="s">
        <v>528</v>
      </c>
      <c r="F100" s="315" t="s">
        <v>318</v>
      </c>
      <c r="G100" s="315" t="s">
        <v>319</v>
      </c>
      <c r="H100" s="315" t="s">
        <v>320</v>
      </c>
      <c r="I100" s="314" t="s">
        <v>537</v>
      </c>
    </row>
    <row r="101" spans="2:9" ht="22.8" x14ac:dyDescent="0.3">
      <c r="B101" s="363">
        <f t="shared" si="1"/>
        <v>96</v>
      </c>
      <c r="C101" s="315" t="s">
        <v>538</v>
      </c>
      <c r="D101" s="315" t="s">
        <v>534</v>
      </c>
      <c r="E101" s="315" t="s">
        <v>528</v>
      </c>
      <c r="F101" s="315" t="s">
        <v>318</v>
      </c>
      <c r="G101" s="315" t="s">
        <v>319</v>
      </c>
      <c r="H101" s="315" t="s">
        <v>320</v>
      </c>
      <c r="I101" s="314" t="s">
        <v>539</v>
      </c>
    </row>
    <row r="102" spans="2:9" ht="22.8" x14ac:dyDescent="0.3">
      <c r="B102" s="363">
        <f t="shared" si="1"/>
        <v>97</v>
      </c>
      <c r="C102" s="315" t="s">
        <v>540</v>
      </c>
      <c r="D102" s="315" t="s">
        <v>541</v>
      </c>
      <c r="E102" s="315" t="s">
        <v>528</v>
      </c>
      <c r="F102" s="315" t="s">
        <v>318</v>
      </c>
      <c r="G102" s="315" t="s">
        <v>319</v>
      </c>
      <c r="H102" s="315" t="s">
        <v>320</v>
      </c>
      <c r="I102" s="314" t="s">
        <v>542</v>
      </c>
    </row>
    <row r="103" spans="2:9" ht="22.8" x14ac:dyDescent="0.3">
      <c r="B103" s="363">
        <f t="shared" si="1"/>
        <v>98</v>
      </c>
      <c r="C103" s="315" t="s">
        <v>543</v>
      </c>
      <c r="D103" s="315" t="s">
        <v>541</v>
      </c>
      <c r="E103" s="315" t="s">
        <v>528</v>
      </c>
      <c r="F103" s="315" t="s">
        <v>318</v>
      </c>
      <c r="G103" s="315" t="s">
        <v>319</v>
      </c>
      <c r="H103" s="315" t="s">
        <v>320</v>
      </c>
      <c r="I103" s="314" t="s">
        <v>544</v>
      </c>
    </row>
    <row r="104" spans="2:9" ht="22.8" x14ac:dyDescent="0.3">
      <c r="B104" s="363">
        <f t="shared" si="1"/>
        <v>99</v>
      </c>
      <c r="C104" s="315" t="s">
        <v>545</v>
      </c>
      <c r="D104" s="315" t="s">
        <v>541</v>
      </c>
      <c r="E104" s="315" t="s">
        <v>528</v>
      </c>
      <c r="F104" s="315" t="s">
        <v>318</v>
      </c>
      <c r="G104" s="315" t="s">
        <v>319</v>
      </c>
      <c r="H104" s="315" t="s">
        <v>320</v>
      </c>
      <c r="I104" s="314" t="s">
        <v>546</v>
      </c>
    </row>
    <row r="105" spans="2:9" ht="22.8" x14ac:dyDescent="0.3">
      <c r="B105" s="363">
        <f t="shared" si="1"/>
        <v>100</v>
      </c>
      <c r="C105" s="315" t="s">
        <v>547</v>
      </c>
      <c r="D105" s="315" t="s">
        <v>548</v>
      </c>
      <c r="E105" s="315" t="s">
        <v>528</v>
      </c>
      <c r="F105" s="315" t="s">
        <v>318</v>
      </c>
      <c r="G105" s="315" t="s">
        <v>319</v>
      </c>
      <c r="H105" s="315" t="s">
        <v>320</v>
      </c>
      <c r="I105" s="314" t="s">
        <v>549</v>
      </c>
    </row>
    <row r="106" spans="2:9" ht="22.8" x14ac:dyDescent="0.3">
      <c r="B106" s="363">
        <f t="shared" si="1"/>
        <v>101</v>
      </c>
      <c r="C106" s="315" t="s">
        <v>550</v>
      </c>
      <c r="D106" s="315" t="s">
        <v>551</v>
      </c>
      <c r="E106" s="315" t="s">
        <v>528</v>
      </c>
      <c r="F106" s="315" t="s">
        <v>318</v>
      </c>
      <c r="G106" s="315" t="s">
        <v>319</v>
      </c>
      <c r="H106" s="315" t="s">
        <v>320</v>
      </c>
      <c r="I106" s="314" t="s">
        <v>552</v>
      </c>
    </row>
    <row r="107" spans="2:9" ht="22.8" x14ac:dyDescent="0.3">
      <c r="B107" s="363">
        <f t="shared" si="1"/>
        <v>102</v>
      </c>
      <c r="C107" s="315" t="s">
        <v>553</v>
      </c>
      <c r="D107" s="315" t="s">
        <v>551</v>
      </c>
      <c r="E107" s="315" t="s">
        <v>528</v>
      </c>
      <c r="F107" s="315" t="s">
        <v>318</v>
      </c>
      <c r="G107" s="315" t="s">
        <v>319</v>
      </c>
      <c r="H107" s="315" t="s">
        <v>320</v>
      </c>
      <c r="I107" s="314" t="s">
        <v>554</v>
      </c>
    </row>
    <row r="108" spans="2:9" ht="22.8" x14ac:dyDescent="0.3">
      <c r="B108" s="363">
        <f t="shared" si="1"/>
        <v>103</v>
      </c>
      <c r="C108" s="315" t="s">
        <v>555</v>
      </c>
      <c r="D108" s="315" t="s">
        <v>556</v>
      </c>
      <c r="E108" s="315" t="s">
        <v>528</v>
      </c>
      <c r="F108" s="315" t="s">
        <v>318</v>
      </c>
      <c r="G108" s="315" t="s">
        <v>319</v>
      </c>
      <c r="H108" s="315" t="s">
        <v>320</v>
      </c>
      <c r="I108" s="314" t="s">
        <v>557</v>
      </c>
    </row>
    <row r="109" spans="2:9" ht="22.8" x14ac:dyDescent="0.3">
      <c r="B109" s="363">
        <f t="shared" si="1"/>
        <v>104</v>
      </c>
      <c r="C109" s="315" t="s">
        <v>558</v>
      </c>
      <c r="D109" s="315" t="s">
        <v>559</v>
      </c>
      <c r="E109" s="315" t="s">
        <v>560</v>
      </c>
      <c r="F109" s="315" t="s">
        <v>318</v>
      </c>
      <c r="G109" s="315" t="s">
        <v>319</v>
      </c>
      <c r="H109" s="315" t="s">
        <v>363</v>
      </c>
      <c r="I109" s="314" t="s">
        <v>561</v>
      </c>
    </row>
    <row r="110" spans="2:9" ht="22.8" x14ac:dyDescent="0.3">
      <c r="B110" s="363">
        <f t="shared" si="1"/>
        <v>105</v>
      </c>
      <c r="C110" s="315" t="s">
        <v>562</v>
      </c>
      <c r="D110" s="315" t="s">
        <v>559</v>
      </c>
      <c r="E110" s="315" t="s">
        <v>560</v>
      </c>
      <c r="F110" s="315" t="s">
        <v>318</v>
      </c>
      <c r="G110" s="315" t="s">
        <v>319</v>
      </c>
      <c r="H110" s="315" t="s">
        <v>363</v>
      </c>
      <c r="I110" s="314" t="s">
        <v>563</v>
      </c>
    </row>
    <row r="111" spans="2:9" ht="34.200000000000003" x14ac:dyDescent="0.3">
      <c r="B111" s="363">
        <f t="shared" si="1"/>
        <v>106</v>
      </c>
      <c r="C111" s="315" t="s">
        <v>564</v>
      </c>
      <c r="D111" s="315" t="s">
        <v>559</v>
      </c>
      <c r="E111" s="315" t="s">
        <v>560</v>
      </c>
      <c r="F111" s="315" t="s">
        <v>318</v>
      </c>
      <c r="G111" s="315" t="s">
        <v>319</v>
      </c>
      <c r="H111" s="315" t="s">
        <v>363</v>
      </c>
      <c r="I111" s="314" t="s">
        <v>565</v>
      </c>
    </row>
    <row r="112" spans="2:9" ht="22.8" x14ac:dyDescent="0.3">
      <c r="B112" s="363">
        <f t="shared" si="1"/>
        <v>107</v>
      </c>
      <c r="C112" s="315" t="s">
        <v>566</v>
      </c>
      <c r="D112" s="315" t="s">
        <v>559</v>
      </c>
      <c r="E112" s="315" t="s">
        <v>560</v>
      </c>
      <c r="F112" s="315" t="s">
        <v>318</v>
      </c>
      <c r="G112" s="315" t="s">
        <v>319</v>
      </c>
      <c r="H112" s="315" t="s">
        <v>363</v>
      </c>
      <c r="I112" s="314" t="s">
        <v>567</v>
      </c>
    </row>
    <row r="113" spans="2:9" x14ac:dyDescent="0.3">
      <c r="B113" s="363">
        <f t="shared" si="1"/>
        <v>108</v>
      </c>
      <c r="C113" s="315" t="s">
        <v>568</v>
      </c>
      <c r="D113" s="315" t="s">
        <v>559</v>
      </c>
      <c r="E113" s="315" t="s">
        <v>560</v>
      </c>
      <c r="F113" s="315" t="s">
        <v>318</v>
      </c>
      <c r="G113" s="315" t="s">
        <v>319</v>
      </c>
      <c r="H113" s="315" t="s">
        <v>392</v>
      </c>
      <c r="I113" s="314" t="s">
        <v>569</v>
      </c>
    </row>
    <row r="114" spans="2:9" ht="22.8" x14ac:dyDescent="0.3">
      <c r="B114" s="363">
        <f t="shared" si="1"/>
        <v>109</v>
      </c>
      <c r="C114" s="315" t="s">
        <v>570</v>
      </c>
      <c r="D114" s="315" t="s">
        <v>559</v>
      </c>
      <c r="E114" s="315" t="s">
        <v>560</v>
      </c>
      <c r="F114" s="315" t="s">
        <v>318</v>
      </c>
      <c r="G114" s="315" t="s">
        <v>319</v>
      </c>
      <c r="H114" s="315" t="s">
        <v>320</v>
      </c>
      <c r="I114" s="314" t="s">
        <v>571</v>
      </c>
    </row>
    <row r="115" spans="2:9" ht="22.8" x14ac:dyDescent="0.3">
      <c r="B115" s="363">
        <f t="shared" si="1"/>
        <v>110</v>
      </c>
      <c r="C115" s="315" t="s">
        <v>572</v>
      </c>
      <c r="D115" s="315" t="s">
        <v>559</v>
      </c>
      <c r="E115" s="315" t="s">
        <v>560</v>
      </c>
      <c r="F115" s="315" t="s">
        <v>318</v>
      </c>
      <c r="G115" s="315" t="s">
        <v>319</v>
      </c>
      <c r="H115" s="315" t="s">
        <v>320</v>
      </c>
      <c r="I115" s="314" t="s">
        <v>573</v>
      </c>
    </row>
    <row r="116" spans="2:9" ht="22.8" x14ac:dyDescent="0.3">
      <c r="B116" s="363">
        <f t="shared" si="1"/>
        <v>111</v>
      </c>
      <c r="C116" s="315" t="s">
        <v>574</v>
      </c>
      <c r="D116" s="315" t="s">
        <v>559</v>
      </c>
      <c r="E116" s="315" t="s">
        <v>560</v>
      </c>
      <c r="F116" s="315" t="s">
        <v>318</v>
      </c>
      <c r="G116" s="315" t="s">
        <v>319</v>
      </c>
      <c r="H116" s="315" t="s">
        <v>320</v>
      </c>
      <c r="I116" s="314" t="s">
        <v>575</v>
      </c>
    </row>
    <row r="117" spans="2:9" ht="22.8" x14ac:dyDescent="0.3">
      <c r="B117" s="363">
        <f t="shared" si="1"/>
        <v>112</v>
      </c>
      <c r="C117" s="315" t="s">
        <v>576</v>
      </c>
      <c r="D117" s="315" t="s">
        <v>559</v>
      </c>
      <c r="E117" s="315" t="s">
        <v>560</v>
      </c>
      <c r="F117" s="315" t="s">
        <v>318</v>
      </c>
      <c r="G117" s="315" t="s">
        <v>319</v>
      </c>
      <c r="H117" s="315" t="s">
        <v>320</v>
      </c>
      <c r="I117" s="314" t="s">
        <v>577</v>
      </c>
    </row>
    <row r="118" spans="2:9" ht="22.8" x14ac:dyDescent="0.3">
      <c r="B118" s="363">
        <f t="shared" si="1"/>
        <v>113</v>
      </c>
      <c r="C118" s="315" t="s">
        <v>578</v>
      </c>
      <c r="D118" s="315" t="s">
        <v>559</v>
      </c>
      <c r="E118" s="315" t="s">
        <v>560</v>
      </c>
      <c r="F118" s="315" t="s">
        <v>318</v>
      </c>
      <c r="G118" s="315" t="s">
        <v>319</v>
      </c>
      <c r="H118" s="315" t="s">
        <v>320</v>
      </c>
      <c r="I118" s="314" t="s">
        <v>579</v>
      </c>
    </row>
    <row r="119" spans="2:9" ht="34.200000000000003" x14ac:dyDescent="0.3">
      <c r="B119" s="363">
        <f t="shared" si="1"/>
        <v>114</v>
      </c>
      <c r="C119" s="315" t="s">
        <v>580</v>
      </c>
      <c r="D119" s="315" t="s">
        <v>581</v>
      </c>
      <c r="E119" s="315" t="s">
        <v>2453</v>
      </c>
      <c r="F119" s="315" t="s">
        <v>318</v>
      </c>
      <c r="G119" s="315" t="s">
        <v>2453</v>
      </c>
      <c r="H119" s="315" t="s">
        <v>376</v>
      </c>
      <c r="I119" s="314" t="s">
        <v>582</v>
      </c>
    </row>
    <row r="120" spans="2:9" ht="34.200000000000003" x14ac:dyDescent="0.3">
      <c r="B120" s="363">
        <f t="shared" si="1"/>
        <v>115</v>
      </c>
      <c r="C120" s="315" t="s">
        <v>583</v>
      </c>
      <c r="D120" s="315" t="s">
        <v>584</v>
      </c>
      <c r="E120" s="315" t="s">
        <v>560</v>
      </c>
      <c r="F120" s="315" t="s">
        <v>318</v>
      </c>
      <c r="G120" s="315" t="s">
        <v>319</v>
      </c>
      <c r="H120" s="315" t="s">
        <v>387</v>
      </c>
      <c r="I120" s="314" t="s">
        <v>585</v>
      </c>
    </row>
    <row r="121" spans="2:9" ht="22.8" x14ac:dyDescent="0.3">
      <c r="B121" s="363">
        <f t="shared" si="1"/>
        <v>116</v>
      </c>
      <c r="C121" s="315" t="s">
        <v>586</v>
      </c>
      <c r="D121" s="315" t="s">
        <v>587</v>
      </c>
      <c r="E121" s="315" t="s">
        <v>560</v>
      </c>
      <c r="F121" s="315" t="s">
        <v>318</v>
      </c>
      <c r="G121" s="315" t="s">
        <v>319</v>
      </c>
      <c r="H121" s="315" t="s">
        <v>363</v>
      </c>
      <c r="I121" s="314" t="s">
        <v>588</v>
      </c>
    </row>
    <row r="122" spans="2:9" x14ac:dyDescent="0.3">
      <c r="B122" s="363">
        <f t="shared" si="1"/>
        <v>117</v>
      </c>
      <c r="C122" s="315" t="s">
        <v>589</v>
      </c>
      <c r="D122" s="315" t="s">
        <v>587</v>
      </c>
      <c r="E122" s="315" t="s">
        <v>560</v>
      </c>
      <c r="F122" s="315" t="s">
        <v>318</v>
      </c>
      <c r="G122" s="315" t="s">
        <v>319</v>
      </c>
      <c r="H122" s="315" t="s">
        <v>392</v>
      </c>
      <c r="I122" s="314" t="s">
        <v>590</v>
      </c>
    </row>
    <row r="123" spans="2:9" x14ac:dyDescent="0.3">
      <c r="B123" s="363">
        <f t="shared" si="1"/>
        <v>118</v>
      </c>
      <c r="C123" s="315" t="s">
        <v>591</v>
      </c>
      <c r="D123" s="315" t="s">
        <v>592</v>
      </c>
      <c r="E123" s="315" t="s">
        <v>560</v>
      </c>
      <c r="F123" s="315" t="s">
        <v>593</v>
      </c>
      <c r="G123" s="315" t="s">
        <v>319</v>
      </c>
      <c r="H123" s="315" t="s">
        <v>320</v>
      </c>
      <c r="I123" s="314" t="s">
        <v>594</v>
      </c>
    </row>
    <row r="124" spans="2:9" ht="22.8" x14ac:dyDescent="0.3">
      <c r="B124" s="363">
        <f t="shared" si="1"/>
        <v>119</v>
      </c>
      <c r="C124" s="315" t="s">
        <v>595</v>
      </c>
      <c r="D124" s="315" t="s">
        <v>596</v>
      </c>
      <c r="E124" s="315" t="s">
        <v>560</v>
      </c>
      <c r="F124" s="315" t="s">
        <v>504</v>
      </c>
      <c r="G124" s="315" t="s">
        <v>319</v>
      </c>
      <c r="H124" s="315" t="s">
        <v>392</v>
      </c>
      <c r="I124" s="314" t="s">
        <v>597</v>
      </c>
    </row>
    <row r="125" spans="2:9" ht="22.8" x14ac:dyDescent="0.3">
      <c r="B125" s="363">
        <f t="shared" si="1"/>
        <v>120</v>
      </c>
      <c r="C125" s="315" t="s">
        <v>598</v>
      </c>
      <c r="D125" s="315" t="s">
        <v>599</v>
      </c>
      <c r="E125" s="315" t="s">
        <v>560</v>
      </c>
      <c r="F125" s="315" t="s">
        <v>318</v>
      </c>
      <c r="G125" s="315" t="s">
        <v>319</v>
      </c>
      <c r="H125" s="315" t="s">
        <v>363</v>
      </c>
      <c r="I125" s="314" t="s">
        <v>600</v>
      </c>
    </row>
    <row r="126" spans="2:9" ht="22.8" x14ac:dyDescent="0.3">
      <c r="B126" s="363">
        <f t="shared" si="1"/>
        <v>121</v>
      </c>
      <c r="C126" s="315" t="s">
        <v>601</v>
      </c>
      <c r="D126" s="315" t="s">
        <v>599</v>
      </c>
      <c r="E126" s="315" t="s">
        <v>560</v>
      </c>
      <c r="F126" s="315" t="s">
        <v>318</v>
      </c>
      <c r="G126" s="315" t="s">
        <v>319</v>
      </c>
      <c r="H126" s="315" t="s">
        <v>363</v>
      </c>
      <c r="I126" s="314" t="s">
        <v>602</v>
      </c>
    </row>
    <row r="127" spans="2:9" ht="22.8" x14ac:dyDescent="0.3">
      <c r="B127" s="363">
        <f t="shared" si="1"/>
        <v>122</v>
      </c>
      <c r="C127" s="315" t="s">
        <v>1327</v>
      </c>
      <c r="D127" s="315" t="s">
        <v>603</v>
      </c>
      <c r="E127" s="315" t="s">
        <v>560</v>
      </c>
      <c r="F127" s="315" t="s">
        <v>318</v>
      </c>
      <c r="G127" s="315" t="s">
        <v>319</v>
      </c>
      <c r="H127" s="315" t="s">
        <v>1328</v>
      </c>
      <c r="I127" s="314" t="s">
        <v>604</v>
      </c>
    </row>
    <row r="128" spans="2:9" x14ac:dyDescent="0.3">
      <c r="B128" s="363">
        <f t="shared" si="1"/>
        <v>123</v>
      </c>
      <c r="C128" s="315" t="s">
        <v>605</v>
      </c>
      <c r="D128" s="315" t="s">
        <v>603</v>
      </c>
      <c r="E128" s="315" t="s">
        <v>560</v>
      </c>
      <c r="F128" s="315" t="s">
        <v>318</v>
      </c>
      <c r="G128" s="315" t="s">
        <v>319</v>
      </c>
      <c r="H128" s="315" t="s">
        <v>363</v>
      </c>
      <c r="I128" s="314" t="s">
        <v>606</v>
      </c>
    </row>
    <row r="129" spans="2:9" x14ac:dyDescent="0.3">
      <c r="B129" s="363">
        <f t="shared" si="1"/>
        <v>124</v>
      </c>
      <c r="C129" s="315" t="s">
        <v>607</v>
      </c>
      <c r="D129" s="315" t="s">
        <v>603</v>
      </c>
      <c r="E129" s="315" t="s">
        <v>560</v>
      </c>
      <c r="F129" s="315" t="s">
        <v>318</v>
      </c>
      <c r="G129" s="315" t="s">
        <v>319</v>
      </c>
      <c r="H129" s="315" t="s">
        <v>363</v>
      </c>
      <c r="I129" s="314" t="s">
        <v>608</v>
      </c>
    </row>
    <row r="130" spans="2:9" ht="34.200000000000003" x14ac:dyDescent="0.3">
      <c r="B130" s="363">
        <f t="shared" si="1"/>
        <v>125</v>
      </c>
      <c r="C130" s="315" t="s">
        <v>609</v>
      </c>
      <c r="D130" s="315" t="s">
        <v>603</v>
      </c>
      <c r="E130" s="315" t="s">
        <v>560</v>
      </c>
      <c r="F130" s="315" t="s">
        <v>318</v>
      </c>
      <c r="G130" s="315" t="s">
        <v>319</v>
      </c>
      <c r="H130" s="315" t="s">
        <v>610</v>
      </c>
      <c r="I130" s="314" t="s">
        <v>611</v>
      </c>
    </row>
    <row r="131" spans="2:9" ht="22.8" x14ac:dyDescent="0.3">
      <c r="B131" s="363">
        <f t="shared" si="1"/>
        <v>126</v>
      </c>
      <c r="C131" s="315" t="s">
        <v>609</v>
      </c>
      <c r="D131" s="315" t="s">
        <v>603</v>
      </c>
      <c r="E131" s="315" t="s">
        <v>560</v>
      </c>
      <c r="F131" s="315" t="s">
        <v>318</v>
      </c>
      <c r="G131" s="315" t="s">
        <v>319</v>
      </c>
      <c r="H131" s="315" t="s">
        <v>612</v>
      </c>
      <c r="I131" s="314" t="s">
        <v>613</v>
      </c>
    </row>
    <row r="132" spans="2:9" x14ac:dyDescent="0.3">
      <c r="B132" s="363">
        <f t="shared" si="1"/>
        <v>127</v>
      </c>
      <c r="C132" s="315" t="s">
        <v>614</v>
      </c>
      <c r="D132" s="315" t="s">
        <v>603</v>
      </c>
      <c r="E132" s="315" t="s">
        <v>560</v>
      </c>
      <c r="F132" s="315" t="s">
        <v>318</v>
      </c>
      <c r="G132" s="315" t="s">
        <v>319</v>
      </c>
      <c r="H132" s="315" t="s">
        <v>392</v>
      </c>
      <c r="I132" s="314" t="s">
        <v>615</v>
      </c>
    </row>
    <row r="133" spans="2:9" x14ac:dyDescent="0.3">
      <c r="B133" s="363">
        <f t="shared" si="1"/>
        <v>128</v>
      </c>
      <c r="C133" s="315" t="s">
        <v>616</v>
      </c>
      <c r="D133" s="315" t="s">
        <v>603</v>
      </c>
      <c r="E133" s="315" t="s">
        <v>560</v>
      </c>
      <c r="F133" s="315" t="s">
        <v>318</v>
      </c>
      <c r="G133" s="315" t="s">
        <v>319</v>
      </c>
      <c r="H133" s="315" t="s">
        <v>392</v>
      </c>
      <c r="I133" s="314" t="s">
        <v>617</v>
      </c>
    </row>
    <row r="134" spans="2:9" x14ac:dyDescent="0.3">
      <c r="B134" s="363">
        <f t="shared" ref="B134:B197" si="2">ROW()-5</f>
        <v>129</v>
      </c>
      <c r="C134" s="315" t="s">
        <v>618</v>
      </c>
      <c r="D134" s="315" t="s">
        <v>603</v>
      </c>
      <c r="E134" s="315" t="s">
        <v>560</v>
      </c>
      <c r="F134" s="315" t="s">
        <v>318</v>
      </c>
      <c r="G134" s="315" t="s">
        <v>319</v>
      </c>
      <c r="H134" s="315" t="s">
        <v>392</v>
      </c>
      <c r="I134" s="314" t="s">
        <v>619</v>
      </c>
    </row>
    <row r="135" spans="2:9" x14ac:dyDescent="0.3">
      <c r="B135" s="363">
        <f t="shared" si="2"/>
        <v>130</v>
      </c>
      <c r="C135" s="315" t="s">
        <v>620</v>
      </c>
      <c r="D135" s="315" t="s">
        <v>603</v>
      </c>
      <c r="E135" s="315" t="s">
        <v>560</v>
      </c>
      <c r="F135" s="315" t="s">
        <v>318</v>
      </c>
      <c r="G135" s="315" t="s">
        <v>319</v>
      </c>
      <c r="H135" s="315" t="s">
        <v>392</v>
      </c>
      <c r="I135" s="314" t="s">
        <v>621</v>
      </c>
    </row>
    <row r="136" spans="2:9" x14ac:dyDescent="0.3">
      <c r="B136" s="363">
        <f t="shared" si="2"/>
        <v>131</v>
      </c>
      <c r="C136" s="315" t="s">
        <v>622</v>
      </c>
      <c r="D136" s="315" t="s">
        <v>603</v>
      </c>
      <c r="E136" s="315" t="s">
        <v>560</v>
      </c>
      <c r="F136" s="315" t="s">
        <v>318</v>
      </c>
      <c r="G136" s="315" t="s">
        <v>319</v>
      </c>
      <c r="H136" s="315" t="s">
        <v>392</v>
      </c>
      <c r="I136" s="314" t="s">
        <v>623</v>
      </c>
    </row>
    <row r="137" spans="2:9" x14ac:dyDescent="0.3">
      <c r="B137" s="363">
        <f t="shared" si="2"/>
        <v>132</v>
      </c>
      <c r="C137" s="315" t="s">
        <v>622</v>
      </c>
      <c r="D137" s="315" t="s">
        <v>603</v>
      </c>
      <c r="E137" s="315" t="s">
        <v>560</v>
      </c>
      <c r="F137" s="315" t="s">
        <v>318</v>
      </c>
      <c r="G137" s="315" t="s">
        <v>319</v>
      </c>
      <c r="H137" s="315" t="s">
        <v>392</v>
      </c>
      <c r="I137" s="314" t="s">
        <v>624</v>
      </c>
    </row>
    <row r="138" spans="2:9" ht="22.8" x14ac:dyDescent="0.3">
      <c r="B138" s="363">
        <f t="shared" si="2"/>
        <v>133</v>
      </c>
      <c r="C138" s="315" t="s">
        <v>1306</v>
      </c>
      <c r="D138" s="315" t="s">
        <v>603</v>
      </c>
      <c r="E138" s="315" t="s">
        <v>560</v>
      </c>
      <c r="F138" s="315" t="s">
        <v>318</v>
      </c>
      <c r="G138" s="315" t="s">
        <v>319</v>
      </c>
      <c r="H138" s="315" t="s">
        <v>368</v>
      </c>
      <c r="I138" s="314" t="s">
        <v>625</v>
      </c>
    </row>
    <row r="139" spans="2:9" ht="34.200000000000003" x14ac:dyDescent="0.3">
      <c r="B139" s="363">
        <f t="shared" si="2"/>
        <v>134</v>
      </c>
      <c r="C139" s="315" t="s">
        <v>626</v>
      </c>
      <c r="D139" s="315" t="s">
        <v>627</v>
      </c>
      <c r="E139" s="315" t="s">
        <v>560</v>
      </c>
      <c r="F139" s="315" t="s">
        <v>318</v>
      </c>
      <c r="G139" s="315" t="s">
        <v>319</v>
      </c>
      <c r="H139" s="315" t="s">
        <v>320</v>
      </c>
      <c r="I139" s="314" t="s">
        <v>628</v>
      </c>
    </row>
    <row r="140" spans="2:9" ht="22.8" x14ac:dyDescent="0.3">
      <c r="B140" s="471">
        <f t="shared" si="2"/>
        <v>135</v>
      </c>
      <c r="C140" s="311" t="s">
        <v>629</v>
      </c>
      <c r="D140" s="311" t="s">
        <v>630</v>
      </c>
      <c r="E140" s="311" t="s">
        <v>631</v>
      </c>
      <c r="F140" s="311" t="s">
        <v>632</v>
      </c>
      <c r="G140" s="311" t="s">
        <v>633</v>
      </c>
      <c r="H140" s="311" t="s">
        <v>363</v>
      </c>
      <c r="I140" s="316" t="s">
        <v>634</v>
      </c>
    </row>
    <row r="141" spans="2:9" ht="22.8" x14ac:dyDescent="0.3">
      <c r="B141" s="363">
        <f t="shared" si="2"/>
        <v>136</v>
      </c>
      <c r="C141" s="315" t="s">
        <v>635</v>
      </c>
      <c r="D141" s="315" t="s">
        <v>636</v>
      </c>
      <c r="E141" s="315" t="s">
        <v>631</v>
      </c>
      <c r="F141" s="315" t="s">
        <v>318</v>
      </c>
      <c r="G141" s="315" t="s">
        <v>319</v>
      </c>
      <c r="H141" s="315" t="s">
        <v>376</v>
      </c>
      <c r="I141" s="314" t="s">
        <v>637</v>
      </c>
    </row>
    <row r="142" spans="2:9" ht="45.6" x14ac:dyDescent="0.3">
      <c r="B142" s="363">
        <f t="shared" si="2"/>
        <v>137</v>
      </c>
      <c r="C142" s="315" t="s">
        <v>638</v>
      </c>
      <c r="D142" s="315" t="s">
        <v>639</v>
      </c>
      <c r="E142" s="315" t="s">
        <v>631</v>
      </c>
      <c r="F142" s="315" t="s">
        <v>318</v>
      </c>
      <c r="G142" s="315" t="s">
        <v>319</v>
      </c>
      <c r="H142" s="315" t="s">
        <v>376</v>
      </c>
      <c r="I142" s="314" t="s">
        <v>640</v>
      </c>
    </row>
    <row r="143" spans="2:9" ht="34.200000000000003" x14ac:dyDescent="0.3">
      <c r="B143" s="363">
        <f t="shared" si="2"/>
        <v>138</v>
      </c>
      <c r="C143" s="315" t="s">
        <v>641</v>
      </c>
      <c r="D143" s="315" t="s">
        <v>642</v>
      </c>
      <c r="E143" s="315" t="s">
        <v>631</v>
      </c>
      <c r="F143" s="315" t="s">
        <v>318</v>
      </c>
      <c r="G143" s="315" t="s">
        <v>319</v>
      </c>
      <c r="H143" s="315" t="s">
        <v>320</v>
      </c>
      <c r="I143" s="314" t="s">
        <v>643</v>
      </c>
    </row>
    <row r="144" spans="2:9" ht="34.200000000000003" x14ac:dyDescent="0.3">
      <c r="B144" s="363">
        <f t="shared" si="2"/>
        <v>139</v>
      </c>
      <c r="C144" s="315" t="s">
        <v>644</v>
      </c>
      <c r="D144" s="315" t="s">
        <v>645</v>
      </c>
      <c r="E144" s="315" t="s">
        <v>631</v>
      </c>
      <c r="F144" s="315" t="s">
        <v>318</v>
      </c>
      <c r="G144" s="315" t="s">
        <v>319</v>
      </c>
      <c r="H144" s="315" t="s">
        <v>320</v>
      </c>
      <c r="I144" s="314" t="s">
        <v>646</v>
      </c>
    </row>
    <row r="145" spans="2:9" ht="34.200000000000003" x14ac:dyDescent="0.3">
      <c r="B145" s="363">
        <f t="shared" si="2"/>
        <v>140</v>
      </c>
      <c r="C145" s="315" t="s">
        <v>647</v>
      </c>
      <c r="D145" s="315" t="s">
        <v>648</v>
      </c>
      <c r="E145" s="315" t="s">
        <v>649</v>
      </c>
      <c r="F145" s="315" t="s">
        <v>318</v>
      </c>
      <c r="G145" s="315" t="s">
        <v>319</v>
      </c>
      <c r="H145" s="315" t="s">
        <v>376</v>
      </c>
      <c r="I145" s="314" t="s">
        <v>650</v>
      </c>
    </row>
    <row r="146" spans="2:9" ht="22.8" x14ac:dyDescent="0.3">
      <c r="B146" s="363">
        <f t="shared" si="2"/>
        <v>141</v>
      </c>
      <c r="C146" s="315" t="s">
        <v>651</v>
      </c>
      <c r="D146" s="315" t="s">
        <v>648</v>
      </c>
      <c r="E146" s="315" t="s">
        <v>649</v>
      </c>
      <c r="F146" s="315" t="s">
        <v>318</v>
      </c>
      <c r="G146" s="315" t="s">
        <v>319</v>
      </c>
      <c r="H146" s="315" t="s">
        <v>320</v>
      </c>
      <c r="I146" s="314" t="s">
        <v>652</v>
      </c>
    </row>
    <row r="147" spans="2:9" ht="34.200000000000003" x14ac:dyDescent="0.3">
      <c r="B147" s="363">
        <f t="shared" si="2"/>
        <v>142</v>
      </c>
      <c r="C147" s="315" t="s">
        <v>653</v>
      </c>
      <c r="D147" s="315" t="s">
        <v>648</v>
      </c>
      <c r="E147" s="315" t="s">
        <v>649</v>
      </c>
      <c r="F147" s="315" t="s">
        <v>318</v>
      </c>
      <c r="G147" s="315" t="s">
        <v>319</v>
      </c>
      <c r="H147" s="315" t="s">
        <v>320</v>
      </c>
      <c r="I147" s="314" t="s">
        <v>654</v>
      </c>
    </row>
    <row r="148" spans="2:9" ht="22.8" x14ac:dyDescent="0.3">
      <c r="B148" s="363">
        <f t="shared" si="2"/>
        <v>143</v>
      </c>
      <c r="C148" s="315" t="s">
        <v>655</v>
      </c>
      <c r="D148" s="315" t="s">
        <v>648</v>
      </c>
      <c r="E148" s="315" t="s">
        <v>649</v>
      </c>
      <c r="F148" s="315" t="s">
        <v>318</v>
      </c>
      <c r="G148" s="315" t="s">
        <v>319</v>
      </c>
      <c r="H148" s="315" t="s">
        <v>320</v>
      </c>
      <c r="I148" s="314" t="s">
        <v>656</v>
      </c>
    </row>
    <row r="149" spans="2:9" ht="34.200000000000003" x14ac:dyDescent="0.3">
      <c r="B149" s="363">
        <f t="shared" si="2"/>
        <v>144</v>
      </c>
      <c r="C149" s="315" t="s">
        <v>657</v>
      </c>
      <c r="D149" s="315" t="s">
        <v>648</v>
      </c>
      <c r="E149" s="315" t="s">
        <v>649</v>
      </c>
      <c r="F149" s="315" t="s">
        <v>318</v>
      </c>
      <c r="G149" s="315" t="s">
        <v>319</v>
      </c>
      <c r="H149" s="315" t="s">
        <v>320</v>
      </c>
      <c r="I149" s="314" t="s">
        <v>658</v>
      </c>
    </row>
    <row r="150" spans="2:9" ht="34.200000000000003" x14ac:dyDescent="0.3">
      <c r="B150" s="471">
        <f t="shared" si="2"/>
        <v>145</v>
      </c>
      <c r="C150" s="311" t="s">
        <v>659</v>
      </c>
      <c r="D150" s="311" t="s">
        <v>660</v>
      </c>
      <c r="E150" s="311" t="s">
        <v>649</v>
      </c>
      <c r="F150" s="311" t="s">
        <v>372</v>
      </c>
      <c r="G150" s="311" t="s">
        <v>416</v>
      </c>
      <c r="H150" s="311" t="s">
        <v>320</v>
      </c>
      <c r="I150" s="316" t="s">
        <v>661</v>
      </c>
    </row>
    <row r="151" spans="2:9" ht="34.200000000000003" x14ac:dyDescent="0.3">
      <c r="B151" s="363">
        <f t="shared" si="2"/>
        <v>146</v>
      </c>
      <c r="C151" s="315" t="s">
        <v>662</v>
      </c>
      <c r="D151" s="315" t="s">
        <v>663</v>
      </c>
      <c r="E151" s="315" t="s">
        <v>649</v>
      </c>
      <c r="F151" s="315" t="s">
        <v>318</v>
      </c>
      <c r="G151" s="315" t="s">
        <v>319</v>
      </c>
      <c r="H151" s="315" t="s">
        <v>320</v>
      </c>
      <c r="I151" s="314" t="s">
        <v>664</v>
      </c>
    </row>
    <row r="152" spans="2:9" ht="34.200000000000003" x14ac:dyDescent="0.3">
      <c r="B152" s="363">
        <f t="shared" si="2"/>
        <v>147</v>
      </c>
      <c r="C152" s="315" t="s">
        <v>665</v>
      </c>
      <c r="D152" s="315" t="s">
        <v>663</v>
      </c>
      <c r="E152" s="315" t="s">
        <v>649</v>
      </c>
      <c r="F152" s="315" t="s">
        <v>318</v>
      </c>
      <c r="G152" s="315" t="s">
        <v>319</v>
      </c>
      <c r="H152" s="315" t="s">
        <v>320</v>
      </c>
      <c r="I152" s="314" t="s">
        <v>666</v>
      </c>
    </row>
    <row r="153" spans="2:9" ht="34.200000000000003" x14ac:dyDescent="0.3">
      <c r="B153" s="363">
        <f t="shared" si="2"/>
        <v>148</v>
      </c>
      <c r="C153" s="315" t="s">
        <v>667</v>
      </c>
      <c r="D153" s="315" t="s">
        <v>668</v>
      </c>
      <c r="E153" s="315" t="s">
        <v>649</v>
      </c>
      <c r="F153" s="315" t="s">
        <v>318</v>
      </c>
      <c r="G153" s="315" t="s">
        <v>319</v>
      </c>
      <c r="H153" s="315" t="s">
        <v>376</v>
      </c>
      <c r="I153" s="314" t="s">
        <v>669</v>
      </c>
    </row>
    <row r="154" spans="2:9" ht="22.8" x14ac:dyDescent="0.3">
      <c r="B154" s="363">
        <f t="shared" si="2"/>
        <v>149</v>
      </c>
      <c r="C154" s="315" t="s">
        <v>670</v>
      </c>
      <c r="D154" s="315" t="s">
        <v>668</v>
      </c>
      <c r="E154" s="315" t="s">
        <v>649</v>
      </c>
      <c r="F154" s="315" t="s">
        <v>318</v>
      </c>
      <c r="G154" s="315" t="s">
        <v>319</v>
      </c>
      <c r="H154" s="315" t="s">
        <v>320</v>
      </c>
      <c r="I154" s="314" t="s">
        <v>671</v>
      </c>
    </row>
    <row r="155" spans="2:9" ht="22.8" x14ac:dyDescent="0.3">
      <c r="B155" s="363">
        <f t="shared" si="2"/>
        <v>150</v>
      </c>
      <c r="C155" s="315" t="s">
        <v>672</v>
      </c>
      <c r="D155" s="315" t="s">
        <v>673</v>
      </c>
      <c r="E155" s="315" t="s">
        <v>649</v>
      </c>
      <c r="F155" s="315" t="s">
        <v>318</v>
      </c>
      <c r="G155" s="315" t="s">
        <v>319</v>
      </c>
      <c r="H155" s="315" t="s">
        <v>320</v>
      </c>
      <c r="I155" s="314" t="s">
        <v>674</v>
      </c>
    </row>
    <row r="156" spans="2:9" ht="34.200000000000003" x14ac:dyDescent="0.3">
      <c r="B156" s="363">
        <f t="shared" si="2"/>
        <v>151</v>
      </c>
      <c r="C156" s="315" t="s">
        <v>675</v>
      </c>
      <c r="D156" s="315" t="s">
        <v>676</v>
      </c>
      <c r="E156" s="315" t="s">
        <v>649</v>
      </c>
      <c r="F156" s="315" t="s">
        <v>318</v>
      </c>
      <c r="G156" s="315" t="s">
        <v>319</v>
      </c>
      <c r="H156" s="315" t="s">
        <v>363</v>
      </c>
      <c r="I156" s="314" t="s">
        <v>677</v>
      </c>
    </row>
    <row r="157" spans="2:9" ht="22.8" x14ac:dyDescent="0.3">
      <c r="B157" s="363">
        <f t="shared" si="2"/>
        <v>152</v>
      </c>
      <c r="C157" s="315" t="s">
        <v>574</v>
      </c>
      <c r="D157" s="315" t="s">
        <v>676</v>
      </c>
      <c r="E157" s="315" t="s">
        <v>649</v>
      </c>
      <c r="F157" s="315" t="s">
        <v>318</v>
      </c>
      <c r="G157" s="315" t="s">
        <v>319</v>
      </c>
      <c r="H157" s="315" t="s">
        <v>320</v>
      </c>
      <c r="I157" s="314" t="s">
        <v>678</v>
      </c>
    </row>
    <row r="158" spans="2:9" ht="34.200000000000003" x14ac:dyDescent="0.3">
      <c r="B158" s="363">
        <f t="shared" si="2"/>
        <v>153</v>
      </c>
      <c r="C158" s="315" t="s">
        <v>679</v>
      </c>
      <c r="D158" s="315" t="s">
        <v>680</v>
      </c>
      <c r="E158" s="315" t="s">
        <v>649</v>
      </c>
      <c r="F158" s="315" t="s">
        <v>318</v>
      </c>
      <c r="G158" s="315" t="s">
        <v>319</v>
      </c>
      <c r="H158" s="315" t="s">
        <v>320</v>
      </c>
      <c r="I158" s="314" t="s">
        <v>681</v>
      </c>
    </row>
    <row r="159" spans="2:9" ht="22.8" x14ac:dyDescent="0.3">
      <c r="B159" s="363">
        <f t="shared" si="2"/>
        <v>154</v>
      </c>
      <c r="C159" s="315" t="s">
        <v>682</v>
      </c>
      <c r="D159" s="315" t="s">
        <v>683</v>
      </c>
      <c r="E159" s="315" t="s">
        <v>649</v>
      </c>
      <c r="F159" s="315" t="s">
        <v>318</v>
      </c>
      <c r="G159" s="315" t="s">
        <v>319</v>
      </c>
      <c r="H159" s="315" t="s">
        <v>320</v>
      </c>
      <c r="I159" s="314" t="s">
        <v>684</v>
      </c>
    </row>
    <row r="160" spans="2:9" ht="22.8" x14ac:dyDescent="0.3">
      <c r="B160" s="363">
        <f t="shared" si="2"/>
        <v>155</v>
      </c>
      <c r="C160" s="315" t="s">
        <v>685</v>
      </c>
      <c r="D160" s="315" t="s">
        <v>686</v>
      </c>
      <c r="E160" s="315" t="s">
        <v>649</v>
      </c>
      <c r="F160" s="315" t="s">
        <v>318</v>
      </c>
      <c r="G160" s="315" t="s">
        <v>319</v>
      </c>
      <c r="H160" s="315" t="s">
        <v>320</v>
      </c>
      <c r="I160" s="314" t="s">
        <v>687</v>
      </c>
    </row>
    <row r="161" spans="2:9" ht="22.8" x14ac:dyDescent="0.3">
      <c r="B161" s="363">
        <f t="shared" si="2"/>
        <v>156</v>
      </c>
      <c r="C161" s="315" t="s">
        <v>688</v>
      </c>
      <c r="D161" s="315" t="s">
        <v>686</v>
      </c>
      <c r="E161" s="315" t="s">
        <v>649</v>
      </c>
      <c r="F161" s="315" t="s">
        <v>318</v>
      </c>
      <c r="G161" s="315" t="s">
        <v>319</v>
      </c>
      <c r="H161" s="315" t="s">
        <v>320</v>
      </c>
      <c r="I161" s="314" t="s">
        <v>689</v>
      </c>
    </row>
    <row r="162" spans="2:9" ht="22.8" x14ac:dyDescent="0.3">
      <c r="B162" s="363">
        <f t="shared" si="2"/>
        <v>157</v>
      </c>
      <c r="C162" s="315" t="s">
        <v>690</v>
      </c>
      <c r="D162" s="315" t="s">
        <v>686</v>
      </c>
      <c r="E162" s="315" t="s">
        <v>649</v>
      </c>
      <c r="F162" s="315" t="s">
        <v>318</v>
      </c>
      <c r="G162" s="315" t="s">
        <v>319</v>
      </c>
      <c r="H162" s="315" t="s">
        <v>320</v>
      </c>
      <c r="I162" s="314" t="s">
        <v>691</v>
      </c>
    </row>
    <row r="163" spans="2:9" ht="22.8" x14ac:dyDescent="0.3">
      <c r="B163" s="363">
        <f t="shared" si="2"/>
        <v>158</v>
      </c>
      <c r="C163" s="315" t="s">
        <v>692</v>
      </c>
      <c r="D163" s="315" t="s">
        <v>686</v>
      </c>
      <c r="E163" s="315" t="s">
        <v>649</v>
      </c>
      <c r="F163" s="315" t="s">
        <v>318</v>
      </c>
      <c r="G163" s="315" t="s">
        <v>319</v>
      </c>
      <c r="H163" s="315" t="s">
        <v>320</v>
      </c>
      <c r="I163" s="314" t="s">
        <v>693</v>
      </c>
    </row>
    <row r="164" spans="2:9" ht="22.8" x14ac:dyDescent="0.3">
      <c r="B164" s="363">
        <f t="shared" si="2"/>
        <v>159</v>
      </c>
      <c r="C164" s="315" t="s">
        <v>694</v>
      </c>
      <c r="D164" s="315" t="s">
        <v>695</v>
      </c>
      <c r="E164" s="315" t="s">
        <v>649</v>
      </c>
      <c r="F164" s="315" t="s">
        <v>318</v>
      </c>
      <c r="G164" s="315" t="s">
        <v>319</v>
      </c>
      <c r="H164" s="315" t="s">
        <v>363</v>
      </c>
      <c r="I164" s="314" t="s">
        <v>696</v>
      </c>
    </row>
    <row r="165" spans="2:9" ht="34.200000000000003" x14ac:dyDescent="0.3">
      <c r="B165" s="363">
        <f t="shared" si="2"/>
        <v>160</v>
      </c>
      <c r="C165" s="315" t="s">
        <v>697</v>
      </c>
      <c r="D165" s="315" t="s">
        <v>695</v>
      </c>
      <c r="E165" s="315" t="s">
        <v>649</v>
      </c>
      <c r="F165" s="315" t="s">
        <v>318</v>
      </c>
      <c r="G165" s="315" t="s">
        <v>319</v>
      </c>
      <c r="H165" s="315" t="s">
        <v>376</v>
      </c>
      <c r="I165" s="314" t="s">
        <v>698</v>
      </c>
    </row>
    <row r="166" spans="2:9" ht="22.8" x14ac:dyDescent="0.3">
      <c r="B166" s="363">
        <f t="shared" si="2"/>
        <v>161</v>
      </c>
      <c r="C166" s="315" t="s">
        <v>699</v>
      </c>
      <c r="D166" s="315" t="s">
        <v>700</v>
      </c>
      <c r="E166" s="315" t="s">
        <v>649</v>
      </c>
      <c r="F166" s="315" t="s">
        <v>318</v>
      </c>
      <c r="G166" s="315" t="s">
        <v>319</v>
      </c>
      <c r="H166" s="315" t="s">
        <v>392</v>
      </c>
      <c r="I166" s="314" t="s">
        <v>701</v>
      </c>
    </row>
    <row r="167" spans="2:9" ht="22.8" x14ac:dyDescent="0.3">
      <c r="B167" s="363">
        <f t="shared" si="2"/>
        <v>162</v>
      </c>
      <c r="C167" s="315" t="s">
        <v>702</v>
      </c>
      <c r="D167" s="315" t="s">
        <v>700</v>
      </c>
      <c r="E167" s="315" t="s">
        <v>649</v>
      </c>
      <c r="F167" s="315" t="s">
        <v>318</v>
      </c>
      <c r="G167" s="315" t="s">
        <v>319</v>
      </c>
      <c r="H167" s="315" t="s">
        <v>320</v>
      </c>
      <c r="I167" s="314" t="s">
        <v>703</v>
      </c>
    </row>
    <row r="168" spans="2:9" ht="22.8" x14ac:dyDescent="0.3">
      <c r="B168" s="363">
        <f t="shared" si="2"/>
        <v>163</v>
      </c>
      <c r="C168" s="315" t="s">
        <v>704</v>
      </c>
      <c r="D168" s="315" t="s">
        <v>705</v>
      </c>
      <c r="E168" s="315" t="s">
        <v>649</v>
      </c>
      <c r="F168" s="315" t="s">
        <v>318</v>
      </c>
      <c r="G168" s="315" t="s">
        <v>319</v>
      </c>
      <c r="H168" s="315" t="s">
        <v>320</v>
      </c>
      <c r="I168" s="314" t="s">
        <v>706</v>
      </c>
    </row>
    <row r="169" spans="2:9" ht="34.200000000000003" x14ac:dyDescent="0.3">
      <c r="B169" s="363">
        <f t="shared" si="2"/>
        <v>164</v>
      </c>
      <c r="C169" s="315" t="s">
        <v>707</v>
      </c>
      <c r="D169" s="315" t="s">
        <v>708</v>
      </c>
      <c r="E169" s="315" t="s">
        <v>649</v>
      </c>
      <c r="F169" s="315" t="s">
        <v>318</v>
      </c>
      <c r="G169" s="315" t="s">
        <v>319</v>
      </c>
      <c r="H169" s="315" t="s">
        <v>320</v>
      </c>
      <c r="I169" s="314" t="s">
        <v>709</v>
      </c>
    </row>
    <row r="170" spans="2:9" ht="45.6" x14ac:dyDescent="0.3">
      <c r="B170" s="363">
        <f t="shared" si="2"/>
        <v>165</v>
      </c>
      <c r="C170" s="315" t="s">
        <v>710</v>
      </c>
      <c r="D170" s="315" t="s">
        <v>711</v>
      </c>
      <c r="E170" s="315" t="s">
        <v>649</v>
      </c>
      <c r="F170" s="315" t="s">
        <v>318</v>
      </c>
      <c r="G170" s="315" t="s">
        <v>319</v>
      </c>
      <c r="H170" s="315" t="s">
        <v>376</v>
      </c>
      <c r="I170" s="314" t="s">
        <v>712</v>
      </c>
    </row>
    <row r="171" spans="2:9" ht="34.200000000000003" x14ac:dyDescent="0.3">
      <c r="B171" s="363">
        <f t="shared" si="2"/>
        <v>166</v>
      </c>
      <c r="C171" s="315" t="s">
        <v>713</v>
      </c>
      <c r="D171" s="315" t="s">
        <v>711</v>
      </c>
      <c r="E171" s="315" t="s">
        <v>649</v>
      </c>
      <c r="F171" s="315" t="s">
        <v>318</v>
      </c>
      <c r="G171" s="315" t="s">
        <v>319</v>
      </c>
      <c r="H171" s="315" t="s">
        <v>320</v>
      </c>
      <c r="I171" s="314" t="s">
        <v>714</v>
      </c>
    </row>
    <row r="172" spans="2:9" ht="34.200000000000003" x14ac:dyDescent="0.3">
      <c r="B172" s="363">
        <f t="shared" si="2"/>
        <v>167</v>
      </c>
      <c r="C172" s="315" t="s">
        <v>715</v>
      </c>
      <c r="D172" s="315" t="s">
        <v>711</v>
      </c>
      <c r="E172" s="315" t="s">
        <v>649</v>
      </c>
      <c r="F172" s="315" t="s">
        <v>318</v>
      </c>
      <c r="G172" s="315" t="s">
        <v>319</v>
      </c>
      <c r="H172" s="315" t="s">
        <v>320</v>
      </c>
      <c r="I172" s="314" t="s">
        <v>716</v>
      </c>
    </row>
    <row r="173" spans="2:9" ht="34.200000000000003" x14ac:dyDescent="0.3">
      <c r="B173" s="363">
        <f t="shared" si="2"/>
        <v>168</v>
      </c>
      <c r="C173" s="315" t="s">
        <v>717</v>
      </c>
      <c r="D173" s="315" t="s">
        <v>718</v>
      </c>
      <c r="E173" s="315" t="s">
        <v>649</v>
      </c>
      <c r="F173" s="315" t="s">
        <v>318</v>
      </c>
      <c r="G173" s="315" t="s">
        <v>319</v>
      </c>
      <c r="H173" s="315" t="s">
        <v>320</v>
      </c>
      <c r="I173" s="314" t="s">
        <v>719</v>
      </c>
    </row>
    <row r="174" spans="2:9" ht="24" x14ac:dyDescent="0.3">
      <c r="B174" s="363">
        <f t="shared" si="2"/>
        <v>169</v>
      </c>
      <c r="C174" s="315" t="s">
        <v>721</v>
      </c>
      <c r="D174" s="315" t="s">
        <v>722</v>
      </c>
      <c r="E174" s="325" t="s">
        <v>415</v>
      </c>
      <c r="F174" s="315" t="s">
        <v>318</v>
      </c>
      <c r="G174" s="315" t="s">
        <v>319</v>
      </c>
      <c r="H174" s="315" t="s">
        <v>363</v>
      </c>
      <c r="I174" s="314" t="s">
        <v>723</v>
      </c>
    </row>
    <row r="175" spans="2:9" ht="34.200000000000003" x14ac:dyDescent="0.3">
      <c r="B175" s="363">
        <f t="shared" si="2"/>
        <v>170</v>
      </c>
      <c r="C175" s="315" t="s">
        <v>725</v>
      </c>
      <c r="D175" s="315" t="s">
        <v>724</v>
      </c>
      <c r="E175" s="325" t="s">
        <v>720</v>
      </c>
      <c r="F175" s="315" t="s">
        <v>318</v>
      </c>
      <c r="G175" s="315" t="s">
        <v>319</v>
      </c>
      <c r="H175" s="315" t="s">
        <v>363</v>
      </c>
      <c r="I175" s="314" t="s">
        <v>726</v>
      </c>
    </row>
    <row r="176" spans="2:9" ht="34.200000000000003" x14ac:dyDescent="0.3">
      <c r="B176" s="363">
        <f t="shared" si="2"/>
        <v>171</v>
      </c>
      <c r="C176" s="315" t="s">
        <v>727</v>
      </c>
      <c r="D176" s="315" t="s">
        <v>724</v>
      </c>
      <c r="E176" s="325" t="s">
        <v>720</v>
      </c>
      <c r="F176" s="315" t="s">
        <v>318</v>
      </c>
      <c r="G176" s="315" t="s">
        <v>319</v>
      </c>
      <c r="H176" s="315" t="s">
        <v>392</v>
      </c>
      <c r="I176" s="314" t="s">
        <v>728</v>
      </c>
    </row>
    <row r="177" spans="2:9" ht="22.8" x14ac:dyDescent="0.3">
      <c r="B177" s="363">
        <f t="shared" si="2"/>
        <v>172</v>
      </c>
      <c r="C177" s="315" t="s">
        <v>729</v>
      </c>
      <c r="D177" s="315" t="s">
        <v>730</v>
      </c>
      <c r="E177" s="325" t="s">
        <v>317</v>
      </c>
      <c r="F177" s="315" t="s">
        <v>318</v>
      </c>
      <c r="G177" s="315" t="s">
        <v>319</v>
      </c>
      <c r="H177" s="315" t="s">
        <v>363</v>
      </c>
      <c r="I177" s="314" t="s">
        <v>731</v>
      </c>
    </row>
    <row r="178" spans="2:9" ht="24" x14ac:dyDescent="0.3">
      <c r="B178" s="363">
        <f t="shared" si="2"/>
        <v>173</v>
      </c>
      <c r="C178" s="315" t="s">
        <v>732</v>
      </c>
      <c r="D178" s="315" t="s">
        <v>733</v>
      </c>
      <c r="E178" s="325" t="s">
        <v>415</v>
      </c>
      <c r="F178" s="315" t="s">
        <v>318</v>
      </c>
      <c r="G178" s="315" t="s">
        <v>319</v>
      </c>
      <c r="H178" s="315" t="s">
        <v>363</v>
      </c>
      <c r="I178" s="314" t="s">
        <v>734</v>
      </c>
    </row>
    <row r="179" spans="2:9" ht="22.8" x14ac:dyDescent="0.3">
      <c r="B179" s="363">
        <f t="shared" si="2"/>
        <v>174</v>
      </c>
      <c r="C179" s="315" t="s">
        <v>735</v>
      </c>
      <c r="D179" s="315" t="s">
        <v>736</v>
      </c>
      <c r="E179" s="315" t="s">
        <v>2453</v>
      </c>
      <c r="F179" s="315" t="s">
        <v>318</v>
      </c>
      <c r="G179" s="315" t="s">
        <v>2453</v>
      </c>
      <c r="H179" s="315" t="s">
        <v>363</v>
      </c>
      <c r="I179" s="314" t="s">
        <v>737</v>
      </c>
    </row>
    <row r="180" spans="2:9" ht="22.8" x14ac:dyDescent="0.3">
      <c r="B180" s="363">
        <f t="shared" si="2"/>
        <v>175</v>
      </c>
      <c r="C180" s="315" t="s">
        <v>738</v>
      </c>
      <c r="D180" s="315" t="s">
        <v>736</v>
      </c>
      <c r="E180" s="315" t="s">
        <v>2453</v>
      </c>
      <c r="F180" s="315" t="s">
        <v>318</v>
      </c>
      <c r="G180" s="315" t="s">
        <v>2453</v>
      </c>
      <c r="H180" s="315" t="s">
        <v>363</v>
      </c>
      <c r="I180" s="314" t="s">
        <v>739</v>
      </c>
    </row>
    <row r="181" spans="2:9" ht="34.200000000000003" x14ac:dyDescent="0.3">
      <c r="B181" s="363">
        <f t="shared" si="2"/>
        <v>176</v>
      </c>
      <c r="C181" s="315" t="s">
        <v>740</v>
      </c>
      <c r="D181" s="315" t="s">
        <v>741</v>
      </c>
      <c r="E181" s="315" t="s">
        <v>2453</v>
      </c>
      <c r="F181" s="315" t="s">
        <v>318</v>
      </c>
      <c r="G181" s="315" t="s">
        <v>2453</v>
      </c>
      <c r="H181" s="315" t="s">
        <v>363</v>
      </c>
      <c r="I181" s="314" t="s">
        <v>742</v>
      </c>
    </row>
    <row r="182" spans="2:9" ht="34.200000000000003" x14ac:dyDescent="0.3">
      <c r="B182" s="363">
        <f t="shared" si="2"/>
        <v>177</v>
      </c>
      <c r="C182" s="315" t="s">
        <v>743</v>
      </c>
      <c r="D182" s="315" t="s">
        <v>744</v>
      </c>
      <c r="E182" s="315" t="s">
        <v>2453</v>
      </c>
      <c r="F182" s="315" t="s">
        <v>318</v>
      </c>
      <c r="G182" s="315" t="s">
        <v>2453</v>
      </c>
      <c r="H182" s="315" t="s">
        <v>363</v>
      </c>
      <c r="I182" s="314" t="s">
        <v>745</v>
      </c>
    </row>
    <row r="183" spans="2:9" ht="34.200000000000003" x14ac:dyDescent="0.3">
      <c r="B183" s="363">
        <f t="shared" si="2"/>
        <v>178</v>
      </c>
      <c r="C183" s="315" t="s">
        <v>746</v>
      </c>
      <c r="D183" s="315" t="s">
        <v>747</v>
      </c>
      <c r="E183" s="315" t="s">
        <v>2453</v>
      </c>
      <c r="F183" s="315" t="s">
        <v>318</v>
      </c>
      <c r="G183" s="315" t="s">
        <v>2453</v>
      </c>
      <c r="H183" s="315" t="s">
        <v>363</v>
      </c>
      <c r="I183" s="314" t="s">
        <v>748</v>
      </c>
    </row>
    <row r="184" spans="2:9" ht="22.8" x14ac:dyDescent="0.3">
      <c r="B184" s="363">
        <f t="shared" si="2"/>
        <v>179</v>
      </c>
      <c r="C184" s="315" t="s">
        <v>749</v>
      </c>
      <c r="D184" s="315" t="s">
        <v>750</v>
      </c>
      <c r="E184" s="315" t="s">
        <v>2453</v>
      </c>
      <c r="F184" s="315" t="s">
        <v>318</v>
      </c>
      <c r="G184" s="315" t="s">
        <v>2453</v>
      </c>
      <c r="H184" s="315" t="s">
        <v>363</v>
      </c>
      <c r="I184" s="314" t="s">
        <v>751</v>
      </c>
    </row>
    <row r="185" spans="2:9" ht="22.8" x14ac:dyDescent="0.3">
      <c r="B185" s="363">
        <f t="shared" si="2"/>
        <v>180</v>
      </c>
      <c r="C185" s="315" t="s">
        <v>752</v>
      </c>
      <c r="D185" s="315" t="s">
        <v>750</v>
      </c>
      <c r="E185" s="315" t="s">
        <v>2453</v>
      </c>
      <c r="F185" s="315" t="s">
        <v>318</v>
      </c>
      <c r="G185" s="315" t="s">
        <v>2453</v>
      </c>
      <c r="H185" s="315" t="s">
        <v>363</v>
      </c>
      <c r="I185" s="314" t="s">
        <v>753</v>
      </c>
    </row>
    <row r="186" spans="2:9" ht="22.8" x14ac:dyDescent="0.3">
      <c r="B186" s="363">
        <f t="shared" si="2"/>
        <v>181</v>
      </c>
      <c r="C186" s="315" t="s">
        <v>754</v>
      </c>
      <c r="D186" s="315" t="s">
        <v>750</v>
      </c>
      <c r="E186" s="315" t="s">
        <v>2453</v>
      </c>
      <c r="F186" s="315" t="s">
        <v>318</v>
      </c>
      <c r="G186" s="315" t="s">
        <v>2453</v>
      </c>
      <c r="H186" s="315" t="s">
        <v>363</v>
      </c>
      <c r="I186" s="314" t="s">
        <v>755</v>
      </c>
    </row>
    <row r="187" spans="2:9" ht="22.8" x14ac:dyDescent="0.3">
      <c r="B187" s="363">
        <f t="shared" si="2"/>
        <v>182</v>
      </c>
      <c r="C187" s="315" t="s">
        <v>756</v>
      </c>
      <c r="D187" s="315" t="s">
        <v>757</v>
      </c>
      <c r="E187" s="315" t="s">
        <v>2453</v>
      </c>
      <c r="F187" s="315" t="s">
        <v>318</v>
      </c>
      <c r="G187" s="315" t="s">
        <v>2453</v>
      </c>
      <c r="H187" s="315" t="s">
        <v>363</v>
      </c>
      <c r="I187" s="314" t="s">
        <v>758</v>
      </c>
    </row>
    <row r="188" spans="2:9" ht="22.8" x14ac:dyDescent="0.3">
      <c r="B188" s="363">
        <f t="shared" si="2"/>
        <v>183</v>
      </c>
      <c r="C188" s="315" t="s">
        <v>759</v>
      </c>
      <c r="D188" s="315" t="s">
        <v>760</v>
      </c>
      <c r="E188" s="315" t="s">
        <v>2453</v>
      </c>
      <c r="F188" s="315" t="s">
        <v>318</v>
      </c>
      <c r="G188" s="315" t="s">
        <v>2453</v>
      </c>
      <c r="H188" s="315" t="s">
        <v>363</v>
      </c>
      <c r="I188" s="314" t="s">
        <v>761</v>
      </c>
    </row>
    <row r="189" spans="2:9" ht="34.200000000000003" x14ac:dyDescent="0.3">
      <c r="B189" s="363">
        <f t="shared" si="2"/>
        <v>184</v>
      </c>
      <c r="C189" s="315" t="s">
        <v>743</v>
      </c>
      <c r="D189" s="315" t="s">
        <v>762</v>
      </c>
      <c r="E189" s="315" t="s">
        <v>2453</v>
      </c>
      <c r="F189" s="315" t="s">
        <v>318</v>
      </c>
      <c r="G189" s="315" t="s">
        <v>2453</v>
      </c>
      <c r="H189" s="315" t="s">
        <v>363</v>
      </c>
      <c r="I189" s="314" t="s">
        <v>763</v>
      </c>
    </row>
    <row r="190" spans="2:9" ht="22.8" x14ac:dyDescent="0.3">
      <c r="B190" s="363">
        <f t="shared" si="2"/>
        <v>185</v>
      </c>
      <c r="C190" s="315" t="s">
        <v>764</v>
      </c>
      <c r="D190" s="315" t="s">
        <v>765</v>
      </c>
      <c r="E190" s="315" t="s">
        <v>2453</v>
      </c>
      <c r="F190" s="315" t="s">
        <v>318</v>
      </c>
      <c r="G190" s="315" t="s">
        <v>2453</v>
      </c>
      <c r="H190" s="315" t="s">
        <v>363</v>
      </c>
      <c r="I190" s="314" t="s">
        <v>766</v>
      </c>
    </row>
    <row r="191" spans="2:9" ht="34.200000000000003" x14ac:dyDescent="0.3">
      <c r="B191" s="363">
        <f t="shared" si="2"/>
        <v>186</v>
      </c>
      <c r="C191" s="315" t="s">
        <v>767</v>
      </c>
      <c r="D191" s="315" t="s">
        <v>768</v>
      </c>
      <c r="E191" s="315" t="s">
        <v>2453</v>
      </c>
      <c r="F191" s="315" t="s">
        <v>318</v>
      </c>
      <c r="G191" s="315" t="s">
        <v>2453</v>
      </c>
      <c r="H191" s="315" t="s">
        <v>363</v>
      </c>
      <c r="I191" s="314" t="s">
        <v>769</v>
      </c>
    </row>
    <row r="192" spans="2:9" ht="34.200000000000003" x14ac:dyDescent="0.3">
      <c r="B192" s="363">
        <f t="shared" si="2"/>
        <v>187</v>
      </c>
      <c r="C192" s="315" t="s">
        <v>770</v>
      </c>
      <c r="D192" s="315" t="s">
        <v>771</v>
      </c>
      <c r="E192" s="315" t="s">
        <v>2453</v>
      </c>
      <c r="F192" s="315" t="s">
        <v>318</v>
      </c>
      <c r="G192" s="315" t="s">
        <v>2453</v>
      </c>
      <c r="H192" s="315" t="s">
        <v>363</v>
      </c>
      <c r="I192" s="314" t="s">
        <v>772</v>
      </c>
    </row>
    <row r="193" spans="2:9" ht="34.200000000000003" x14ac:dyDescent="0.3">
      <c r="B193" s="363">
        <f t="shared" si="2"/>
        <v>188</v>
      </c>
      <c r="C193" s="315" t="s">
        <v>773</v>
      </c>
      <c r="D193" s="315" t="s">
        <v>771</v>
      </c>
      <c r="E193" s="315" t="s">
        <v>2453</v>
      </c>
      <c r="F193" s="315" t="s">
        <v>318</v>
      </c>
      <c r="G193" s="315" t="s">
        <v>2453</v>
      </c>
      <c r="H193" s="315" t="s">
        <v>320</v>
      </c>
      <c r="I193" s="314" t="s">
        <v>774</v>
      </c>
    </row>
    <row r="194" spans="2:9" ht="34.200000000000003" x14ac:dyDescent="0.3">
      <c r="B194" s="363">
        <f t="shared" si="2"/>
        <v>189</v>
      </c>
      <c r="C194" s="315" t="s">
        <v>775</v>
      </c>
      <c r="D194" s="315" t="s">
        <v>776</v>
      </c>
      <c r="E194" s="315" t="s">
        <v>2453</v>
      </c>
      <c r="F194" s="315" t="s">
        <v>318</v>
      </c>
      <c r="G194" s="315" t="s">
        <v>2453</v>
      </c>
      <c r="H194" s="315" t="s">
        <v>363</v>
      </c>
      <c r="I194" s="314" t="s">
        <v>777</v>
      </c>
    </row>
    <row r="195" spans="2:9" ht="22.8" x14ac:dyDescent="0.3">
      <c r="B195" s="363">
        <f t="shared" si="2"/>
        <v>190</v>
      </c>
      <c r="C195" s="315" t="s">
        <v>778</v>
      </c>
      <c r="D195" s="315" t="s">
        <v>779</v>
      </c>
      <c r="E195" s="315" t="s">
        <v>2453</v>
      </c>
      <c r="F195" s="315" t="s">
        <v>318</v>
      </c>
      <c r="G195" s="315" t="s">
        <v>2453</v>
      </c>
      <c r="H195" s="315" t="s">
        <v>363</v>
      </c>
      <c r="I195" s="314" t="s">
        <v>780</v>
      </c>
    </row>
    <row r="196" spans="2:9" ht="22.8" x14ac:dyDescent="0.3">
      <c r="B196" s="363">
        <f t="shared" si="2"/>
        <v>191</v>
      </c>
      <c r="C196" s="315" t="s">
        <v>781</v>
      </c>
      <c r="D196" s="315" t="s">
        <v>782</v>
      </c>
      <c r="E196" s="315" t="s">
        <v>2453</v>
      </c>
      <c r="F196" s="315" t="s">
        <v>318</v>
      </c>
      <c r="G196" s="315" t="s">
        <v>2453</v>
      </c>
      <c r="H196" s="315" t="s">
        <v>363</v>
      </c>
      <c r="I196" s="314" t="s">
        <v>783</v>
      </c>
    </row>
    <row r="197" spans="2:9" ht="22.8" x14ac:dyDescent="0.3">
      <c r="B197" s="363">
        <f t="shared" si="2"/>
        <v>192</v>
      </c>
      <c r="C197" s="315" t="s">
        <v>784</v>
      </c>
      <c r="D197" s="315" t="s">
        <v>782</v>
      </c>
      <c r="E197" s="315" t="s">
        <v>2453</v>
      </c>
      <c r="F197" s="315" t="s">
        <v>318</v>
      </c>
      <c r="G197" s="315" t="s">
        <v>2453</v>
      </c>
      <c r="H197" s="315" t="s">
        <v>363</v>
      </c>
      <c r="I197" s="314" t="s">
        <v>785</v>
      </c>
    </row>
    <row r="198" spans="2:9" ht="22.8" x14ac:dyDescent="0.3">
      <c r="B198" s="363">
        <f t="shared" ref="B198:B209" si="3">ROW()-5</f>
        <v>193</v>
      </c>
      <c r="C198" s="315" t="s">
        <v>786</v>
      </c>
      <c r="D198" s="315" t="s">
        <v>787</v>
      </c>
      <c r="E198" s="315" t="s">
        <v>2453</v>
      </c>
      <c r="F198" s="315" t="s">
        <v>318</v>
      </c>
      <c r="G198" s="315" t="s">
        <v>2453</v>
      </c>
      <c r="H198" s="315" t="s">
        <v>363</v>
      </c>
      <c r="I198" s="314" t="s">
        <v>788</v>
      </c>
    </row>
    <row r="199" spans="2:9" ht="22.8" x14ac:dyDescent="0.3">
      <c r="B199" s="363">
        <f t="shared" si="3"/>
        <v>194</v>
      </c>
      <c r="C199" s="315" t="s">
        <v>789</v>
      </c>
      <c r="D199" s="315" t="s">
        <v>790</v>
      </c>
      <c r="E199" s="315" t="s">
        <v>2453</v>
      </c>
      <c r="F199" s="315" t="s">
        <v>318</v>
      </c>
      <c r="G199" s="315" t="s">
        <v>2453</v>
      </c>
      <c r="H199" s="315" t="s">
        <v>363</v>
      </c>
      <c r="I199" s="314" t="s">
        <v>791</v>
      </c>
    </row>
    <row r="200" spans="2:9" ht="22.8" x14ac:dyDescent="0.3">
      <c r="B200" s="363">
        <f t="shared" si="3"/>
        <v>195</v>
      </c>
      <c r="C200" s="315" t="s">
        <v>792</v>
      </c>
      <c r="D200" s="315" t="s">
        <v>793</v>
      </c>
      <c r="E200" s="315" t="s">
        <v>2453</v>
      </c>
      <c r="F200" s="315" t="s">
        <v>318</v>
      </c>
      <c r="G200" s="315" t="s">
        <v>2453</v>
      </c>
      <c r="H200" s="315" t="s">
        <v>363</v>
      </c>
      <c r="I200" s="314" t="s">
        <v>794</v>
      </c>
    </row>
    <row r="201" spans="2:9" ht="22.8" x14ac:dyDescent="0.3">
      <c r="B201" s="363">
        <f t="shared" si="3"/>
        <v>196</v>
      </c>
      <c r="C201" s="315" t="s">
        <v>795</v>
      </c>
      <c r="D201" s="315" t="s">
        <v>793</v>
      </c>
      <c r="E201" s="315" t="s">
        <v>2453</v>
      </c>
      <c r="F201" s="315" t="s">
        <v>318</v>
      </c>
      <c r="G201" s="315" t="s">
        <v>2453</v>
      </c>
      <c r="H201" s="315" t="s">
        <v>320</v>
      </c>
      <c r="I201" s="314" t="s">
        <v>796</v>
      </c>
    </row>
    <row r="202" spans="2:9" ht="34.200000000000003" x14ac:dyDescent="0.3">
      <c r="B202" s="363">
        <f t="shared" si="3"/>
        <v>197</v>
      </c>
      <c r="C202" s="315" t="s">
        <v>797</v>
      </c>
      <c r="D202" s="315" t="s">
        <v>798</v>
      </c>
      <c r="E202" s="315" t="s">
        <v>2453</v>
      </c>
      <c r="F202" s="315" t="s">
        <v>318</v>
      </c>
      <c r="G202" s="315" t="s">
        <v>2453</v>
      </c>
      <c r="H202" s="315" t="s">
        <v>363</v>
      </c>
      <c r="I202" s="314" t="s">
        <v>799</v>
      </c>
    </row>
    <row r="203" spans="2:9" ht="34.200000000000003" x14ac:dyDescent="0.3">
      <c r="B203" s="363">
        <f t="shared" si="3"/>
        <v>198</v>
      </c>
      <c r="C203" s="315" t="s">
        <v>800</v>
      </c>
      <c r="D203" s="315" t="s">
        <v>801</v>
      </c>
      <c r="E203" s="315" t="s">
        <v>2453</v>
      </c>
      <c r="F203" s="315" t="s">
        <v>318</v>
      </c>
      <c r="G203" s="315" t="s">
        <v>2453</v>
      </c>
      <c r="H203" s="315" t="s">
        <v>363</v>
      </c>
      <c r="I203" s="314" t="s">
        <v>802</v>
      </c>
    </row>
    <row r="204" spans="2:9" ht="34.200000000000003" x14ac:dyDescent="0.3">
      <c r="B204" s="363">
        <f t="shared" si="3"/>
        <v>199</v>
      </c>
      <c r="C204" s="315" t="s">
        <v>803</v>
      </c>
      <c r="D204" s="315" t="s">
        <v>801</v>
      </c>
      <c r="E204" s="315" t="s">
        <v>2453</v>
      </c>
      <c r="F204" s="315" t="s">
        <v>318</v>
      </c>
      <c r="G204" s="315" t="s">
        <v>2453</v>
      </c>
      <c r="H204" s="315" t="s">
        <v>363</v>
      </c>
      <c r="I204" s="314" t="s">
        <v>804</v>
      </c>
    </row>
    <row r="205" spans="2:9" ht="22.8" x14ac:dyDescent="0.3">
      <c r="B205" s="363">
        <f t="shared" si="3"/>
        <v>200</v>
      </c>
      <c r="C205" s="315" t="s">
        <v>805</v>
      </c>
      <c r="D205" s="315" t="s">
        <v>801</v>
      </c>
      <c r="E205" s="315" t="s">
        <v>2453</v>
      </c>
      <c r="F205" s="315" t="s">
        <v>318</v>
      </c>
      <c r="G205" s="315" t="s">
        <v>2453</v>
      </c>
      <c r="H205" s="315" t="s">
        <v>363</v>
      </c>
      <c r="I205" s="314" t="s">
        <v>806</v>
      </c>
    </row>
    <row r="206" spans="2:9" ht="22.8" x14ac:dyDescent="0.3">
      <c r="B206" s="363">
        <f t="shared" si="3"/>
        <v>201</v>
      </c>
      <c r="C206" s="315" t="s">
        <v>807</v>
      </c>
      <c r="D206" s="315" t="s">
        <v>808</v>
      </c>
      <c r="E206" s="315" t="s">
        <v>2453</v>
      </c>
      <c r="F206" s="315" t="s">
        <v>318</v>
      </c>
      <c r="G206" s="315" t="s">
        <v>2453</v>
      </c>
      <c r="H206" s="315" t="s">
        <v>363</v>
      </c>
      <c r="I206" s="314" t="s">
        <v>809</v>
      </c>
    </row>
    <row r="207" spans="2:9" ht="22.8" x14ac:dyDescent="0.3">
      <c r="B207" s="363">
        <f t="shared" si="3"/>
        <v>202</v>
      </c>
      <c r="C207" s="315" t="s">
        <v>810</v>
      </c>
      <c r="D207" s="315" t="s">
        <v>811</v>
      </c>
      <c r="E207" s="315" t="s">
        <v>2453</v>
      </c>
      <c r="F207" s="315" t="s">
        <v>318</v>
      </c>
      <c r="G207" s="315" t="s">
        <v>2453</v>
      </c>
      <c r="H207" s="315" t="s">
        <v>363</v>
      </c>
      <c r="I207" s="314" t="s">
        <v>812</v>
      </c>
    </row>
    <row r="208" spans="2:9" ht="22.8" x14ac:dyDescent="0.3">
      <c r="B208" s="363">
        <f t="shared" si="3"/>
        <v>203</v>
      </c>
      <c r="C208" s="315" t="s">
        <v>813</v>
      </c>
      <c r="D208" s="315" t="s">
        <v>814</v>
      </c>
      <c r="E208" s="315" t="s">
        <v>2453</v>
      </c>
      <c r="F208" s="315" t="s">
        <v>318</v>
      </c>
      <c r="G208" s="315" t="s">
        <v>2453</v>
      </c>
      <c r="H208" s="315" t="s">
        <v>363</v>
      </c>
      <c r="I208" s="314" t="s">
        <v>815</v>
      </c>
    </row>
    <row r="209" spans="2:9" ht="22.8" x14ac:dyDescent="0.3">
      <c r="B209" s="363">
        <f t="shared" si="3"/>
        <v>204</v>
      </c>
      <c r="C209" s="315" t="s">
        <v>816</v>
      </c>
      <c r="D209" s="315" t="s">
        <v>814</v>
      </c>
      <c r="E209" s="315" t="s">
        <v>2453</v>
      </c>
      <c r="F209" s="315" t="s">
        <v>318</v>
      </c>
      <c r="G209" s="315" t="s">
        <v>2453</v>
      </c>
      <c r="H209" s="315" t="s">
        <v>363</v>
      </c>
      <c r="I209" s="314" t="s">
        <v>817</v>
      </c>
    </row>
    <row r="210" spans="2:9" ht="45.6" x14ac:dyDescent="0.3">
      <c r="B210" s="363">
        <f>ROW()-5</f>
        <v>205</v>
      </c>
      <c r="C210" s="315" t="s">
        <v>1346</v>
      </c>
      <c r="D210" s="315" t="s">
        <v>1347</v>
      </c>
      <c r="E210" s="315" t="s">
        <v>415</v>
      </c>
      <c r="F210" s="315"/>
      <c r="G210" s="315" t="s">
        <v>1348</v>
      </c>
      <c r="H210" s="315" t="s">
        <v>363</v>
      </c>
      <c r="I210" s="314" t="s">
        <v>1349</v>
      </c>
    </row>
    <row r="211" spans="2:9" ht="22.8" x14ac:dyDescent="0.3">
      <c r="B211" s="363">
        <f>ROW()-5</f>
        <v>206</v>
      </c>
      <c r="C211" s="315" t="s">
        <v>1593</v>
      </c>
      <c r="D211" s="315" t="s">
        <v>1594</v>
      </c>
      <c r="E211" s="315" t="s">
        <v>1595</v>
      </c>
      <c r="F211" s="315"/>
      <c r="G211" s="315" t="s">
        <v>319</v>
      </c>
      <c r="H211" s="315" t="s">
        <v>1140</v>
      </c>
      <c r="I211" s="314" t="s">
        <v>1596</v>
      </c>
    </row>
    <row r="212" spans="2:9" ht="22.8" x14ac:dyDescent="0.3">
      <c r="B212" s="363">
        <f t="shared" ref="B212:B215" si="4">ROW()-5</f>
        <v>207</v>
      </c>
      <c r="C212" s="315" t="s">
        <v>1597</v>
      </c>
      <c r="D212" s="315" t="s">
        <v>371</v>
      </c>
      <c r="E212" s="315" t="s">
        <v>317</v>
      </c>
      <c r="F212" s="315"/>
      <c r="G212" s="315" t="s">
        <v>373</v>
      </c>
      <c r="H212" s="315" t="s">
        <v>1</v>
      </c>
      <c r="I212" s="314" t="s">
        <v>390</v>
      </c>
    </row>
    <row r="213" spans="2:9" ht="45.6" x14ac:dyDescent="0.3">
      <c r="B213" s="363">
        <f t="shared" si="4"/>
        <v>208</v>
      </c>
      <c r="C213" s="315" t="s">
        <v>1598</v>
      </c>
      <c r="D213" s="315" t="s">
        <v>1599</v>
      </c>
      <c r="E213" s="315" t="s">
        <v>317</v>
      </c>
      <c r="F213" s="315"/>
      <c r="G213" s="315" t="s">
        <v>319</v>
      </c>
      <c r="H213" s="315" t="s">
        <v>1138</v>
      </c>
      <c r="I213" s="314" t="s">
        <v>1600</v>
      </c>
    </row>
    <row r="214" spans="2:9" ht="22.8" x14ac:dyDescent="0.3">
      <c r="B214" s="363">
        <f t="shared" si="4"/>
        <v>209</v>
      </c>
      <c r="C214" s="315" t="s">
        <v>1601</v>
      </c>
      <c r="D214" s="315" t="s">
        <v>1602</v>
      </c>
      <c r="E214" s="315" t="s">
        <v>317</v>
      </c>
      <c r="F214" s="315"/>
      <c r="G214" s="315" t="s">
        <v>319</v>
      </c>
      <c r="H214" s="315" t="s">
        <v>1138</v>
      </c>
      <c r="I214" s="314" t="s">
        <v>1603</v>
      </c>
    </row>
    <row r="215" spans="2:9" ht="22.8" x14ac:dyDescent="0.3">
      <c r="B215" s="363">
        <f t="shared" si="4"/>
        <v>210</v>
      </c>
      <c r="C215" s="315" t="s">
        <v>1604</v>
      </c>
      <c r="D215" s="315" t="s">
        <v>559</v>
      </c>
      <c r="E215" s="315" t="s">
        <v>1595</v>
      </c>
      <c r="F215" s="315"/>
      <c r="G215" s="315" t="s">
        <v>319</v>
      </c>
      <c r="H215" s="315" t="s">
        <v>1138</v>
      </c>
      <c r="I215" s="314" t="s">
        <v>569</v>
      </c>
    </row>
    <row r="216" spans="2:9" ht="25.95" customHeight="1" x14ac:dyDescent="0.3">
      <c r="B216" s="363">
        <f>ROW()-5</f>
        <v>211</v>
      </c>
      <c r="C216" s="315" t="s">
        <v>1667</v>
      </c>
      <c r="D216" s="315" t="s">
        <v>1668</v>
      </c>
      <c r="E216" s="315" t="s">
        <v>1669</v>
      </c>
      <c r="F216" s="315"/>
      <c r="G216" s="315" t="s">
        <v>319</v>
      </c>
      <c r="H216" s="315" t="s">
        <v>1831</v>
      </c>
      <c r="I216" s="314" t="s">
        <v>1670</v>
      </c>
    </row>
    <row r="217" spans="2:9" ht="25.95" customHeight="1" x14ac:dyDescent="0.3">
      <c r="B217" s="130" t="s">
        <v>818</v>
      </c>
      <c r="C217" s="131"/>
      <c r="D217" s="131"/>
      <c r="E217" s="131"/>
      <c r="F217" s="131"/>
      <c r="G217" s="131"/>
      <c r="H217" s="131"/>
      <c r="I217" s="131"/>
    </row>
    <row r="218" spans="2:9" ht="25.95" customHeight="1" x14ac:dyDescent="0.3">
      <c r="B218" s="132" t="str">
        <f>"•  TOTAL UNIQUE URLS: "&amp;TEXT(COUNTA($I$6:$I$216),"0")</f>
        <v>•  TOTAL UNIQUE URLS: 211</v>
      </c>
      <c r="C218" s="131"/>
      <c r="D218" s="131"/>
      <c r="E218" s="131"/>
      <c r="F218" s="131"/>
      <c r="G218" s="131"/>
      <c r="H218" s="131"/>
      <c r="I218" s="131"/>
    </row>
    <row r="219" spans="2:9" ht="25.95" customHeight="1" x14ac:dyDescent="0.3">
      <c r="B219" s="132" t="str">
        <f>"•  Blocked to automation - likely live: "&amp;TEXT(COUNTIF($G$6:$G$216,"Blocked to automation - likely live"),"0")</f>
        <v>•  Blocked to automation - likely live: 6</v>
      </c>
      <c r="C219" s="131"/>
      <c r="D219" s="131"/>
      <c r="E219" s="131"/>
      <c r="F219" s="131"/>
      <c r="G219" s="131"/>
      <c r="H219" s="131"/>
      <c r="I219" s="131"/>
    </row>
    <row r="220" spans="2:9" ht="31.05" customHeight="1" x14ac:dyDescent="0.3">
      <c r="B220" s="132" t="str">
        <f>"•  DEAD - REPLACE: "&amp;TEXT(COUNTIF($G$6:$G$216,"DEAD - REPLACE"),"0")</f>
        <v>•  DEAD - REPLACE: 0</v>
      </c>
      <c r="C220" s="131"/>
      <c r="D220" s="131"/>
      <c r="E220" s="131"/>
      <c r="F220" s="131"/>
      <c r="G220" s="131"/>
      <c r="H220" s="131"/>
      <c r="I220" s="131"/>
    </row>
    <row r="221" spans="2:9" ht="44.55" customHeight="1" x14ac:dyDescent="0.3">
      <c r="B221" s="132" t="str">
        <f>"•  OK: "&amp;TEXT(COUNTIF($G$6:$G$216,"OK"),"0")</f>
        <v>•  OK: 152</v>
      </c>
      <c r="C221" s="131"/>
      <c r="D221" s="131"/>
      <c r="E221" s="131"/>
      <c r="F221" s="131"/>
      <c r="G221" s="131"/>
      <c r="H221" s="131"/>
      <c r="I221" s="131"/>
    </row>
    <row r="222" spans="2:9" ht="58.05" customHeight="1" x14ac:dyDescent="0.3">
      <c r="B222" s="132" t="str">
        <f>"•  OK (rate-limited): "&amp;TEXT(COUNTIF($G$6:$G$216,"OK (rate-limited)"),"0")</f>
        <v>•  OK (rate-limited): 1</v>
      </c>
      <c r="C222" s="131"/>
      <c r="D222" s="131"/>
      <c r="E222" s="131"/>
      <c r="F222" s="131"/>
      <c r="G222" s="131"/>
      <c r="H222" s="131"/>
      <c r="I222" s="131"/>
    </row>
    <row r="223" spans="2:9" ht="58.05" customHeight="1" x14ac:dyDescent="0.3">
      <c r="B223" s="132" t="str">
        <f>"•  OK (verified, SEC UA): "&amp;TEXT(COUNTIF($G$6:$G$216,"OK (verified, SEC UA)"),"0")&amp;"   |   Paywalled - not machine-verified: "&amp;TEXT(COUNTIF($G$6:$G$216,"Paywalled - not machine-verified"),"0")</f>
        <v>•  OK (verified, SEC UA): 19   |   Paywalled - not machine-verified: 1</v>
      </c>
      <c r="C223" s="131"/>
      <c r="D223" s="131"/>
      <c r="E223" s="131"/>
      <c r="F223" s="131"/>
      <c r="G223" s="131"/>
      <c r="H223" s="131"/>
      <c r="I223" s="131"/>
    </row>
    <row r="224" spans="2:9" ht="31.05" customHeight="1" x14ac:dyDescent="0.3">
      <c r="B224" s="132" t="str">
        <f>"•  Tier 5 transcript sources: "&amp;TEXT(COUNTIF($E$6:$E$216,"5 LOW - replace"),"0")&amp;"   |   Archived research-only links: "&amp;TEXT(COUNTIF($E$6:$E$216,"Archive - not used in workbook exhibits"),"0")</f>
        <v>•  Tier 5 transcript sources: 2   |   Archived research-only links: 32</v>
      </c>
      <c r="C224" s="131"/>
      <c r="D224" s="131"/>
      <c r="E224" s="131"/>
      <c r="F224" s="131"/>
      <c r="G224" s="131"/>
      <c r="H224" s="131"/>
      <c r="I224" s="131"/>
    </row>
    <row r="225" spans="2:9" ht="31.05" customHeight="1" x14ac:dyDescent="0.3">
      <c r="B225" s="663" t="s">
        <v>1325</v>
      </c>
      <c r="C225" s="663"/>
      <c r="D225" s="663"/>
      <c r="E225" s="663"/>
      <c r="F225" s="663"/>
      <c r="G225" s="663"/>
      <c r="H225" s="663"/>
      <c r="I225" s="663"/>
    </row>
    <row r="226" spans="2:9" ht="44.55" customHeight="1" x14ac:dyDescent="0.3">
      <c r="B226" s="663" t="s">
        <v>819</v>
      </c>
      <c r="C226" s="688"/>
      <c r="D226" s="688"/>
      <c r="E226" s="688"/>
      <c r="F226" s="688"/>
      <c r="G226" s="688"/>
      <c r="H226" s="688"/>
      <c r="I226" s="688"/>
    </row>
    <row r="227" spans="2:9" ht="25.95" customHeight="1" x14ac:dyDescent="0.3">
      <c r="B227" s="663" t="s">
        <v>2454</v>
      </c>
      <c r="C227" s="663"/>
      <c r="D227" s="663"/>
      <c r="E227" s="663"/>
      <c r="F227" s="663"/>
      <c r="G227" s="663"/>
      <c r="H227" s="663"/>
      <c r="I227" s="663"/>
    </row>
    <row r="228" spans="2:9" ht="25.95" customHeight="1" x14ac:dyDescent="0.3">
      <c r="B228" s="663" t="s">
        <v>820</v>
      </c>
      <c r="C228" s="688"/>
      <c r="D228" s="688"/>
      <c r="E228" s="688"/>
      <c r="F228" s="688"/>
      <c r="G228" s="688"/>
      <c r="H228" s="688"/>
      <c r="I228" s="688"/>
    </row>
    <row r="229" spans="2:9" ht="25.95" customHeight="1" x14ac:dyDescent="0.3">
      <c r="B229" s="663" t="str">
        <f>"•  ALL "&amp;COUNTIFS(D6:D216,"sec.gov")&amp;" SEC.GOV LINKS ARE LIVE. They return 403 to a plain browser user agent because the SEC requires a declared contact string; re-checked with an SEC-compliant user agent, all returned 200."</f>
        <v>•  ALL 19 SEC.GOV LINKS ARE LIVE. They return 403 to a plain browser user agent because the SEC requires a declared contact string; re-checked with an SEC-compliant user agent, all returned 200.</v>
      </c>
      <c r="C229" s="663"/>
      <c r="D229" s="663"/>
      <c r="E229" s="663"/>
      <c r="F229" s="663"/>
      <c r="G229" s="663"/>
      <c r="H229" s="663"/>
      <c r="I229" s="663"/>
    </row>
    <row r="230" spans="2:9" ht="25.95" customHeight="1" x14ac:dyDescent="0.3">
      <c r="B230" s="663" t="s">
        <v>1326</v>
      </c>
      <c r="C230" s="663"/>
      <c r="D230" s="663"/>
      <c r="E230" s="663"/>
      <c r="F230" s="663"/>
      <c r="G230" s="663"/>
      <c r="H230" s="663"/>
      <c r="I230" s="663"/>
    </row>
    <row r="231" spans="2:9" ht="25.95" customHeight="1" x14ac:dyDescent="0.3">
      <c r="B231" s="663" t="s">
        <v>2455</v>
      </c>
      <c r="C231" s="663"/>
      <c r="D231" s="663"/>
      <c r="E231" s="663"/>
      <c r="F231" s="663"/>
      <c r="G231" s="663"/>
      <c r="H231" s="663"/>
      <c r="I231" s="663"/>
    </row>
    <row r="232" spans="2:9" ht="25.95" customHeight="1" x14ac:dyDescent="0.3">
      <c r="B232" s="663" t="s">
        <v>2456</v>
      </c>
      <c r="C232" s="688"/>
      <c r="D232" s="688"/>
      <c r="E232" s="688"/>
      <c r="F232" s="688"/>
      <c r="G232" s="688"/>
      <c r="H232" s="688"/>
      <c r="I232" s="688"/>
    </row>
    <row r="233" spans="2:9" ht="13.95" customHeight="1" x14ac:dyDescent="0.3"/>
    <row r="234" spans="2:9" ht="13.95" customHeight="1" x14ac:dyDescent="0.3"/>
    <row r="235" spans="2:9" ht="25.95" customHeight="1" x14ac:dyDescent="0.3"/>
    <row r="236" spans="2:9" ht="25.95" customHeight="1" x14ac:dyDescent="0.3"/>
    <row r="237" spans="2:9" ht="39" customHeight="1" x14ac:dyDescent="0.3"/>
    <row r="238" spans="2:9" ht="25.95" customHeight="1" x14ac:dyDescent="0.3"/>
    <row r="239" spans="2:9" ht="25.95" customHeight="1" x14ac:dyDescent="0.3"/>
    <row r="240" spans="2:9" ht="13.95" customHeight="1" x14ac:dyDescent="0.3"/>
    <row r="241" ht="13.95" customHeight="1" x14ac:dyDescent="0.3"/>
    <row r="242" ht="25.95" customHeight="1" x14ac:dyDescent="0.3"/>
    <row r="245" ht="13.95" customHeight="1" x14ac:dyDescent="0.3"/>
    <row r="246" ht="13.95" customHeight="1" x14ac:dyDescent="0.3"/>
    <row r="247" ht="13.95" customHeight="1" x14ac:dyDescent="0.3"/>
    <row r="248" ht="13.95" customHeight="1" x14ac:dyDescent="0.3"/>
    <row r="249" ht="13.95" customHeight="1" x14ac:dyDescent="0.3"/>
    <row r="250" ht="13.95" customHeight="1" x14ac:dyDescent="0.3"/>
    <row r="251" ht="13.95" customHeight="1" x14ac:dyDescent="0.3"/>
    <row r="252" ht="13.95" customHeight="1" x14ac:dyDescent="0.3"/>
    <row r="253" ht="39" customHeight="1" x14ac:dyDescent="0.3"/>
    <row r="254" ht="39" customHeight="1" x14ac:dyDescent="0.3"/>
    <row r="255" ht="52.05" customHeight="1" x14ac:dyDescent="0.3"/>
    <row r="256" ht="25.95" customHeight="1" x14ac:dyDescent="0.3"/>
    <row r="257" ht="25.95" customHeight="1" x14ac:dyDescent="0.3"/>
    <row r="258" ht="39" customHeight="1" x14ac:dyDescent="0.3"/>
    <row r="259" ht="25.95" customHeight="1" x14ac:dyDescent="0.3"/>
  </sheetData>
  <autoFilter ref="B5:I210" xr:uid="{00000000-0009-0000-0000-00000E000000}"/>
  <mergeCells count="9">
    <mergeCell ref="B232:I232"/>
    <mergeCell ref="B229:I229"/>
    <mergeCell ref="B228:I228"/>
    <mergeCell ref="B3:I3"/>
    <mergeCell ref="B227:I227"/>
    <mergeCell ref="B231:I231"/>
    <mergeCell ref="B230:I230"/>
    <mergeCell ref="B226:I226"/>
    <mergeCell ref="B225:I225"/>
  </mergeCells>
  <hyperlinks>
    <hyperlink ref="I6" r:id="rId1" xr:uid="{00000000-0004-0000-0E00-000000000000}"/>
    <hyperlink ref="I7" r:id="rId2" xr:uid="{00000000-0004-0000-0E00-000001000000}"/>
    <hyperlink ref="I8" r:id="rId3" xr:uid="{00000000-0004-0000-0E00-000002000000}"/>
    <hyperlink ref="I9" r:id="rId4" xr:uid="{00000000-0004-0000-0E00-000003000000}"/>
    <hyperlink ref="I10" r:id="rId5" xr:uid="{00000000-0004-0000-0E00-000004000000}"/>
    <hyperlink ref="I11" r:id="rId6" xr:uid="{00000000-0004-0000-0E00-000005000000}"/>
    <hyperlink ref="I12" r:id="rId7" xr:uid="{00000000-0004-0000-0E00-000006000000}"/>
    <hyperlink ref="I13" r:id="rId8" xr:uid="{00000000-0004-0000-0E00-000007000000}"/>
    <hyperlink ref="I14" r:id="rId9" xr:uid="{00000000-0004-0000-0E00-000008000000}"/>
    <hyperlink ref="I15" r:id="rId10" xr:uid="{00000000-0004-0000-0E00-000009000000}"/>
    <hyperlink ref="I16" r:id="rId11" xr:uid="{00000000-0004-0000-0E00-00000A000000}"/>
    <hyperlink ref="I17" r:id="rId12" xr:uid="{00000000-0004-0000-0E00-00000B000000}"/>
    <hyperlink ref="I18" r:id="rId13" xr:uid="{00000000-0004-0000-0E00-00000C000000}"/>
    <hyperlink ref="I19" r:id="rId14" xr:uid="{00000000-0004-0000-0E00-00000D000000}"/>
    <hyperlink ref="I20" r:id="rId15" xr:uid="{00000000-0004-0000-0E00-00000E000000}"/>
    <hyperlink ref="I21" r:id="rId16" xr:uid="{00000000-0004-0000-0E00-00000F000000}"/>
    <hyperlink ref="I22" r:id="rId17" xr:uid="{00000000-0004-0000-0E00-000010000000}"/>
    <hyperlink ref="I23" r:id="rId18" xr:uid="{00000000-0004-0000-0E00-000011000000}"/>
    <hyperlink ref="I24" r:id="rId19" xr:uid="{00000000-0004-0000-0E00-000012000000}"/>
    <hyperlink ref="I25" r:id="rId20" xr:uid="{00000000-0004-0000-0E00-000013000000}"/>
    <hyperlink ref="I26" r:id="rId21" xr:uid="{00000000-0004-0000-0E00-000014000000}"/>
    <hyperlink ref="I27" r:id="rId22" xr:uid="{00000000-0004-0000-0E00-000015000000}"/>
    <hyperlink ref="I28" r:id="rId23" xr:uid="{00000000-0004-0000-0E00-000016000000}"/>
    <hyperlink ref="I29" r:id="rId24" xr:uid="{00000000-0004-0000-0E00-000017000000}"/>
    <hyperlink ref="I30" r:id="rId25" xr:uid="{00000000-0004-0000-0E00-000018000000}"/>
    <hyperlink ref="I31" r:id="rId26" xr:uid="{00000000-0004-0000-0E00-000019000000}"/>
    <hyperlink ref="I32" r:id="rId27" xr:uid="{00000000-0004-0000-0E00-00001A000000}"/>
    <hyperlink ref="I33" r:id="rId28" xr:uid="{00000000-0004-0000-0E00-00001B000000}"/>
    <hyperlink ref="I34" r:id="rId29" xr:uid="{00000000-0004-0000-0E00-00001C000000}"/>
    <hyperlink ref="I35" r:id="rId30" xr:uid="{00000000-0004-0000-0E00-00001D000000}"/>
    <hyperlink ref="I36" r:id="rId31" xr:uid="{00000000-0004-0000-0E00-00001E000000}"/>
    <hyperlink ref="I37" r:id="rId32" xr:uid="{00000000-0004-0000-0E00-00001F000000}"/>
    <hyperlink ref="I38" r:id="rId33" xr:uid="{00000000-0004-0000-0E00-000020000000}"/>
    <hyperlink ref="I39" r:id="rId34" xr:uid="{00000000-0004-0000-0E00-000021000000}"/>
    <hyperlink ref="I40" r:id="rId35" xr:uid="{00000000-0004-0000-0E00-000022000000}"/>
    <hyperlink ref="I41" r:id="rId36" xr:uid="{00000000-0004-0000-0E00-000023000000}"/>
    <hyperlink ref="I42" r:id="rId37" xr:uid="{00000000-0004-0000-0E00-000024000000}"/>
    <hyperlink ref="I43" r:id="rId38" xr:uid="{00000000-0004-0000-0E00-000025000000}"/>
    <hyperlink ref="I44" r:id="rId39" xr:uid="{00000000-0004-0000-0E00-000026000000}"/>
    <hyperlink ref="I45" r:id="rId40" xr:uid="{00000000-0004-0000-0E00-000027000000}"/>
    <hyperlink ref="I46" r:id="rId41" xr:uid="{00000000-0004-0000-0E00-000028000000}"/>
    <hyperlink ref="I47" r:id="rId42" xr:uid="{00000000-0004-0000-0E00-000029000000}"/>
    <hyperlink ref="I48" r:id="rId43" xr:uid="{00000000-0004-0000-0E00-00002A000000}"/>
    <hyperlink ref="I49" r:id="rId44" xr:uid="{00000000-0004-0000-0E00-00002B000000}"/>
    <hyperlink ref="I50" r:id="rId45" xr:uid="{00000000-0004-0000-0E00-00002C000000}"/>
    <hyperlink ref="I51" r:id="rId46" xr:uid="{00000000-0004-0000-0E00-00002D000000}"/>
    <hyperlink ref="I52" r:id="rId47" xr:uid="{00000000-0004-0000-0E00-00002E000000}"/>
    <hyperlink ref="I53" r:id="rId48" xr:uid="{00000000-0004-0000-0E00-00002F000000}"/>
    <hyperlink ref="I54" r:id="rId49" xr:uid="{00000000-0004-0000-0E00-000030000000}"/>
    <hyperlink ref="I55" r:id="rId50" xr:uid="{00000000-0004-0000-0E00-000031000000}"/>
    <hyperlink ref="I56" r:id="rId51" xr:uid="{00000000-0004-0000-0E00-000032000000}"/>
    <hyperlink ref="I57" r:id="rId52" xr:uid="{00000000-0004-0000-0E00-000033000000}"/>
    <hyperlink ref="I58" r:id="rId53" xr:uid="{00000000-0004-0000-0E00-000034000000}"/>
    <hyperlink ref="I59" r:id="rId54" xr:uid="{00000000-0004-0000-0E00-000035000000}"/>
    <hyperlink ref="I60" r:id="rId55" xr:uid="{00000000-0004-0000-0E00-000036000000}"/>
    <hyperlink ref="I61" r:id="rId56" xr:uid="{00000000-0004-0000-0E00-000037000000}"/>
    <hyperlink ref="I62" r:id="rId57" xr:uid="{00000000-0004-0000-0E00-000038000000}"/>
    <hyperlink ref="I63" r:id="rId58" xr:uid="{00000000-0004-0000-0E00-000039000000}"/>
    <hyperlink ref="I64" r:id="rId59" xr:uid="{00000000-0004-0000-0E00-00003A000000}"/>
    <hyperlink ref="I65" r:id="rId60" xr:uid="{00000000-0004-0000-0E00-00003B000000}"/>
    <hyperlink ref="I66" r:id="rId61" xr:uid="{00000000-0004-0000-0E00-00003C000000}"/>
    <hyperlink ref="I67" r:id="rId62" xr:uid="{00000000-0004-0000-0E00-00003D000000}"/>
    <hyperlink ref="I68" r:id="rId63" xr:uid="{00000000-0004-0000-0E00-00003E000000}"/>
    <hyperlink ref="I69" r:id="rId64" xr:uid="{00000000-0004-0000-0E00-00003F000000}"/>
    <hyperlink ref="I70" r:id="rId65" xr:uid="{00000000-0004-0000-0E00-000040000000}"/>
    <hyperlink ref="I71" r:id="rId66" xr:uid="{00000000-0004-0000-0E00-000041000000}"/>
    <hyperlink ref="I72" r:id="rId67" xr:uid="{00000000-0004-0000-0E00-000042000000}"/>
    <hyperlink ref="I73" r:id="rId68" xr:uid="{00000000-0004-0000-0E00-000043000000}"/>
    <hyperlink ref="I74" r:id="rId69" xr:uid="{00000000-0004-0000-0E00-000044000000}"/>
    <hyperlink ref="I75" r:id="rId70" xr:uid="{00000000-0004-0000-0E00-000045000000}"/>
    <hyperlink ref="I76" r:id="rId71" xr:uid="{00000000-0004-0000-0E00-000046000000}"/>
    <hyperlink ref="I77" r:id="rId72" xr:uid="{00000000-0004-0000-0E00-000047000000}"/>
    <hyperlink ref="I78" r:id="rId73" xr:uid="{00000000-0004-0000-0E00-000048000000}"/>
    <hyperlink ref="I79" r:id="rId74" xr:uid="{00000000-0004-0000-0E00-000049000000}"/>
    <hyperlink ref="I80" r:id="rId75" xr:uid="{00000000-0004-0000-0E00-00004A000000}"/>
    <hyperlink ref="I81" r:id="rId76" xr:uid="{00000000-0004-0000-0E00-00004B000000}"/>
    <hyperlink ref="I82" r:id="rId77" xr:uid="{00000000-0004-0000-0E00-00004C000000}"/>
    <hyperlink ref="I83" r:id="rId78" xr:uid="{00000000-0004-0000-0E00-00004D000000}"/>
    <hyperlink ref="I84" r:id="rId79" xr:uid="{00000000-0004-0000-0E00-00004E000000}"/>
    <hyperlink ref="I85" r:id="rId80" xr:uid="{00000000-0004-0000-0E00-00004F000000}"/>
    <hyperlink ref="I86" r:id="rId81" xr:uid="{00000000-0004-0000-0E00-000050000000}"/>
    <hyperlink ref="I87" r:id="rId82" xr:uid="{00000000-0004-0000-0E00-000051000000}"/>
    <hyperlink ref="I88" r:id="rId83" xr:uid="{00000000-0004-0000-0E00-000052000000}"/>
    <hyperlink ref="I89" r:id="rId84" xr:uid="{00000000-0004-0000-0E00-000053000000}"/>
    <hyperlink ref="I90" r:id="rId85" xr:uid="{00000000-0004-0000-0E00-000054000000}"/>
    <hyperlink ref="I91" r:id="rId86" xr:uid="{00000000-0004-0000-0E00-000055000000}"/>
    <hyperlink ref="I92" r:id="rId87" xr:uid="{00000000-0004-0000-0E00-000056000000}"/>
    <hyperlink ref="I93" r:id="rId88" xr:uid="{00000000-0004-0000-0E00-000057000000}"/>
    <hyperlink ref="I94" r:id="rId89" xr:uid="{00000000-0004-0000-0E00-000058000000}"/>
    <hyperlink ref="I95" r:id="rId90" xr:uid="{00000000-0004-0000-0E00-000059000000}"/>
    <hyperlink ref="I96" r:id="rId91" xr:uid="{00000000-0004-0000-0E00-00005A000000}"/>
    <hyperlink ref="I97" r:id="rId92" xr:uid="{00000000-0004-0000-0E00-00005B000000}"/>
    <hyperlink ref="I98" r:id="rId93" xr:uid="{00000000-0004-0000-0E00-00005C000000}"/>
    <hyperlink ref="I99" r:id="rId94" xr:uid="{00000000-0004-0000-0E00-00005D000000}"/>
    <hyperlink ref="I100" r:id="rId95" xr:uid="{00000000-0004-0000-0E00-00005E000000}"/>
    <hyperlink ref="I101" r:id="rId96" xr:uid="{00000000-0004-0000-0E00-00005F000000}"/>
    <hyperlink ref="I102" r:id="rId97" xr:uid="{00000000-0004-0000-0E00-000060000000}"/>
    <hyperlink ref="I103" r:id="rId98" xr:uid="{00000000-0004-0000-0E00-000061000000}"/>
    <hyperlink ref="I104" r:id="rId99" xr:uid="{00000000-0004-0000-0E00-000062000000}"/>
    <hyperlink ref="I105" r:id="rId100" xr:uid="{00000000-0004-0000-0E00-000063000000}"/>
    <hyperlink ref="I106" r:id="rId101" xr:uid="{00000000-0004-0000-0E00-000064000000}"/>
    <hyperlink ref="I107" r:id="rId102" xr:uid="{00000000-0004-0000-0E00-000065000000}"/>
    <hyperlink ref="I108" r:id="rId103" xr:uid="{00000000-0004-0000-0E00-000066000000}"/>
    <hyperlink ref="I109" r:id="rId104" xr:uid="{00000000-0004-0000-0E00-000067000000}"/>
    <hyperlink ref="I110" r:id="rId105" xr:uid="{00000000-0004-0000-0E00-000068000000}"/>
    <hyperlink ref="I111" r:id="rId106" xr:uid="{00000000-0004-0000-0E00-000069000000}"/>
    <hyperlink ref="I112" r:id="rId107" xr:uid="{00000000-0004-0000-0E00-00006A000000}"/>
    <hyperlink ref="I113" r:id="rId108" xr:uid="{00000000-0004-0000-0E00-00006B000000}"/>
    <hyperlink ref="I114" r:id="rId109" xr:uid="{00000000-0004-0000-0E00-00006C000000}"/>
    <hyperlink ref="I115" r:id="rId110" xr:uid="{00000000-0004-0000-0E00-00006D000000}"/>
    <hyperlink ref="I116" r:id="rId111" xr:uid="{00000000-0004-0000-0E00-00006E000000}"/>
    <hyperlink ref="I117" r:id="rId112" xr:uid="{00000000-0004-0000-0E00-00006F000000}"/>
    <hyperlink ref="I118" r:id="rId113" xr:uid="{00000000-0004-0000-0E00-000070000000}"/>
    <hyperlink ref="I119" r:id="rId114" xr:uid="{00000000-0004-0000-0E00-000071000000}"/>
    <hyperlink ref="I120" r:id="rId115" xr:uid="{00000000-0004-0000-0E00-000072000000}"/>
    <hyperlink ref="I121" r:id="rId116" xr:uid="{00000000-0004-0000-0E00-000073000000}"/>
    <hyperlink ref="I122" r:id="rId117" xr:uid="{00000000-0004-0000-0E00-000074000000}"/>
    <hyperlink ref="I123" r:id="rId118" xr:uid="{00000000-0004-0000-0E00-000075000000}"/>
    <hyperlink ref="I124" r:id="rId119" xr:uid="{00000000-0004-0000-0E00-000076000000}"/>
    <hyperlink ref="I125" r:id="rId120" xr:uid="{00000000-0004-0000-0E00-000077000000}"/>
    <hyperlink ref="I126" r:id="rId121" xr:uid="{00000000-0004-0000-0E00-000078000000}"/>
    <hyperlink ref="I127" r:id="rId122" xr:uid="{00000000-0004-0000-0E00-000079000000}"/>
    <hyperlink ref="I128" r:id="rId123" xr:uid="{00000000-0004-0000-0E00-00007A000000}"/>
    <hyperlink ref="I129" r:id="rId124" xr:uid="{00000000-0004-0000-0E00-00007B000000}"/>
    <hyperlink ref="I130" r:id="rId125" xr:uid="{00000000-0004-0000-0E00-00007C000000}"/>
    <hyperlink ref="I131" r:id="rId126" xr:uid="{00000000-0004-0000-0E00-00007D000000}"/>
    <hyperlink ref="I132" r:id="rId127" xr:uid="{00000000-0004-0000-0E00-00007F000000}"/>
    <hyperlink ref="I133" r:id="rId128" xr:uid="{00000000-0004-0000-0E00-000080000000}"/>
    <hyperlink ref="I134" r:id="rId129" xr:uid="{00000000-0004-0000-0E00-000081000000}"/>
    <hyperlink ref="I135" r:id="rId130" xr:uid="{00000000-0004-0000-0E00-000082000000}"/>
    <hyperlink ref="I136" r:id="rId131" xr:uid="{00000000-0004-0000-0E00-000083000000}"/>
    <hyperlink ref="I137" r:id="rId132" xr:uid="{00000000-0004-0000-0E00-000084000000}"/>
    <hyperlink ref="I138" r:id="rId133" xr:uid="{00000000-0004-0000-0E00-000085000000}"/>
    <hyperlink ref="I139" r:id="rId134" xr:uid="{00000000-0004-0000-0E00-000086000000}"/>
    <hyperlink ref="I140" r:id="rId135" xr:uid="{00000000-0004-0000-0E00-000087000000}"/>
    <hyperlink ref="I141" r:id="rId136" xr:uid="{00000000-0004-0000-0E00-000088000000}"/>
    <hyperlink ref="I142" r:id="rId137" xr:uid="{00000000-0004-0000-0E00-000089000000}"/>
    <hyperlink ref="I143" r:id="rId138" xr:uid="{00000000-0004-0000-0E00-00008A000000}"/>
    <hyperlink ref="I144" r:id="rId139" xr:uid="{00000000-0004-0000-0E00-00008B000000}"/>
    <hyperlink ref="I145" r:id="rId140" xr:uid="{00000000-0004-0000-0E00-00008C000000}"/>
    <hyperlink ref="I146" r:id="rId141" xr:uid="{00000000-0004-0000-0E00-00008D000000}"/>
    <hyperlink ref="I147" r:id="rId142" xr:uid="{00000000-0004-0000-0E00-00008E000000}"/>
    <hyperlink ref="I148" r:id="rId143" xr:uid="{00000000-0004-0000-0E00-00008F000000}"/>
    <hyperlink ref="I149" r:id="rId144" xr:uid="{00000000-0004-0000-0E00-000090000000}"/>
    <hyperlink ref="I150" r:id="rId145" xr:uid="{00000000-0004-0000-0E00-000091000000}"/>
    <hyperlink ref="I151" r:id="rId146" xr:uid="{00000000-0004-0000-0E00-000092000000}"/>
    <hyperlink ref="I152" r:id="rId147" xr:uid="{00000000-0004-0000-0E00-000093000000}"/>
    <hyperlink ref="I153" r:id="rId148" xr:uid="{00000000-0004-0000-0E00-000094000000}"/>
    <hyperlink ref="I154" r:id="rId149" xr:uid="{00000000-0004-0000-0E00-000095000000}"/>
    <hyperlink ref="I155" r:id="rId150" xr:uid="{00000000-0004-0000-0E00-000096000000}"/>
    <hyperlink ref="I156" r:id="rId151" xr:uid="{00000000-0004-0000-0E00-000097000000}"/>
    <hyperlink ref="I157" r:id="rId152" xr:uid="{00000000-0004-0000-0E00-000098000000}"/>
    <hyperlink ref="I158" r:id="rId153" xr:uid="{00000000-0004-0000-0E00-000099000000}"/>
    <hyperlink ref="I159" r:id="rId154" xr:uid="{00000000-0004-0000-0E00-00009A000000}"/>
    <hyperlink ref="I160" r:id="rId155" xr:uid="{00000000-0004-0000-0E00-00009B000000}"/>
    <hyperlink ref="I161" r:id="rId156" xr:uid="{00000000-0004-0000-0E00-00009C000000}"/>
    <hyperlink ref="I162" r:id="rId157" xr:uid="{00000000-0004-0000-0E00-00009D000000}"/>
    <hyperlink ref="I163" r:id="rId158" xr:uid="{00000000-0004-0000-0E00-00009E000000}"/>
    <hyperlink ref="I164" r:id="rId159" xr:uid="{00000000-0004-0000-0E00-00009F000000}"/>
    <hyperlink ref="I165" r:id="rId160" xr:uid="{00000000-0004-0000-0E00-0000A0000000}"/>
    <hyperlink ref="I166" r:id="rId161" xr:uid="{00000000-0004-0000-0E00-0000A1000000}"/>
    <hyperlink ref="I167" r:id="rId162" xr:uid="{00000000-0004-0000-0E00-0000A2000000}"/>
    <hyperlink ref="I168" r:id="rId163" xr:uid="{00000000-0004-0000-0E00-0000A3000000}"/>
    <hyperlink ref="I169" r:id="rId164" xr:uid="{00000000-0004-0000-0E00-0000A4000000}"/>
    <hyperlink ref="I170" r:id="rId165" xr:uid="{00000000-0004-0000-0E00-0000A5000000}"/>
    <hyperlink ref="I171" r:id="rId166" xr:uid="{00000000-0004-0000-0E00-0000A6000000}"/>
    <hyperlink ref="I172" r:id="rId167" xr:uid="{00000000-0004-0000-0E00-0000A7000000}"/>
    <hyperlink ref="I173" r:id="rId168" xr:uid="{00000000-0004-0000-0E00-0000A8000000}"/>
    <hyperlink ref="I174" r:id="rId169" xr:uid="{00000000-0004-0000-0E00-0000AF000000}"/>
    <hyperlink ref="I175" r:id="rId170" xr:uid="{00000000-0004-0000-0E00-0000B6000000}"/>
    <hyperlink ref="I176" r:id="rId171" xr:uid="{00000000-0004-0000-0E00-0000B9000000}"/>
    <hyperlink ref="I177" r:id="rId172" xr:uid="{00000000-0004-0000-0E00-0000C2000000}"/>
    <hyperlink ref="I178" r:id="rId173" xr:uid="{00000000-0004-0000-0E00-0000C3000000}"/>
    <hyperlink ref="I179" r:id="rId174" xr:uid="{00000000-0004-0000-0E00-0000CE000000}"/>
    <hyperlink ref="I180" r:id="rId175" xr:uid="{00000000-0004-0000-0E00-0000CF000000}"/>
    <hyperlink ref="I181" r:id="rId176" xr:uid="{00000000-0004-0000-0E00-0000D0000000}"/>
    <hyperlink ref="I182" r:id="rId177" xr:uid="{00000000-0004-0000-0E00-0000D1000000}"/>
    <hyperlink ref="I183" r:id="rId178" xr:uid="{00000000-0004-0000-0E00-0000D2000000}"/>
    <hyperlink ref="I184" r:id="rId179" xr:uid="{00000000-0004-0000-0E00-0000D3000000}"/>
    <hyperlink ref="I185" r:id="rId180" xr:uid="{00000000-0004-0000-0E00-0000D4000000}"/>
    <hyperlink ref="I186" r:id="rId181" xr:uid="{00000000-0004-0000-0E00-0000D5000000}"/>
    <hyperlink ref="I187" r:id="rId182" xr:uid="{00000000-0004-0000-0E00-0000D6000000}"/>
    <hyperlink ref="I188" r:id="rId183" xr:uid="{00000000-0004-0000-0E00-0000D7000000}"/>
    <hyperlink ref="I189" r:id="rId184" xr:uid="{00000000-0004-0000-0E00-0000D8000000}"/>
    <hyperlink ref="I190" r:id="rId185" xr:uid="{00000000-0004-0000-0E00-0000D9000000}"/>
    <hyperlink ref="I191" r:id="rId186" xr:uid="{00000000-0004-0000-0E00-0000DA000000}"/>
    <hyperlink ref="I192" r:id="rId187" xr:uid="{00000000-0004-0000-0E00-0000DB000000}"/>
    <hyperlink ref="I193" r:id="rId188" xr:uid="{00000000-0004-0000-0E00-0000DC000000}"/>
    <hyperlink ref="I194" r:id="rId189" xr:uid="{00000000-0004-0000-0E00-0000DD000000}"/>
    <hyperlink ref="I195" r:id="rId190" xr:uid="{00000000-0004-0000-0E00-0000DE000000}"/>
    <hyperlink ref="I196" r:id="rId191" xr:uid="{00000000-0004-0000-0E00-0000DF000000}"/>
    <hyperlink ref="I197" r:id="rId192" xr:uid="{00000000-0004-0000-0E00-0000E0000000}"/>
    <hyperlink ref="I198" r:id="rId193" xr:uid="{00000000-0004-0000-0E00-0000E1000000}"/>
    <hyperlink ref="I199" r:id="rId194" xr:uid="{00000000-0004-0000-0E00-0000E2000000}"/>
    <hyperlink ref="I200" r:id="rId195" xr:uid="{00000000-0004-0000-0E00-0000E3000000}"/>
    <hyperlink ref="I201" r:id="rId196" xr:uid="{00000000-0004-0000-0E00-0000E4000000}"/>
    <hyperlink ref="I202" r:id="rId197" xr:uid="{00000000-0004-0000-0E00-0000E5000000}"/>
    <hyperlink ref="I203" r:id="rId198" xr:uid="{00000000-0004-0000-0E00-0000E6000000}"/>
    <hyperlink ref="I204" r:id="rId199" xr:uid="{00000000-0004-0000-0E00-0000E7000000}"/>
    <hyperlink ref="I205" r:id="rId200" xr:uid="{00000000-0004-0000-0E00-0000E8000000}"/>
    <hyperlink ref="I206" r:id="rId201" xr:uid="{00000000-0004-0000-0E00-0000E9000000}"/>
    <hyperlink ref="I207" r:id="rId202" xr:uid="{00000000-0004-0000-0E00-0000EA000000}"/>
    <hyperlink ref="I208" r:id="rId203" xr:uid="{00000000-0004-0000-0E00-0000EB000000}"/>
    <hyperlink ref="I209" r:id="rId204" xr:uid="{00000000-0004-0000-0E00-0000EC000000}"/>
  </hyperlinks>
  <printOptions horizontalCentered="1"/>
  <pageMargins left="0.30000000000000004" right="0.30000000000000004" top="0.41666666666666669" bottom="0.41666666666666669" header="0.19444444444444445" footer="0.19444444444444445"/>
  <pageSetup scale="70" fitToHeight="0" orientation="landscape" verticalDpi="0" r:id="rId205"/>
  <headerFooter>
    <oddHeader>&amp;L&amp;"Calibri,Bold"&amp;11Alphabet (GOOGL) - Research Data Pack&amp;R&amp;"Calibri,Italic"&amp;9&amp;A</oddHeader>
    <oddFooter>&amp;L&amp;9&amp;Z&amp;F&amp;C&amp;9Page &amp;P of &amp;N&amp;R&amp;9Printed &amp;D</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DB68-FF5D-4274-BD01-92DC75EA7962}">
  <sheetPr>
    <tabColor rgb="FF6B2D5C"/>
    <pageSetUpPr fitToPage="1"/>
  </sheetPr>
  <dimension ref="B1:C566"/>
  <sheetViews>
    <sheetView showGridLines="0" workbookViewId="0">
      <pane ySplit="4" topLeftCell="A557" activePane="bottomLeft" state="frozen"/>
      <selection pane="bottomLeft" activeCell="B561" sqref="B561:C566"/>
    </sheetView>
  </sheetViews>
  <sheetFormatPr defaultRowHeight="14.4" x14ac:dyDescent="0.3"/>
  <cols>
    <col min="1" max="1" width="3.33203125" customWidth="1"/>
    <col min="2" max="2" width="35.21875" customWidth="1"/>
    <col min="3" max="3" width="77.77734375" customWidth="1"/>
  </cols>
  <sheetData>
    <row r="1" spans="2:3" ht="6" customHeight="1" x14ac:dyDescent="0.3"/>
    <row r="2" spans="2:3" ht="28.05" customHeight="1" thickBot="1" x14ac:dyDescent="0.45">
      <c r="B2" s="395" t="s">
        <v>2603</v>
      </c>
      <c r="C2" s="395"/>
    </row>
    <row r="3" spans="2:3" ht="93" thickBot="1" x14ac:dyDescent="0.35">
      <c r="B3" s="301" t="s">
        <v>2434</v>
      </c>
      <c r="C3" s="326"/>
    </row>
    <row r="4" spans="2:3" ht="48" customHeight="1" x14ac:dyDescent="0.3">
      <c r="B4" s="689" t="s">
        <v>2780</v>
      </c>
      <c r="C4" s="689"/>
    </row>
    <row r="5" spans="2:3" x14ac:dyDescent="0.3">
      <c r="B5" s="327" t="s">
        <v>865</v>
      </c>
      <c r="C5" s="327"/>
    </row>
    <row r="6" spans="2:3" ht="22.8" x14ac:dyDescent="0.3">
      <c r="B6" s="328" t="s">
        <v>866</v>
      </c>
      <c r="C6" s="329" t="s">
        <v>867</v>
      </c>
    </row>
    <row r="7" spans="2:3" ht="22.8" x14ac:dyDescent="0.3">
      <c r="B7" s="330" t="s">
        <v>868</v>
      </c>
      <c r="C7" s="255" t="s">
        <v>869</v>
      </c>
    </row>
    <row r="8" spans="2:3" x14ac:dyDescent="0.3">
      <c r="B8" s="330"/>
      <c r="C8" s="255"/>
    </row>
    <row r="9" spans="2:3" ht="24" x14ac:dyDescent="0.3">
      <c r="B9" s="327" t="s">
        <v>870</v>
      </c>
      <c r="C9" s="327"/>
    </row>
    <row r="10" spans="2:3" ht="45.6" x14ac:dyDescent="0.3">
      <c r="B10" s="330" t="s">
        <v>871</v>
      </c>
      <c r="C10" s="331" t="s">
        <v>1161</v>
      </c>
    </row>
    <row r="11" spans="2:3" ht="34.200000000000003" x14ac:dyDescent="0.3">
      <c r="B11" s="330" t="s">
        <v>195</v>
      </c>
      <c r="C11" s="331" t="s">
        <v>1162</v>
      </c>
    </row>
    <row r="12" spans="2:3" x14ac:dyDescent="0.3">
      <c r="B12" s="330" t="s">
        <v>196</v>
      </c>
      <c r="C12" s="331" t="s">
        <v>1163</v>
      </c>
    </row>
    <row r="13" spans="2:3" x14ac:dyDescent="0.3">
      <c r="B13" s="330" t="s">
        <v>872</v>
      </c>
      <c r="C13" s="331" t="s">
        <v>1164</v>
      </c>
    </row>
    <row r="14" spans="2:3" x14ac:dyDescent="0.3">
      <c r="B14" s="330" t="s">
        <v>215</v>
      </c>
      <c r="C14" s="331" t="s">
        <v>1165</v>
      </c>
    </row>
    <row r="15" spans="2:3" x14ac:dyDescent="0.3">
      <c r="B15" s="330" t="s">
        <v>873</v>
      </c>
      <c r="C15" s="331" t="s">
        <v>1166</v>
      </c>
    </row>
    <row r="16" spans="2:3" x14ac:dyDescent="0.3">
      <c r="B16" s="330" t="s">
        <v>874</v>
      </c>
      <c r="C16" s="331" t="s">
        <v>875</v>
      </c>
    </row>
    <row r="17" spans="2:3" x14ac:dyDescent="0.3">
      <c r="B17" s="330" t="s">
        <v>876</v>
      </c>
      <c r="C17" s="331" t="s">
        <v>1167</v>
      </c>
    </row>
    <row r="18" spans="2:3" ht="57" x14ac:dyDescent="0.3">
      <c r="B18" s="330" t="s">
        <v>877</v>
      </c>
      <c r="C18" s="331" t="s">
        <v>1168</v>
      </c>
    </row>
    <row r="19" spans="2:3" ht="34.200000000000003" x14ac:dyDescent="0.3">
      <c r="B19" s="330" t="s">
        <v>878</v>
      </c>
      <c r="C19" s="331" t="s">
        <v>1169</v>
      </c>
    </row>
    <row r="20" spans="2:3" x14ac:dyDescent="0.3">
      <c r="B20" s="330"/>
      <c r="C20" s="255"/>
    </row>
    <row r="21" spans="2:3" x14ac:dyDescent="0.3">
      <c r="B21" s="327" t="s">
        <v>879</v>
      </c>
      <c r="C21" s="327"/>
    </row>
    <row r="22" spans="2:3" ht="45.6" x14ac:dyDescent="0.3">
      <c r="B22" s="330" t="s">
        <v>880</v>
      </c>
      <c r="C22" s="331" t="s">
        <v>1170</v>
      </c>
    </row>
    <row r="23" spans="2:3" ht="34.200000000000003" x14ac:dyDescent="0.3">
      <c r="B23" s="330" t="s">
        <v>881</v>
      </c>
      <c r="C23" s="255" t="s">
        <v>882</v>
      </c>
    </row>
    <row r="24" spans="2:3" x14ac:dyDescent="0.3">
      <c r="B24" s="330" t="s">
        <v>203</v>
      </c>
      <c r="C24" s="331" t="s">
        <v>1171</v>
      </c>
    </row>
    <row r="25" spans="2:3" ht="22.8" x14ac:dyDescent="0.3">
      <c r="B25" s="330" t="s">
        <v>883</v>
      </c>
      <c r="C25" s="331" t="s">
        <v>1832</v>
      </c>
    </row>
    <row r="26" spans="2:3" x14ac:dyDescent="0.3">
      <c r="B26" s="330"/>
      <c r="C26" s="255"/>
    </row>
    <row r="27" spans="2:3" x14ac:dyDescent="0.3">
      <c r="B27" s="327" t="s">
        <v>884</v>
      </c>
      <c r="C27" s="327"/>
    </row>
    <row r="28" spans="2:3" ht="34.200000000000003" x14ac:dyDescent="0.3">
      <c r="B28" s="328" t="s">
        <v>885</v>
      </c>
      <c r="C28" s="329" t="s">
        <v>886</v>
      </c>
    </row>
    <row r="29" spans="2:3" x14ac:dyDescent="0.3">
      <c r="B29" s="330"/>
      <c r="C29" s="255"/>
    </row>
    <row r="30" spans="2:3" ht="24" x14ac:dyDescent="0.3">
      <c r="B30" s="327" t="s">
        <v>887</v>
      </c>
      <c r="C30" s="327"/>
    </row>
    <row r="31" spans="2:3" ht="22.8" x14ac:dyDescent="0.3">
      <c r="B31" s="330" t="s">
        <v>888</v>
      </c>
      <c r="C31" s="255" t="s">
        <v>889</v>
      </c>
    </row>
    <row r="32" spans="2:3" x14ac:dyDescent="0.3">
      <c r="B32" s="330" t="s">
        <v>890</v>
      </c>
      <c r="C32" s="255" t="s">
        <v>891</v>
      </c>
    </row>
    <row r="33" spans="2:3" x14ac:dyDescent="0.3">
      <c r="B33" s="330" t="s">
        <v>892</v>
      </c>
      <c r="C33" s="255" t="s">
        <v>893</v>
      </c>
    </row>
    <row r="34" spans="2:3" x14ac:dyDescent="0.3">
      <c r="B34" s="330" t="s">
        <v>894</v>
      </c>
      <c r="C34" s="255" t="s">
        <v>895</v>
      </c>
    </row>
    <row r="35" spans="2:3" ht="22.8" x14ac:dyDescent="0.3">
      <c r="B35" s="330" t="s">
        <v>896</v>
      </c>
      <c r="C35" s="331" t="s">
        <v>1172</v>
      </c>
    </row>
    <row r="36" spans="2:3" x14ac:dyDescent="0.3">
      <c r="B36" s="330"/>
      <c r="C36" s="255"/>
    </row>
    <row r="37" spans="2:3" ht="24" x14ac:dyDescent="0.3">
      <c r="B37" s="327" t="s">
        <v>897</v>
      </c>
      <c r="C37" s="327"/>
    </row>
    <row r="38" spans="2:3" ht="34.200000000000003" x14ac:dyDescent="0.3">
      <c r="B38" s="330" t="s">
        <v>898</v>
      </c>
      <c r="C38" s="255" t="s">
        <v>899</v>
      </c>
    </row>
    <row r="39" spans="2:3" x14ac:dyDescent="0.3">
      <c r="B39" s="330" t="s">
        <v>900</v>
      </c>
      <c r="C39" s="255" t="s">
        <v>901</v>
      </c>
    </row>
    <row r="40" spans="2:3" ht="34.200000000000003" x14ac:dyDescent="0.3">
      <c r="B40" s="330" t="s">
        <v>902</v>
      </c>
      <c r="C40" s="255" t="s">
        <v>903</v>
      </c>
    </row>
    <row r="41" spans="2:3" ht="22.8" x14ac:dyDescent="0.3">
      <c r="B41" s="330" t="s">
        <v>862</v>
      </c>
      <c r="C41" s="255" t="s">
        <v>904</v>
      </c>
    </row>
    <row r="42" spans="2:3" x14ac:dyDescent="0.3">
      <c r="B42" s="330" t="s">
        <v>864</v>
      </c>
      <c r="C42" s="255" t="s">
        <v>905</v>
      </c>
    </row>
    <row r="43" spans="2:3" x14ac:dyDescent="0.3">
      <c r="B43" s="330" t="s">
        <v>906</v>
      </c>
      <c r="C43" s="255" t="s">
        <v>907</v>
      </c>
    </row>
    <row r="44" spans="2:3" x14ac:dyDescent="0.3">
      <c r="B44" s="330"/>
      <c r="C44" s="255"/>
    </row>
    <row r="45" spans="2:3" x14ac:dyDescent="0.3">
      <c r="B45" s="327" t="s">
        <v>908</v>
      </c>
      <c r="C45" s="327"/>
    </row>
    <row r="46" spans="2:3" ht="45.6" x14ac:dyDescent="0.3">
      <c r="B46" s="330" t="s">
        <v>909</v>
      </c>
      <c r="C46" s="255" t="s">
        <v>1173</v>
      </c>
    </row>
    <row r="47" spans="2:3" ht="22.8" x14ac:dyDescent="0.3">
      <c r="B47" s="330" t="s">
        <v>910</v>
      </c>
      <c r="C47" s="331" t="s">
        <v>1174</v>
      </c>
    </row>
    <row r="48" spans="2:3" ht="22.8" x14ac:dyDescent="0.3">
      <c r="B48" s="328" t="s">
        <v>911</v>
      </c>
      <c r="C48" s="329" t="s">
        <v>912</v>
      </c>
    </row>
    <row r="49" spans="2:3" ht="22.8" x14ac:dyDescent="0.3">
      <c r="B49" s="330" t="s">
        <v>913</v>
      </c>
      <c r="C49" s="255" t="s">
        <v>914</v>
      </c>
    </row>
    <row r="50" spans="2:3" ht="22.8" x14ac:dyDescent="0.3">
      <c r="B50" s="330" t="s">
        <v>915</v>
      </c>
      <c r="C50" s="255" t="s">
        <v>916</v>
      </c>
    </row>
    <row r="51" spans="2:3" x14ac:dyDescent="0.3">
      <c r="B51" s="330"/>
      <c r="C51" s="255"/>
    </row>
    <row r="52" spans="2:3" x14ac:dyDescent="0.3">
      <c r="B52" s="327" t="s">
        <v>917</v>
      </c>
      <c r="C52" s="327"/>
    </row>
    <row r="53" spans="2:3" ht="22.8" x14ac:dyDescent="0.3">
      <c r="B53" s="330" t="s">
        <v>918</v>
      </c>
      <c r="C53" s="331" t="s">
        <v>1833</v>
      </c>
    </row>
    <row r="54" spans="2:3" ht="22.8" x14ac:dyDescent="0.3">
      <c r="B54" s="330" t="s">
        <v>919</v>
      </c>
      <c r="C54" s="255" t="s">
        <v>920</v>
      </c>
    </row>
    <row r="55" spans="2:3" x14ac:dyDescent="0.3">
      <c r="B55" s="330" t="s">
        <v>921</v>
      </c>
      <c r="C55" s="255" t="s">
        <v>922</v>
      </c>
    </row>
    <row r="56" spans="2:3" ht="22.8" x14ac:dyDescent="0.3">
      <c r="B56" s="330" t="s">
        <v>923</v>
      </c>
      <c r="C56" s="255" t="s">
        <v>924</v>
      </c>
    </row>
    <row r="57" spans="2:3" x14ac:dyDescent="0.3">
      <c r="B57" s="330"/>
      <c r="C57" s="255"/>
    </row>
    <row r="58" spans="2:3" x14ac:dyDescent="0.3">
      <c r="B58" s="327" t="s">
        <v>925</v>
      </c>
      <c r="C58" s="327"/>
    </row>
    <row r="59" spans="2:3" ht="22.8" x14ac:dyDescent="0.3">
      <c r="B59" s="330" t="s">
        <v>926</v>
      </c>
      <c r="C59" s="331" t="s">
        <v>1175</v>
      </c>
    </row>
    <row r="60" spans="2:3" ht="34.200000000000003" x14ac:dyDescent="0.3">
      <c r="B60" s="330" t="s">
        <v>927</v>
      </c>
      <c r="C60" s="255" t="s">
        <v>928</v>
      </c>
    </row>
    <row r="61" spans="2:3" ht="22.8" x14ac:dyDescent="0.3">
      <c r="B61" s="330" t="s">
        <v>929</v>
      </c>
      <c r="C61" s="255" t="s">
        <v>930</v>
      </c>
    </row>
    <row r="62" spans="2:3" x14ac:dyDescent="0.3">
      <c r="B62" s="330" t="s">
        <v>931</v>
      </c>
      <c r="C62" s="255" t="s">
        <v>932</v>
      </c>
    </row>
    <row r="63" spans="2:3" x14ac:dyDescent="0.3">
      <c r="B63" s="330" t="s">
        <v>933</v>
      </c>
      <c r="C63" s="255" t="s">
        <v>934</v>
      </c>
    </row>
    <row r="64" spans="2:3" ht="22.8" x14ac:dyDescent="0.3">
      <c r="B64" s="330" t="s">
        <v>935</v>
      </c>
      <c r="C64" s="255" t="s">
        <v>936</v>
      </c>
    </row>
    <row r="65" spans="2:3" ht="22.8" x14ac:dyDescent="0.3">
      <c r="B65" s="330" t="s">
        <v>937</v>
      </c>
      <c r="C65" s="255" t="s">
        <v>938</v>
      </c>
    </row>
    <row r="66" spans="2:3" x14ac:dyDescent="0.3">
      <c r="B66" s="330"/>
      <c r="C66" s="255"/>
    </row>
    <row r="67" spans="2:3" x14ac:dyDescent="0.3">
      <c r="B67" s="327" t="s">
        <v>939</v>
      </c>
      <c r="C67" s="327"/>
    </row>
    <row r="68" spans="2:3" x14ac:dyDescent="0.3">
      <c r="B68" s="330" t="s">
        <v>940</v>
      </c>
      <c r="C68" s="255" t="s">
        <v>941</v>
      </c>
    </row>
    <row r="69" spans="2:3" ht="22.8" x14ac:dyDescent="0.3">
      <c r="B69" s="330" t="s">
        <v>942</v>
      </c>
      <c r="C69" s="255" t="s">
        <v>943</v>
      </c>
    </row>
    <row r="70" spans="2:3" x14ac:dyDescent="0.3">
      <c r="B70" s="330" t="s">
        <v>944</v>
      </c>
      <c r="C70" s="255" t="s">
        <v>1176</v>
      </c>
    </row>
    <row r="71" spans="2:3" x14ac:dyDescent="0.3">
      <c r="B71" s="330" t="s">
        <v>945</v>
      </c>
      <c r="C71" s="255" t="s">
        <v>946</v>
      </c>
    </row>
    <row r="72" spans="2:3" ht="22.8" x14ac:dyDescent="0.3">
      <c r="B72" s="330" t="s">
        <v>947</v>
      </c>
      <c r="C72" s="255" t="s">
        <v>1834</v>
      </c>
    </row>
    <row r="73" spans="2:3" x14ac:dyDescent="0.3">
      <c r="B73" s="13"/>
      <c r="C73" s="13"/>
    </row>
    <row r="74" spans="2:3" ht="24" x14ac:dyDescent="0.3">
      <c r="B74" s="327" t="s">
        <v>1116</v>
      </c>
      <c r="C74" s="332"/>
    </row>
    <row r="75" spans="2:3" ht="35.4" x14ac:dyDescent="0.3">
      <c r="B75" s="13" t="s">
        <v>1117</v>
      </c>
      <c r="C75" s="13" t="s">
        <v>1835</v>
      </c>
    </row>
    <row r="76" spans="2:3" ht="35.4" x14ac:dyDescent="0.3">
      <c r="B76" s="13" t="s">
        <v>1118</v>
      </c>
      <c r="C76" s="13" t="s">
        <v>1119</v>
      </c>
    </row>
    <row r="77" spans="2:3" ht="35.4" x14ac:dyDescent="0.3">
      <c r="B77" s="13" t="s">
        <v>1120</v>
      </c>
      <c r="C77" s="13" t="s">
        <v>1177</v>
      </c>
    </row>
    <row r="78" spans="2:3" ht="35.4" x14ac:dyDescent="0.3">
      <c r="B78" s="13" t="s">
        <v>1121</v>
      </c>
      <c r="C78" s="13" t="s">
        <v>1178</v>
      </c>
    </row>
    <row r="79" spans="2:3" ht="35.4" x14ac:dyDescent="0.3">
      <c r="B79" s="13" t="s">
        <v>1122</v>
      </c>
      <c r="C79" s="13" t="s">
        <v>1179</v>
      </c>
    </row>
    <row r="80" spans="2:3" ht="24" x14ac:dyDescent="0.3">
      <c r="B80" s="13" t="s">
        <v>1123</v>
      </c>
      <c r="C80" s="13" t="s">
        <v>1124</v>
      </c>
    </row>
    <row r="81" spans="2:3" x14ac:dyDescent="0.3">
      <c r="B81" s="13"/>
      <c r="C81" s="13"/>
    </row>
    <row r="82" spans="2:3" ht="24.6" x14ac:dyDescent="0.3">
      <c r="B82" s="332" t="s">
        <v>1125</v>
      </c>
      <c r="C82" s="332"/>
    </row>
    <row r="83" spans="2:3" ht="92.4" x14ac:dyDescent="0.3">
      <c r="B83" s="333" t="s">
        <v>1485</v>
      </c>
      <c r="C83" s="13" t="s">
        <v>1180</v>
      </c>
    </row>
    <row r="84" spans="2:3" ht="46.8" x14ac:dyDescent="0.3">
      <c r="B84" s="333" t="s">
        <v>1836</v>
      </c>
      <c r="C84" s="13" t="s">
        <v>1181</v>
      </c>
    </row>
    <row r="85" spans="2:3" ht="46.8" x14ac:dyDescent="0.3">
      <c r="B85" s="333" t="s">
        <v>1837</v>
      </c>
      <c r="C85" s="13" t="s">
        <v>1126</v>
      </c>
    </row>
    <row r="86" spans="2:3" x14ac:dyDescent="0.3">
      <c r="B86" s="13" t="s">
        <v>1838</v>
      </c>
      <c r="C86" s="13" t="s">
        <v>1127</v>
      </c>
    </row>
    <row r="87" spans="2:3" x14ac:dyDescent="0.3">
      <c r="B87" s="13"/>
      <c r="C87" s="13"/>
    </row>
    <row r="88" spans="2:3" ht="24" x14ac:dyDescent="0.3">
      <c r="B88" s="13" t="s">
        <v>1128</v>
      </c>
      <c r="C88" s="13"/>
    </row>
    <row r="89" spans="2:3" ht="46.8" x14ac:dyDescent="0.3">
      <c r="B89" s="13" t="s">
        <v>1129</v>
      </c>
      <c r="C89" s="13" t="s">
        <v>1839</v>
      </c>
    </row>
    <row r="90" spans="2:3" ht="24" x14ac:dyDescent="0.3">
      <c r="B90" s="13" t="s">
        <v>1130</v>
      </c>
      <c r="C90" s="333" t="s">
        <v>1840</v>
      </c>
    </row>
    <row r="91" spans="2:3" ht="35.4" x14ac:dyDescent="0.3">
      <c r="B91" s="13" t="s">
        <v>1207</v>
      </c>
      <c r="C91" s="13" t="s">
        <v>1208</v>
      </c>
    </row>
    <row r="92" spans="2:3" ht="35.4" x14ac:dyDescent="0.3">
      <c r="B92" s="13" t="s">
        <v>1131</v>
      </c>
      <c r="C92" s="13" t="s">
        <v>1841</v>
      </c>
    </row>
    <row r="93" spans="2:3" x14ac:dyDescent="0.3">
      <c r="B93" s="13"/>
      <c r="C93" s="13"/>
    </row>
    <row r="94" spans="2:3" ht="24.6" x14ac:dyDescent="0.3">
      <c r="B94" s="332" t="s">
        <v>1201</v>
      </c>
      <c r="C94" s="332"/>
    </row>
    <row r="95" spans="2:3" ht="69.599999999999994" x14ac:dyDescent="0.3">
      <c r="B95" s="13" t="s">
        <v>1202</v>
      </c>
      <c r="C95" s="13" t="s">
        <v>1842</v>
      </c>
    </row>
    <row r="96" spans="2:3" ht="35.4" x14ac:dyDescent="0.3">
      <c r="B96" s="13" t="s">
        <v>1203</v>
      </c>
      <c r="C96" s="13" t="s">
        <v>1843</v>
      </c>
    </row>
    <row r="97" spans="2:3" ht="46.8" x14ac:dyDescent="0.3">
      <c r="B97" s="13" t="s">
        <v>1204</v>
      </c>
      <c r="C97" s="13" t="s">
        <v>1844</v>
      </c>
    </row>
    <row r="98" spans="2:3" ht="46.8" x14ac:dyDescent="0.3">
      <c r="B98" s="13" t="s">
        <v>1205</v>
      </c>
      <c r="C98" s="13" t="s">
        <v>1206</v>
      </c>
    </row>
    <row r="99" spans="2:3" x14ac:dyDescent="0.3">
      <c r="B99" s="13"/>
      <c r="C99" s="13"/>
    </row>
    <row r="100" spans="2:3" x14ac:dyDescent="0.3">
      <c r="B100" s="332" t="s">
        <v>1209</v>
      </c>
      <c r="C100" s="332"/>
    </row>
    <row r="101" spans="2:3" ht="35.4" x14ac:dyDescent="0.3">
      <c r="B101" s="13" t="s">
        <v>1210</v>
      </c>
      <c r="C101" s="13" t="s">
        <v>1845</v>
      </c>
    </row>
    <row r="102" spans="2:3" ht="24" x14ac:dyDescent="0.3">
      <c r="B102" s="13" t="s">
        <v>1211</v>
      </c>
      <c r="C102" s="13" t="s">
        <v>1212</v>
      </c>
    </row>
    <row r="103" spans="2:3" ht="35.4" x14ac:dyDescent="0.3">
      <c r="B103" s="13" t="s">
        <v>1213</v>
      </c>
      <c r="C103" s="13" t="s">
        <v>1214</v>
      </c>
    </row>
    <row r="104" spans="2:3" ht="35.4" x14ac:dyDescent="0.3">
      <c r="B104" s="13" t="s">
        <v>1215</v>
      </c>
      <c r="C104" s="13" t="s">
        <v>1216</v>
      </c>
    </row>
    <row r="105" spans="2:3" x14ac:dyDescent="0.3">
      <c r="B105" s="13"/>
      <c r="C105" s="13"/>
    </row>
    <row r="106" spans="2:3" ht="24.6" x14ac:dyDescent="0.3">
      <c r="B106" s="332" t="s">
        <v>1217</v>
      </c>
      <c r="C106" s="332"/>
    </row>
    <row r="107" spans="2:3" ht="24" x14ac:dyDescent="0.3">
      <c r="B107" s="13" t="s">
        <v>1218</v>
      </c>
      <c r="C107" s="13" t="s">
        <v>1219</v>
      </c>
    </row>
    <row r="108" spans="2:3" ht="35.4" x14ac:dyDescent="0.3">
      <c r="B108" s="13" t="s">
        <v>1220</v>
      </c>
      <c r="C108" s="13" t="s">
        <v>1221</v>
      </c>
    </row>
    <row r="109" spans="2:3" ht="24" x14ac:dyDescent="0.3">
      <c r="B109" s="13" t="s">
        <v>1222</v>
      </c>
      <c r="C109" s="13" t="s">
        <v>1223</v>
      </c>
    </row>
    <row r="110" spans="2:3" x14ac:dyDescent="0.3">
      <c r="B110" s="13"/>
      <c r="C110" s="13"/>
    </row>
    <row r="111" spans="2:3" ht="24" x14ac:dyDescent="0.3">
      <c r="B111" s="327" t="s">
        <v>1252</v>
      </c>
      <c r="C111" s="327"/>
    </row>
    <row r="112" spans="2:3" ht="34.200000000000003" x14ac:dyDescent="0.3">
      <c r="B112" s="334" t="s">
        <v>1253</v>
      </c>
      <c r="C112" s="334" t="s">
        <v>1254</v>
      </c>
    </row>
    <row r="113" spans="2:3" ht="22.8" x14ac:dyDescent="0.3">
      <c r="B113" s="335" t="s">
        <v>1486</v>
      </c>
      <c r="C113" s="334" t="s">
        <v>1255</v>
      </c>
    </row>
    <row r="114" spans="2:3" ht="22.8" x14ac:dyDescent="0.3">
      <c r="B114" s="335" t="s">
        <v>1487</v>
      </c>
      <c r="C114" s="334" t="s">
        <v>1256</v>
      </c>
    </row>
    <row r="115" spans="2:3" ht="34.200000000000003" x14ac:dyDescent="0.3">
      <c r="B115" s="335" t="s">
        <v>1488</v>
      </c>
      <c r="C115" s="334" t="s">
        <v>1257</v>
      </c>
    </row>
    <row r="116" spans="2:3" ht="34.200000000000003" x14ac:dyDescent="0.3">
      <c r="B116" s="334" t="s">
        <v>1258</v>
      </c>
      <c r="C116" s="334" t="s">
        <v>1259</v>
      </c>
    </row>
    <row r="117" spans="2:3" ht="34.200000000000003" x14ac:dyDescent="0.3">
      <c r="B117" s="335" t="s">
        <v>1489</v>
      </c>
      <c r="C117" s="334" t="s">
        <v>1260</v>
      </c>
    </row>
    <row r="118" spans="2:3" ht="22.8" x14ac:dyDescent="0.3">
      <c r="B118" s="335" t="s">
        <v>1490</v>
      </c>
      <c r="C118" s="334" t="s">
        <v>1261</v>
      </c>
    </row>
    <row r="119" spans="2:3" ht="34.200000000000003" x14ac:dyDescent="0.3">
      <c r="B119" s="335" t="s">
        <v>1491</v>
      </c>
      <c r="C119" s="334" t="s">
        <v>1262</v>
      </c>
    </row>
    <row r="120" spans="2:3" ht="22.8" x14ac:dyDescent="0.3">
      <c r="B120" s="334" t="s">
        <v>1263</v>
      </c>
      <c r="C120" s="334" t="s">
        <v>1846</v>
      </c>
    </row>
    <row r="121" spans="2:3" ht="34.200000000000003" x14ac:dyDescent="0.3">
      <c r="B121" s="334" t="s">
        <v>1264</v>
      </c>
      <c r="C121" s="334" t="s">
        <v>1265</v>
      </c>
    </row>
    <row r="122" spans="2:3" x14ac:dyDescent="0.3">
      <c r="B122" s="13"/>
      <c r="C122" s="13"/>
    </row>
    <row r="123" spans="2:3" ht="24" x14ac:dyDescent="0.3">
      <c r="B123" s="327" t="s">
        <v>1266</v>
      </c>
      <c r="C123" s="327"/>
    </row>
    <row r="124" spans="2:3" ht="45.6" x14ac:dyDescent="0.3">
      <c r="B124" s="331" t="s">
        <v>1267</v>
      </c>
      <c r="C124" s="255" t="s">
        <v>1268</v>
      </c>
    </row>
    <row r="125" spans="2:3" ht="45.6" x14ac:dyDescent="0.3">
      <c r="B125" s="331" t="s">
        <v>1269</v>
      </c>
      <c r="C125" s="255" t="s">
        <v>1270</v>
      </c>
    </row>
    <row r="126" spans="2:3" ht="22.8" x14ac:dyDescent="0.3">
      <c r="B126" s="331" t="s">
        <v>1271</v>
      </c>
      <c r="C126" s="255" t="s">
        <v>1272</v>
      </c>
    </row>
    <row r="127" spans="2:3" ht="22.8" x14ac:dyDescent="0.3">
      <c r="B127" s="331" t="s">
        <v>1273</v>
      </c>
      <c r="C127" s="255" t="s">
        <v>1274</v>
      </c>
    </row>
    <row r="128" spans="2:3" ht="22.8" x14ac:dyDescent="0.3">
      <c r="B128" s="331" t="s">
        <v>1275</v>
      </c>
      <c r="C128" s="255" t="s">
        <v>1276</v>
      </c>
    </row>
    <row r="129" spans="2:3" ht="22.8" x14ac:dyDescent="0.3">
      <c r="B129" s="331" t="s">
        <v>1277</v>
      </c>
      <c r="C129" s="255" t="s">
        <v>1278</v>
      </c>
    </row>
    <row r="130" spans="2:3" ht="34.200000000000003" x14ac:dyDescent="0.3">
      <c r="B130" s="255" t="s">
        <v>1279</v>
      </c>
      <c r="C130" s="255" t="s">
        <v>1280</v>
      </c>
    </row>
    <row r="131" spans="2:3" ht="22.8" x14ac:dyDescent="0.3">
      <c r="B131" s="265" t="s">
        <v>1281</v>
      </c>
      <c r="C131" s="255" t="s">
        <v>1847</v>
      </c>
    </row>
    <row r="132" spans="2:3" ht="45.6" x14ac:dyDescent="0.3">
      <c r="B132" s="265" t="s">
        <v>1264</v>
      </c>
      <c r="C132" s="255" t="s">
        <v>1282</v>
      </c>
    </row>
    <row r="133" spans="2:3" x14ac:dyDescent="0.3">
      <c r="B133" s="13"/>
      <c r="C133" s="13"/>
    </row>
    <row r="134" spans="2:3" ht="24.6" x14ac:dyDescent="0.3">
      <c r="B134" s="332" t="s">
        <v>1287</v>
      </c>
      <c r="C134" s="332"/>
    </row>
    <row r="135" spans="2:3" ht="57" x14ac:dyDescent="0.3">
      <c r="B135" s="336" t="s">
        <v>1288</v>
      </c>
      <c r="C135" s="334" t="s">
        <v>1289</v>
      </c>
    </row>
    <row r="136" spans="2:3" ht="57" x14ac:dyDescent="0.3">
      <c r="B136" s="337" t="s">
        <v>1492</v>
      </c>
      <c r="C136" s="334" t="s">
        <v>1290</v>
      </c>
    </row>
    <row r="137" spans="2:3" ht="45.6" x14ac:dyDescent="0.3">
      <c r="B137" s="337" t="s">
        <v>1493</v>
      </c>
      <c r="C137" s="334" t="s">
        <v>1291</v>
      </c>
    </row>
    <row r="138" spans="2:3" ht="22.8" x14ac:dyDescent="0.3">
      <c r="B138" s="337" t="s">
        <v>1494</v>
      </c>
      <c r="C138" s="334" t="s">
        <v>1292</v>
      </c>
    </row>
    <row r="139" spans="2:3" ht="34.200000000000003" x14ac:dyDescent="0.3">
      <c r="B139" s="337" t="s">
        <v>1495</v>
      </c>
      <c r="C139" s="334" t="s">
        <v>1293</v>
      </c>
    </row>
    <row r="140" spans="2:3" ht="68.400000000000006" x14ac:dyDescent="0.3">
      <c r="B140" s="336" t="s">
        <v>1294</v>
      </c>
      <c r="C140" s="334" t="s">
        <v>1295</v>
      </c>
    </row>
    <row r="141" spans="2:3" ht="22.8" x14ac:dyDescent="0.3">
      <c r="B141" s="336" t="s">
        <v>1296</v>
      </c>
      <c r="C141" s="334" t="s">
        <v>1848</v>
      </c>
    </row>
    <row r="142" spans="2:3" ht="22.8" x14ac:dyDescent="0.3">
      <c r="B142" s="336" t="s">
        <v>1263</v>
      </c>
      <c r="C142" s="334" t="s">
        <v>1846</v>
      </c>
    </row>
    <row r="143" spans="2:3" x14ac:dyDescent="0.3">
      <c r="B143" s="13"/>
      <c r="C143" s="13"/>
    </row>
    <row r="144" spans="2:3" ht="24.6" x14ac:dyDescent="0.3">
      <c r="B144" s="332" t="s">
        <v>1307</v>
      </c>
      <c r="C144" s="332"/>
    </row>
    <row r="145" spans="2:3" ht="22.8" x14ac:dyDescent="0.3">
      <c r="B145" s="336" t="s">
        <v>1253</v>
      </c>
      <c r="C145" s="334" t="s">
        <v>1849</v>
      </c>
    </row>
    <row r="146" spans="2:3" ht="57" x14ac:dyDescent="0.3">
      <c r="B146" s="336" t="s">
        <v>1308</v>
      </c>
      <c r="C146" s="334" t="s">
        <v>1309</v>
      </c>
    </row>
    <row r="147" spans="2:3" ht="22.8" x14ac:dyDescent="0.3">
      <c r="B147" s="336" t="s">
        <v>1310</v>
      </c>
      <c r="C147" s="334" t="s">
        <v>1311</v>
      </c>
    </row>
    <row r="148" spans="2:3" ht="22.8" x14ac:dyDescent="0.3">
      <c r="B148" s="336" t="s">
        <v>1312</v>
      </c>
      <c r="C148" s="334" t="s">
        <v>1313</v>
      </c>
    </row>
    <row r="149" spans="2:3" ht="22.8" x14ac:dyDescent="0.3">
      <c r="B149" s="336" t="s">
        <v>1314</v>
      </c>
      <c r="C149" s="334" t="s">
        <v>1315</v>
      </c>
    </row>
    <row r="150" spans="2:3" ht="57" x14ac:dyDescent="0.3">
      <c r="B150" s="336" t="s">
        <v>1316</v>
      </c>
      <c r="C150" s="334" t="s">
        <v>1317</v>
      </c>
    </row>
    <row r="151" spans="2:3" ht="22.8" x14ac:dyDescent="0.3">
      <c r="B151" s="336" t="s">
        <v>1318</v>
      </c>
      <c r="C151" s="334" t="s">
        <v>1319</v>
      </c>
    </row>
    <row r="152" spans="2:3" ht="22.8" x14ac:dyDescent="0.3">
      <c r="B152" s="336" t="s">
        <v>1320</v>
      </c>
      <c r="C152" s="334" t="s">
        <v>1321</v>
      </c>
    </row>
    <row r="153" spans="2:3" ht="22.8" x14ac:dyDescent="0.3">
      <c r="B153" s="337" t="s">
        <v>1323</v>
      </c>
      <c r="C153" s="334" t="s">
        <v>1850</v>
      </c>
    </row>
    <row r="154" spans="2:3" ht="45.6" x14ac:dyDescent="0.3">
      <c r="B154" s="336" t="s">
        <v>1322</v>
      </c>
      <c r="C154" s="334" t="s">
        <v>2457</v>
      </c>
    </row>
    <row r="155" spans="2:3" ht="34.200000000000003" x14ac:dyDescent="0.3">
      <c r="B155" s="336" t="s">
        <v>1263</v>
      </c>
      <c r="C155" s="334" t="s">
        <v>1851</v>
      </c>
    </row>
    <row r="156" spans="2:3" x14ac:dyDescent="0.3">
      <c r="B156" s="13"/>
      <c r="C156" s="13"/>
    </row>
    <row r="157" spans="2:3" ht="36.6" x14ac:dyDescent="0.3">
      <c r="B157" s="332" t="s">
        <v>1329</v>
      </c>
      <c r="C157" s="332"/>
    </row>
    <row r="158" spans="2:3" ht="22.8" x14ac:dyDescent="0.3">
      <c r="B158" s="334" t="s">
        <v>1330</v>
      </c>
      <c r="C158" s="335" t="s">
        <v>2435</v>
      </c>
    </row>
    <row r="159" spans="2:3" ht="34.200000000000003" x14ac:dyDescent="0.3">
      <c r="B159" s="334" t="s">
        <v>1331</v>
      </c>
      <c r="C159" s="334" t="s">
        <v>1332</v>
      </c>
    </row>
    <row r="160" spans="2:3" ht="45.6" x14ac:dyDescent="0.3">
      <c r="B160" s="334" t="s">
        <v>1333</v>
      </c>
      <c r="C160" s="334" t="s">
        <v>1334</v>
      </c>
    </row>
    <row r="161" spans="2:3" ht="22.8" x14ac:dyDescent="0.3">
      <c r="B161" s="334" t="s">
        <v>1335</v>
      </c>
      <c r="C161" s="334" t="s">
        <v>1336</v>
      </c>
    </row>
    <row r="162" spans="2:3" ht="45.6" x14ac:dyDescent="0.3">
      <c r="B162" s="334" t="s">
        <v>1337</v>
      </c>
      <c r="C162" s="334" t="s">
        <v>1338</v>
      </c>
    </row>
    <row r="163" spans="2:3" ht="45.6" x14ac:dyDescent="0.3">
      <c r="B163" s="334" t="s">
        <v>1339</v>
      </c>
      <c r="C163" s="334" t="s">
        <v>1340</v>
      </c>
    </row>
    <row r="164" spans="2:3" ht="34.200000000000003" x14ac:dyDescent="0.3">
      <c r="B164" s="334" t="s">
        <v>1341</v>
      </c>
      <c r="C164" s="334" t="s">
        <v>1342</v>
      </c>
    </row>
    <row r="165" spans="2:3" ht="22.8" x14ac:dyDescent="0.3">
      <c r="B165" s="334" t="s">
        <v>1055</v>
      </c>
      <c r="C165" s="334" t="s">
        <v>1343</v>
      </c>
    </row>
    <row r="166" spans="2:3" ht="34.200000000000003" x14ac:dyDescent="0.3">
      <c r="B166" s="334" t="s">
        <v>1344</v>
      </c>
      <c r="C166" s="334" t="s">
        <v>1345</v>
      </c>
    </row>
    <row r="167" spans="2:3" ht="22.8" x14ac:dyDescent="0.3">
      <c r="B167" s="334" t="s">
        <v>1263</v>
      </c>
      <c r="C167" s="334" t="s">
        <v>1852</v>
      </c>
    </row>
    <row r="168" spans="2:3" x14ac:dyDescent="0.3">
      <c r="B168" s="13"/>
      <c r="C168" s="13"/>
    </row>
    <row r="169" spans="2:3" ht="36.6" x14ac:dyDescent="0.3">
      <c r="B169" s="415" t="s">
        <v>1350</v>
      </c>
      <c r="C169" s="13"/>
    </row>
    <row r="170" spans="2:3" ht="46.8" x14ac:dyDescent="0.3">
      <c r="B170" s="416" t="s">
        <v>1853</v>
      </c>
      <c r="C170" s="13" t="s">
        <v>1351</v>
      </c>
    </row>
    <row r="171" spans="2:3" ht="24" x14ac:dyDescent="0.3">
      <c r="B171" s="417" t="s">
        <v>1352</v>
      </c>
      <c r="C171" s="13" t="s">
        <v>1353</v>
      </c>
    </row>
    <row r="172" spans="2:3" ht="46.8" x14ac:dyDescent="0.3">
      <c r="B172" s="417" t="s">
        <v>1354</v>
      </c>
      <c r="C172" s="13" t="s">
        <v>1355</v>
      </c>
    </row>
    <row r="173" spans="2:3" ht="35.4" x14ac:dyDescent="0.3">
      <c r="B173" s="417" t="s">
        <v>1356</v>
      </c>
      <c r="C173" s="13" t="s">
        <v>1357</v>
      </c>
    </row>
    <row r="174" spans="2:3" ht="35.4" x14ac:dyDescent="0.3">
      <c r="B174" s="417" t="s">
        <v>1358</v>
      </c>
      <c r="C174" s="13" t="s">
        <v>1359</v>
      </c>
    </row>
    <row r="175" spans="2:3" ht="35.4" x14ac:dyDescent="0.3">
      <c r="B175" s="416" t="s">
        <v>1854</v>
      </c>
      <c r="C175" s="13" t="s">
        <v>1360</v>
      </c>
    </row>
    <row r="176" spans="2:3" ht="35.4" x14ac:dyDescent="0.3">
      <c r="B176" s="416" t="s">
        <v>1855</v>
      </c>
      <c r="C176" s="13" t="s">
        <v>1361</v>
      </c>
    </row>
    <row r="177" spans="2:3" ht="35.4" x14ac:dyDescent="0.3">
      <c r="B177" s="417" t="s">
        <v>1362</v>
      </c>
      <c r="C177" s="13" t="s">
        <v>1363</v>
      </c>
    </row>
    <row r="178" spans="2:3" x14ac:dyDescent="0.3">
      <c r="B178" s="417" t="s">
        <v>1263</v>
      </c>
      <c r="C178" s="13" t="s">
        <v>1364</v>
      </c>
    </row>
    <row r="179" spans="2:3" x14ac:dyDescent="0.3">
      <c r="B179" s="13"/>
      <c r="C179" s="13"/>
    </row>
    <row r="180" spans="2:3" ht="24.6" x14ac:dyDescent="0.3">
      <c r="B180" s="415" t="s">
        <v>1365</v>
      </c>
      <c r="C180" s="13"/>
    </row>
    <row r="181" spans="2:3" ht="35.4" x14ac:dyDescent="0.3">
      <c r="B181" s="417" t="s">
        <v>1253</v>
      </c>
      <c r="C181" s="13" t="s">
        <v>1856</v>
      </c>
    </row>
    <row r="182" spans="2:3" ht="35.4" x14ac:dyDescent="0.3">
      <c r="B182" s="417" t="s">
        <v>1366</v>
      </c>
      <c r="C182" s="13" t="s">
        <v>1367</v>
      </c>
    </row>
    <row r="183" spans="2:3" ht="58.2" x14ac:dyDescent="0.3">
      <c r="B183" s="417" t="s">
        <v>1857</v>
      </c>
      <c r="C183" s="13" t="s">
        <v>1368</v>
      </c>
    </row>
    <row r="184" spans="2:3" ht="46.8" x14ac:dyDescent="0.3">
      <c r="B184" s="417" t="s">
        <v>1858</v>
      </c>
      <c r="C184" s="13" t="s">
        <v>1369</v>
      </c>
    </row>
    <row r="185" spans="2:3" ht="24" x14ac:dyDescent="0.3">
      <c r="B185" s="417" t="s">
        <v>1859</v>
      </c>
      <c r="C185" s="13" t="s">
        <v>1370</v>
      </c>
    </row>
    <row r="186" spans="2:3" ht="46.8" x14ac:dyDescent="0.3">
      <c r="B186" s="417" t="s">
        <v>1371</v>
      </c>
      <c r="C186" s="13" t="s">
        <v>1372</v>
      </c>
    </row>
    <row r="187" spans="2:3" ht="46.8" x14ac:dyDescent="0.3">
      <c r="B187" s="417" t="s">
        <v>1373</v>
      </c>
      <c r="C187" s="13" t="s">
        <v>1374</v>
      </c>
    </row>
    <row r="188" spans="2:3" ht="35.4" x14ac:dyDescent="0.3">
      <c r="B188" s="417" t="s">
        <v>1375</v>
      </c>
      <c r="C188" s="333" t="s">
        <v>1860</v>
      </c>
    </row>
    <row r="189" spans="2:3" ht="24" x14ac:dyDescent="0.3">
      <c r="B189" s="417" t="s">
        <v>1263</v>
      </c>
      <c r="C189" s="13" t="s">
        <v>1376</v>
      </c>
    </row>
    <row r="190" spans="2:3" x14ac:dyDescent="0.3">
      <c r="B190" s="13"/>
      <c r="C190" s="13"/>
    </row>
    <row r="191" spans="2:3" x14ac:dyDescent="0.3">
      <c r="B191" s="13"/>
      <c r="C191" s="13"/>
    </row>
    <row r="192" spans="2:3" ht="24.6" x14ac:dyDescent="0.3">
      <c r="B192" s="417" t="s">
        <v>1377</v>
      </c>
      <c r="C192" s="13"/>
    </row>
    <row r="193" spans="2:3" ht="35.4" x14ac:dyDescent="0.3">
      <c r="B193" s="13" t="s">
        <v>1253</v>
      </c>
      <c r="C193" s="13" t="s">
        <v>1378</v>
      </c>
    </row>
    <row r="194" spans="2:3" ht="35.4" x14ac:dyDescent="0.3">
      <c r="B194" s="13" t="s">
        <v>1379</v>
      </c>
      <c r="C194" s="333" t="s">
        <v>1380</v>
      </c>
    </row>
    <row r="195" spans="2:3" ht="35.4" x14ac:dyDescent="0.3">
      <c r="B195" s="13" t="s">
        <v>1381</v>
      </c>
      <c r="C195" s="13" t="s">
        <v>1382</v>
      </c>
    </row>
    <row r="196" spans="2:3" ht="24" x14ac:dyDescent="0.3">
      <c r="B196" s="13" t="s">
        <v>1383</v>
      </c>
      <c r="C196" s="333" t="s">
        <v>1384</v>
      </c>
    </row>
    <row r="197" spans="2:3" ht="35.4" x14ac:dyDescent="0.3">
      <c r="B197" s="13" t="s">
        <v>1385</v>
      </c>
      <c r="C197" s="13" t="s">
        <v>1386</v>
      </c>
    </row>
    <row r="198" spans="2:3" ht="35.4" x14ac:dyDescent="0.3">
      <c r="B198" s="13" t="s">
        <v>1387</v>
      </c>
      <c r="C198" s="13" t="s">
        <v>1388</v>
      </c>
    </row>
    <row r="199" spans="2:3" x14ac:dyDescent="0.3">
      <c r="B199" s="13" t="s">
        <v>1389</v>
      </c>
      <c r="C199" s="13" t="s">
        <v>1390</v>
      </c>
    </row>
    <row r="200" spans="2:3" ht="35.4" x14ac:dyDescent="0.3">
      <c r="B200" s="13" t="s">
        <v>1391</v>
      </c>
      <c r="C200" s="13" t="s">
        <v>1392</v>
      </c>
    </row>
    <row r="201" spans="2:3" ht="46.8" x14ac:dyDescent="0.3">
      <c r="B201" s="13" t="s">
        <v>1393</v>
      </c>
      <c r="C201" s="13" t="s">
        <v>1394</v>
      </c>
    </row>
    <row r="202" spans="2:3" ht="24" x14ac:dyDescent="0.3">
      <c r="B202" s="13" t="s">
        <v>1395</v>
      </c>
      <c r="C202" s="333" t="s">
        <v>1861</v>
      </c>
    </row>
    <row r="203" spans="2:3" ht="24" x14ac:dyDescent="0.3">
      <c r="B203" s="13" t="s">
        <v>1263</v>
      </c>
      <c r="C203" s="13" t="s">
        <v>1396</v>
      </c>
    </row>
    <row r="204" spans="2:3" x14ac:dyDescent="0.3">
      <c r="B204" s="13"/>
      <c r="C204" s="13"/>
    </row>
    <row r="205" spans="2:3" ht="24.6" x14ac:dyDescent="0.3">
      <c r="B205" s="417" t="s">
        <v>1408</v>
      </c>
      <c r="C205" s="13"/>
    </row>
    <row r="206" spans="2:3" ht="46.8" x14ac:dyDescent="0.3">
      <c r="B206" s="13" t="s">
        <v>1288</v>
      </c>
      <c r="C206" s="13" t="s">
        <v>2445</v>
      </c>
    </row>
    <row r="207" spans="2:3" ht="81" x14ac:dyDescent="0.3">
      <c r="B207" s="13" t="s">
        <v>1409</v>
      </c>
      <c r="C207" s="13" t="s">
        <v>1410</v>
      </c>
    </row>
    <row r="208" spans="2:3" ht="46.8" x14ac:dyDescent="0.3">
      <c r="B208" s="13" t="s">
        <v>1411</v>
      </c>
      <c r="C208" s="13" t="s">
        <v>1412</v>
      </c>
    </row>
    <row r="209" spans="2:3" ht="92.4" x14ac:dyDescent="0.3">
      <c r="B209" s="13" t="s">
        <v>1413</v>
      </c>
      <c r="C209" s="13" t="s">
        <v>1414</v>
      </c>
    </row>
    <row r="210" spans="2:3" ht="58.2" x14ac:dyDescent="0.3">
      <c r="B210" s="13" t="s">
        <v>1415</v>
      </c>
      <c r="C210" s="13" t="s">
        <v>1416</v>
      </c>
    </row>
    <row r="211" spans="2:3" ht="58.2" x14ac:dyDescent="0.3">
      <c r="B211" s="13" t="s">
        <v>1417</v>
      </c>
      <c r="C211" s="13" t="s">
        <v>1418</v>
      </c>
    </row>
    <row r="212" spans="2:3" ht="58.2" x14ac:dyDescent="0.3">
      <c r="B212" s="13" t="s">
        <v>1419</v>
      </c>
      <c r="C212" s="13" t="s">
        <v>1420</v>
      </c>
    </row>
    <row r="213" spans="2:3" ht="58.2" x14ac:dyDescent="0.3">
      <c r="B213" s="13" t="s">
        <v>1421</v>
      </c>
      <c r="C213" s="13" t="s">
        <v>1862</v>
      </c>
    </row>
    <row r="214" spans="2:3" ht="35.4" x14ac:dyDescent="0.3">
      <c r="B214" s="13" t="s">
        <v>1422</v>
      </c>
      <c r="C214" s="13" t="s">
        <v>2446</v>
      </c>
    </row>
    <row r="215" spans="2:3" ht="69.599999999999994" x14ac:dyDescent="0.3">
      <c r="B215" s="13" t="s">
        <v>1423</v>
      </c>
      <c r="C215" s="13" t="s">
        <v>1424</v>
      </c>
    </row>
    <row r="216" spans="2:3" ht="58.2" x14ac:dyDescent="0.3">
      <c r="B216" s="13" t="s">
        <v>1425</v>
      </c>
      <c r="C216" s="13" t="s">
        <v>2447</v>
      </c>
    </row>
    <row r="217" spans="2:3" x14ac:dyDescent="0.3">
      <c r="B217" s="13"/>
      <c r="C217" s="13"/>
    </row>
    <row r="218" spans="2:3" ht="24.6" x14ac:dyDescent="0.3">
      <c r="B218" s="417" t="s">
        <v>1428</v>
      </c>
      <c r="C218" s="13"/>
    </row>
    <row r="219" spans="2:3" ht="35.4" x14ac:dyDescent="0.3">
      <c r="B219" s="13" t="s">
        <v>1288</v>
      </c>
      <c r="C219" s="13" t="s">
        <v>1429</v>
      </c>
    </row>
    <row r="220" spans="2:3" ht="46.8" x14ac:dyDescent="0.3">
      <c r="B220" s="13" t="s">
        <v>1430</v>
      </c>
      <c r="C220" s="13" t="s">
        <v>1431</v>
      </c>
    </row>
    <row r="221" spans="2:3" ht="35.4" x14ac:dyDescent="0.3">
      <c r="B221" s="13" t="s">
        <v>1432</v>
      </c>
      <c r="C221" s="13" t="s">
        <v>1433</v>
      </c>
    </row>
    <row r="222" spans="2:3" x14ac:dyDescent="0.3">
      <c r="B222" s="13" t="s">
        <v>1434</v>
      </c>
      <c r="C222" s="13" t="s">
        <v>1435</v>
      </c>
    </row>
    <row r="223" spans="2:3" x14ac:dyDescent="0.3">
      <c r="B223" s="13" t="s">
        <v>1436</v>
      </c>
      <c r="C223" s="13" t="s">
        <v>1437</v>
      </c>
    </row>
    <row r="224" spans="2:3" ht="35.4" x14ac:dyDescent="0.3">
      <c r="B224" s="13" t="s">
        <v>1438</v>
      </c>
      <c r="C224" s="13" t="s">
        <v>1448</v>
      </c>
    </row>
    <row r="225" spans="2:3" ht="35.4" x14ac:dyDescent="0.3">
      <c r="B225" s="13" t="s">
        <v>1423</v>
      </c>
      <c r="C225" s="13" t="s">
        <v>1439</v>
      </c>
    </row>
    <row r="226" spans="2:3" ht="35.4" x14ac:dyDescent="0.3">
      <c r="B226" s="13" t="s">
        <v>1440</v>
      </c>
      <c r="C226" s="13" t="s">
        <v>1441</v>
      </c>
    </row>
    <row r="227" spans="2:3" ht="58.2" x14ac:dyDescent="0.3">
      <c r="B227" s="13" t="s">
        <v>1444</v>
      </c>
      <c r="C227" s="13" t="s">
        <v>1445</v>
      </c>
    </row>
    <row r="228" spans="2:3" ht="46.8" x14ac:dyDescent="0.3">
      <c r="B228" s="13" t="s">
        <v>1446</v>
      </c>
      <c r="C228" s="13" t="s">
        <v>1863</v>
      </c>
    </row>
    <row r="229" spans="2:3" ht="35.4" x14ac:dyDescent="0.3">
      <c r="B229" s="13" t="s">
        <v>1263</v>
      </c>
      <c r="C229" s="13" t="s">
        <v>1447</v>
      </c>
    </row>
    <row r="230" spans="2:3" ht="46.8" x14ac:dyDescent="0.3">
      <c r="B230" s="417" t="s">
        <v>1469</v>
      </c>
      <c r="C230" s="13" t="s">
        <v>1470</v>
      </c>
    </row>
    <row r="231" spans="2:3" ht="35.4" x14ac:dyDescent="0.3">
      <c r="B231" s="417" t="s">
        <v>1479</v>
      </c>
      <c r="C231" s="13" t="s">
        <v>1480</v>
      </c>
    </row>
    <row r="232" spans="2:3" ht="46.8" x14ac:dyDescent="0.3">
      <c r="B232" s="417" t="s">
        <v>1481</v>
      </c>
      <c r="C232" s="13" t="s">
        <v>1482</v>
      </c>
    </row>
    <row r="233" spans="2:3" ht="46.8" x14ac:dyDescent="0.3">
      <c r="B233" s="417" t="s">
        <v>1513</v>
      </c>
      <c r="C233" s="13" t="s">
        <v>1514</v>
      </c>
    </row>
    <row r="234" spans="2:3" ht="46.8" x14ac:dyDescent="0.3">
      <c r="B234" s="417" t="s">
        <v>1515</v>
      </c>
      <c r="C234" s="13" t="s">
        <v>1516</v>
      </c>
    </row>
    <row r="235" spans="2:3" x14ac:dyDescent="0.3">
      <c r="B235" s="13"/>
      <c r="C235" s="13"/>
    </row>
    <row r="236" spans="2:3" ht="24.6" x14ac:dyDescent="0.3">
      <c r="B236" s="417" t="s">
        <v>1527</v>
      </c>
      <c r="C236" s="13"/>
    </row>
    <row r="237" spans="2:3" ht="58.2" x14ac:dyDescent="0.3">
      <c r="B237" s="13" t="s">
        <v>1528</v>
      </c>
      <c r="C237" s="333" t="s">
        <v>1536</v>
      </c>
    </row>
    <row r="238" spans="2:3" ht="46.8" x14ac:dyDescent="0.3">
      <c r="B238" s="13" t="s">
        <v>1529</v>
      </c>
      <c r="C238" s="13" t="s">
        <v>1530</v>
      </c>
    </row>
    <row r="239" spans="2:3" ht="46.8" x14ac:dyDescent="0.3">
      <c r="B239" s="13" t="s">
        <v>1531</v>
      </c>
      <c r="C239" s="333" t="s">
        <v>1537</v>
      </c>
    </row>
    <row r="240" spans="2:3" ht="35.4" x14ac:dyDescent="0.3">
      <c r="B240" s="13" t="s">
        <v>1532</v>
      </c>
      <c r="C240" s="13" t="s">
        <v>1533</v>
      </c>
    </row>
    <row r="241" spans="2:3" ht="35.4" x14ac:dyDescent="0.3">
      <c r="B241" s="13" t="s">
        <v>1534</v>
      </c>
      <c r="C241" s="13" t="s">
        <v>1535</v>
      </c>
    </row>
    <row r="242" spans="2:3" ht="58.2" x14ac:dyDescent="0.3">
      <c r="B242" s="13" t="s">
        <v>1263</v>
      </c>
      <c r="C242" s="13" t="s">
        <v>1864</v>
      </c>
    </row>
    <row r="243" spans="2:3" x14ac:dyDescent="0.3">
      <c r="B243" s="364"/>
      <c r="C243" s="364"/>
    </row>
    <row r="244" spans="2:3" ht="24.6" x14ac:dyDescent="0.3">
      <c r="B244" s="417" t="s">
        <v>1539</v>
      </c>
      <c r="C244" s="13"/>
    </row>
    <row r="245" spans="2:3" ht="46.8" x14ac:dyDescent="0.3">
      <c r="B245" s="13" t="s">
        <v>1540</v>
      </c>
      <c r="C245" s="333" t="s">
        <v>1545</v>
      </c>
    </row>
    <row r="246" spans="2:3" ht="35.4" x14ac:dyDescent="0.3">
      <c r="B246" s="13" t="s">
        <v>1541</v>
      </c>
      <c r="C246" s="13" t="s">
        <v>1542</v>
      </c>
    </row>
    <row r="247" spans="2:3" ht="24" x14ac:dyDescent="0.3">
      <c r="B247" s="13" t="s">
        <v>1543</v>
      </c>
      <c r="C247" s="13" t="s">
        <v>1544</v>
      </c>
    </row>
    <row r="248" spans="2:3" ht="35.4" x14ac:dyDescent="0.3">
      <c r="B248" s="13" t="s">
        <v>1263</v>
      </c>
      <c r="C248" s="13" t="s">
        <v>1865</v>
      </c>
    </row>
    <row r="249" spans="2:3" x14ac:dyDescent="0.3">
      <c r="B249" s="364"/>
      <c r="C249" s="364"/>
    </row>
    <row r="250" spans="2:3" ht="24.6" x14ac:dyDescent="0.3">
      <c r="B250" s="417" t="s">
        <v>1556</v>
      </c>
      <c r="C250" s="13"/>
    </row>
    <row r="251" spans="2:3" ht="24" x14ac:dyDescent="0.3">
      <c r="B251" s="13" t="s">
        <v>1253</v>
      </c>
      <c r="C251" s="13" t="s">
        <v>1557</v>
      </c>
    </row>
    <row r="252" spans="2:3" ht="35.4" x14ac:dyDescent="0.3">
      <c r="B252" s="13" t="s">
        <v>1558</v>
      </c>
      <c r="C252" s="333" t="s">
        <v>1866</v>
      </c>
    </row>
    <row r="253" spans="2:3" ht="35.4" x14ac:dyDescent="0.3">
      <c r="B253" s="13" t="s">
        <v>1559</v>
      </c>
      <c r="C253" s="13" t="s">
        <v>1568</v>
      </c>
    </row>
    <row r="254" spans="2:3" x14ac:dyDescent="0.3">
      <c r="B254" s="13" t="s">
        <v>1560</v>
      </c>
      <c r="C254" s="13" t="s">
        <v>1561</v>
      </c>
    </row>
    <row r="255" spans="2:3" ht="46.8" x14ac:dyDescent="0.3">
      <c r="B255" s="13" t="s">
        <v>1263</v>
      </c>
      <c r="C255" s="13" t="s">
        <v>1565</v>
      </c>
    </row>
    <row r="256" spans="2:3" x14ac:dyDescent="0.3">
      <c r="B256" s="364"/>
      <c r="C256" s="364"/>
    </row>
    <row r="257" spans="2:3" ht="24.6" x14ac:dyDescent="0.3">
      <c r="B257" s="417" t="s">
        <v>1605</v>
      </c>
      <c r="C257" s="13"/>
    </row>
    <row r="258" spans="2:3" ht="24" x14ac:dyDescent="0.3">
      <c r="B258" s="13" t="s">
        <v>1606</v>
      </c>
      <c r="C258" s="333" t="s">
        <v>1607</v>
      </c>
    </row>
    <row r="259" spans="2:3" ht="35.4" x14ac:dyDescent="0.3">
      <c r="B259" s="13" t="s">
        <v>1608</v>
      </c>
      <c r="C259" s="333" t="s">
        <v>1609</v>
      </c>
    </row>
    <row r="260" spans="2:3" ht="35.4" x14ac:dyDescent="0.3">
      <c r="B260" s="13" t="s">
        <v>1610</v>
      </c>
      <c r="C260" s="333" t="s">
        <v>1611</v>
      </c>
    </row>
    <row r="261" spans="2:3" ht="24" x14ac:dyDescent="0.3">
      <c r="B261" s="13" t="s">
        <v>1612</v>
      </c>
      <c r="C261" s="13" t="s">
        <v>1867</v>
      </c>
    </row>
    <row r="262" spans="2:3" ht="24" x14ac:dyDescent="0.3">
      <c r="B262" s="13" t="s">
        <v>1613</v>
      </c>
      <c r="C262" s="13" t="s">
        <v>1614</v>
      </c>
    </row>
    <row r="263" spans="2:3" x14ac:dyDescent="0.3">
      <c r="B263" s="364" t="s">
        <v>1263</v>
      </c>
      <c r="C263" s="364" t="s">
        <v>1615</v>
      </c>
    </row>
    <row r="264" spans="2:3" x14ac:dyDescent="0.3">
      <c r="B264" s="364"/>
      <c r="C264" s="364"/>
    </row>
    <row r="265" spans="2:3" ht="24.6" x14ac:dyDescent="0.3">
      <c r="B265" s="417" t="s">
        <v>1616</v>
      </c>
      <c r="C265" s="13"/>
    </row>
    <row r="266" spans="2:3" ht="35.4" x14ac:dyDescent="0.3">
      <c r="B266" s="13" t="s">
        <v>1617</v>
      </c>
      <c r="C266" s="333" t="s">
        <v>1618</v>
      </c>
    </row>
    <row r="267" spans="2:3" x14ac:dyDescent="0.3">
      <c r="B267" s="364"/>
      <c r="C267" s="364"/>
    </row>
    <row r="268" spans="2:3" ht="24.6" x14ac:dyDescent="0.3">
      <c r="B268" s="417" t="s">
        <v>1768</v>
      </c>
      <c r="C268" s="13"/>
    </row>
    <row r="269" spans="2:3" ht="35.4" x14ac:dyDescent="0.3">
      <c r="B269" s="13" t="s">
        <v>1689</v>
      </c>
      <c r="C269" s="333" t="s">
        <v>1868</v>
      </c>
    </row>
    <row r="270" spans="2:3" ht="35.4" x14ac:dyDescent="0.3">
      <c r="B270" s="13" t="s">
        <v>1432</v>
      </c>
      <c r="C270" s="333" t="s">
        <v>1769</v>
      </c>
    </row>
    <row r="271" spans="2:3" ht="24" x14ac:dyDescent="0.3">
      <c r="B271" s="13" t="s">
        <v>1770</v>
      </c>
      <c r="C271" s="333" t="s">
        <v>1771</v>
      </c>
    </row>
    <row r="272" spans="2:3" ht="24" x14ac:dyDescent="0.3">
      <c r="B272" s="13" t="s">
        <v>1690</v>
      </c>
      <c r="C272" s="13" t="s">
        <v>1772</v>
      </c>
    </row>
    <row r="273" spans="2:3" ht="24" x14ac:dyDescent="0.3">
      <c r="B273" s="13" t="s">
        <v>1438</v>
      </c>
      <c r="C273" s="13" t="s">
        <v>1773</v>
      </c>
    </row>
    <row r="274" spans="2:3" x14ac:dyDescent="0.3">
      <c r="B274" s="364" t="s">
        <v>1691</v>
      </c>
      <c r="C274" s="364" t="s">
        <v>1774</v>
      </c>
    </row>
    <row r="275" spans="2:3" x14ac:dyDescent="0.3">
      <c r="B275" s="364" t="s">
        <v>1263</v>
      </c>
      <c r="C275" s="364" t="s">
        <v>1784</v>
      </c>
    </row>
    <row r="276" spans="2:3" x14ac:dyDescent="0.3">
      <c r="B276" s="364"/>
      <c r="C276" s="364"/>
    </row>
    <row r="277" spans="2:3" ht="24.6" x14ac:dyDescent="0.3">
      <c r="B277" s="417" t="s">
        <v>1775</v>
      </c>
      <c r="C277" s="13"/>
    </row>
    <row r="278" spans="2:3" ht="24" x14ac:dyDescent="0.3">
      <c r="B278" s="13" t="s">
        <v>1776</v>
      </c>
      <c r="C278" s="333" t="s">
        <v>1869</v>
      </c>
    </row>
    <row r="279" spans="2:3" ht="35.4" x14ac:dyDescent="0.3">
      <c r="B279" s="13" t="s">
        <v>1777</v>
      </c>
      <c r="C279" s="333" t="s">
        <v>1778</v>
      </c>
    </row>
    <row r="280" spans="2:3" ht="24" x14ac:dyDescent="0.3">
      <c r="B280" s="13" t="s">
        <v>1779</v>
      </c>
      <c r="C280" s="333" t="s">
        <v>1780</v>
      </c>
    </row>
    <row r="281" spans="2:3" ht="24" x14ac:dyDescent="0.3">
      <c r="B281" s="13" t="s">
        <v>1781</v>
      </c>
      <c r="C281" s="13" t="s">
        <v>1782</v>
      </c>
    </row>
    <row r="282" spans="2:3" ht="24" x14ac:dyDescent="0.3">
      <c r="B282" s="13" t="s">
        <v>1691</v>
      </c>
      <c r="C282" s="13" t="s">
        <v>1783</v>
      </c>
    </row>
    <row r="283" spans="2:3" x14ac:dyDescent="0.3">
      <c r="B283" s="364" t="s">
        <v>1263</v>
      </c>
      <c r="C283" s="364" t="s">
        <v>1785</v>
      </c>
    </row>
    <row r="285" spans="2:3" ht="24.6" x14ac:dyDescent="0.3">
      <c r="B285" s="417" t="s">
        <v>1789</v>
      </c>
      <c r="C285" s="13"/>
    </row>
    <row r="286" spans="2:3" ht="35.4" x14ac:dyDescent="0.3">
      <c r="B286" s="13" t="s">
        <v>1253</v>
      </c>
      <c r="C286" s="333" t="s">
        <v>1790</v>
      </c>
    </row>
    <row r="287" spans="2:3" ht="35.4" x14ac:dyDescent="0.3">
      <c r="B287" s="13" t="s">
        <v>1791</v>
      </c>
      <c r="C287" s="333" t="s">
        <v>1792</v>
      </c>
    </row>
    <row r="288" spans="2:3" ht="24" x14ac:dyDescent="0.3">
      <c r="B288" s="13" t="s">
        <v>1793</v>
      </c>
      <c r="C288" s="333" t="s">
        <v>1794</v>
      </c>
    </row>
    <row r="289" spans="2:3" ht="35.4" x14ac:dyDescent="0.3">
      <c r="B289" s="13" t="s">
        <v>1795</v>
      </c>
      <c r="C289" s="13" t="s">
        <v>1796</v>
      </c>
    </row>
    <row r="290" spans="2:3" ht="24" x14ac:dyDescent="0.3">
      <c r="B290" s="13" t="s">
        <v>1797</v>
      </c>
      <c r="C290" s="13" t="s">
        <v>1870</v>
      </c>
    </row>
    <row r="291" spans="2:3" x14ac:dyDescent="0.3">
      <c r="B291" s="364" t="s">
        <v>1263</v>
      </c>
      <c r="C291" s="364" t="s">
        <v>1803</v>
      </c>
    </row>
    <row r="293" spans="2:3" ht="24.6" x14ac:dyDescent="0.3">
      <c r="B293" s="417" t="s">
        <v>1877</v>
      </c>
      <c r="C293" s="13"/>
    </row>
    <row r="294" spans="2:3" ht="24" x14ac:dyDescent="0.3">
      <c r="B294" s="13" t="s">
        <v>1878</v>
      </c>
      <c r="C294" s="333" t="s">
        <v>1879</v>
      </c>
    </row>
    <row r="295" spans="2:3" ht="24" x14ac:dyDescent="0.3">
      <c r="B295" s="13" t="s">
        <v>1880</v>
      </c>
      <c r="C295" s="333" t="s">
        <v>1881</v>
      </c>
    </row>
    <row r="296" spans="2:3" ht="24" x14ac:dyDescent="0.3">
      <c r="B296" s="13" t="s">
        <v>1882</v>
      </c>
      <c r="C296" s="333" t="s">
        <v>1883</v>
      </c>
    </row>
    <row r="297" spans="2:3" ht="24" x14ac:dyDescent="0.3">
      <c r="B297" s="13" t="s">
        <v>1884</v>
      </c>
      <c r="C297" s="13" t="s">
        <v>1885</v>
      </c>
    </row>
    <row r="298" spans="2:3" ht="24" x14ac:dyDescent="0.3">
      <c r="B298" s="13" t="s">
        <v>1886</v>
      </c>
      <c r="C298" s="13" t="s">
        <v>1887</v>
      </c>
    </row>
    <row r="299" spans="2:3" x14ac:dyDescent="0.3">
      <c r="B299" s="364" t="s">
        <v>1263</v>
      </c>
      <c r="C299" s="364" t="s">
        <v>1888</v>
      </c>
    </row>
    <row r="301" spans="2:3" ht="24.6" x14ac:dyDescent="0.3">
      <c r="B301" s="417" t="s">
        <v>1889</v>
      </c>
      <c r="C301" s="13"/>
    </row>
    <row r="302" spans="2:3" x14ac:dyDescent="0.3">
      <c r="B302" s="13" t="s">
        <v>1890</v>
      </c>
      <c r="C302" s="333" t="s">
        <v>1891</v>
      </c>
    </row>
    <row r="303" spans="2:3" x14ac:dyDescent="0.3">
      <c r="B303" s="13" t="s">
        <v>1892</v>
      </c>
      <c r="C303" s="333" t="s">
        <v>1893</v>
      </c>
    </row>
    <row r="304" spans="2:3" x14ac:dyDescent="0.3">
      <c r="B304" s="13" t="s">
        <v>1894</v>
      </c>
      <c r="C304" s="333" t="s">
        <v>1895</v>
      </c>
    </row>
    <row r="305" spans="2:3" ht="24" x14ac:dyDescent="0.3">
      <c r="B305" s="13" t="s">
        <v>1210</v>
      </c>
      <c r="C305" s="13" t="s">
        <v>1896</v>
      </c>
    </row>
    <row r="306" spans="2:3" ht="24" x14ac:dyDescent="0.3">
      <c r="B306" s="13" t="s">
        <v>1897</v>
      </c>
      <c r="C306" s="13" t="s">
        <v>1898</v>
      </c>
    </row>
    <row r="308" spans="2:3" ht="24.6" x14ac:dyDescent="0.3">
      <c r="B308" s="417" t="s">
        <v>1928</v>
      </c>
    </row>
    <row r="309" spans="2:3" x14ac:dyDescent="0.3">
      <c r="B309" t="s">
        <v>1288</v>
      </c>
      <c r="C309" t="s">
        <v>1929</v>
      </c>
    </row>
    <row r="310" spans="2:3" x14ac:dyDescent="0.3">
      <c r="B310" t="s">
        <v>1930</v>
      </c>
      <c r="C310" t="s">
        <v>1931</v>
      </c>
    </row>
    <row r="311" spans="2:3" x14ac:dyDescent="0.3">
      <c r="B311" t="s">
        <v>1932</v>
      </c>
      <c r="C311" s="487" t="s">
        <v>1933</v>
      </c>
    </row>
    <row r="312" spans="2:3" x14ac:dyDescent="0.3">
      <c r="B312" t="s">
        <v>1438</v>
      </c>
      <c r="C312" t="s">
        <v>1934</v>
      </c>
    </row>
    <row r="313" spans="2:3" x14ac:dyDescent="0.3">
      <c r="B313" t="s">
        <v>1935</v>
      </c>
      <c r="C313" s="487" t="s">
        <v>1936</v>
      </c>
    </row>
    <row r="314" spans="2:3" x14ac:dyDescent="0.3">
      <c r="B314" t="s">
        <v>1937</v>
      </c>
      <c r="C314" t="s">
        <v>1938</v>
      </c>
    </row>
    <row r="315" spans="2:3" x14ac:dyDescent="0.3">
      <c r="B315" t="s">
        <v>1939</v>
      </c>
      <c r="C315" t="s">
        <v>1940</v>
      </c>
    </row>
    <row r="317" spans="2:3" ht="24.6" x14ac:dyDescent="0.3">
      <c r="B317" s="417" t="s">
        <v>1988</v>
      </c>
    </row>
    <row r="318" spans="2:3" x14ac:dyDescent="0.3">
      <c r="B318" t="s">
        <v>1288</v>
      </c>
      <c r="C318" t="s">
        <v>1989</v>
      </c>
    </row>
    <row r="319" spans="2:3" x14ac:dyDescent="0.3">
      <c r="B319" t="s">
        <v>1930</v>
      </c>
      <c r="C319" t="s">
        <v>1990</v>
      </c>
    </row>
    <row r="320" spans="2:3" x14ac:dyDescent="0.3">
      <c r="B320" t="s">
        <v>1932</v>
      </c>
      <c r="C320" s="487" t="s">
        <v>1991</v>
      </c>
    </row>
    <row r="321" spans="2:3" x14ac:dyDescent="0.3">
      <c r="B321" t="s">
        <v>1438</v>
      </c>
      <c r="C321" t="s">
        <v>1992</v>
      </c>
    </row>
    <row r="322" spans="2:3" x14ac:dyDescent="0.3">
      <c r="B322" t="s">
        <v>1937</v>
      </c>
      <c r="C322" s="487" t="s">
        <v>1993</v>
      </c>
    </row>
    <row r="323" spans="2:3" x14ac:dyDescent="0.3">
      <c r="B323" t="s">
        <v>1939</v>
      </c>
      <c r="C323" t="s">
        <v>1994</v>
      </c>
    </row>
    <row r="326" spans="2:3" ht="24.6" x14ac:dyDescent="0.3">
      <c r="B326" s="417" t="s">
        <v>2017</v>
      </c>
    </row>
    <row r="327" spans="2:3" x14ac:dyDescent="0.3">
      <c r="B327" t="s">
        <v>2018</v>
      </c>
      <c r="C327" t="s">
        <v>2019</v>
      </c>
    </row>
    <row r="328" spans="2:3" x14ac:dyDescent="0.3">
      <c r="B328" t="s">
        <v>2020</v>
      </c>
      <c r="C328" t="s">
        <v>2021</v>
      </c>
    </row>
    <row r="329" spans="2:3" x14ac:dyDescent="0.3">
      <c r="B329" t="s">
        <v>2022</v>
      </c>
      <c r="C329" s="487" t="s">
        <v>2023</v>
      </c>
    </row>
    <row r="330" spans="2:3" x14ac:dyDescent="0.3">
      <c r="B330" t="s">
        <v>2024</v>
      </c>
      <c r="C330" t="s">
        <v>2025</v>
      </c>
    </row>
    <row r="331" spans="2:3" x14ac:dyDescent="0.3">
      <c r="B331" t="s">
        <v>1438</v>
      </c>
      <c r="C331" s="487" t="s">
        <v>2026</v>
      </c>
    </row>
    <row r="332" spans="2:3" x14ac:dyDescent="0.3">
      <c r="B332" t="s">
        <v>1939</v>
      </c>
      <c r="C332" t="s">
        <v>2027</v>
      </c>
    </row>
    <row r="335" spans="2:3" ht="24.6" x14ac:dyDescent="0.3">
      <c r="B335" s="417" t="s">
        <v>2033</v>
      </c>
    </row>
    <row r="336" spans="2:3" x14ac:dyDescent="0.3">
      <c r="B336" t="s">
        <v>1288</v>
      </c>
      <c r="C336" t="s">
        <v>2034</v>
      </c>
    </row>
    <row r="337" spans="2:3" x14ac:dyDescent="0.3">
      <c r="B337" t="s">
        <v>1930</v>
      </c>
      <c r="C337" t="s">
        <v>2035</v>
      </c>
    </row>
    <row r="338" spans="2:3" x14ac:dyDescent="0.3">
      <c r="B338" t="s">
        <v>2036</v>
      </c>
      <c r="C338" s="487" t="s">
        <v>2037</v>
      </c>
    </row>
    <row r="339" spans="2:3" x14ac:dyDescent="0.3">
      <c r="B339" t="s">
        <v>1438</v>
      </c>
      <c r="C339" t="s">
        <v>2038</v>
      </c>
    </row>
    <row r="340" spans="2:3" x14ac:dyDescent="0.3">
      <c r="B340" t="s">
        <v>2039</v>
      </c>
      <c r="C340" s="487" t="s">
        <v>2040</v>
      </c>
    </row>
    <row r="343" spans="2:3" ht="36.6" x14ac:dyDescent="0.3">
      <c r="B343" s="417" t="s">
        <v>2054</v>
      </c>
    </row>
    <row r="344" spans="2:3" x14ac:dyDescent="0.3">
      <c r="B344" t="s">
        <v>1288</v>
      </c>
      <c r="C344" t="s">
        <v>2055</v>
      </c>
    </row>
    <row r="345" spans="2:3" x14ac:dyDescent="0.3">
      <c r="B345" t="s">
        <v>1930</v>
      </c>
      <c r="C345" t="s">
        <v>2056</v>
      </c>
    </row>
    <row r="346" spans="2:3" x14ac:dyDescent="0.3">
      <c r="B346" t="s">
        <v>1438</v>
      </c>
      <c r="C346" s="487" t="s">
        <v>2057</v>
      </c>
    </row>
    <row r="347" spans="2:3" x14ac:dyDescent="0.3">
      <c r="B347" t="s">
        <v>2039</v>
      </c>
      <c r="C347" t="s">
        <v>2058</v>
      </c>
    </row>
    <row r="348" spans="2:3" x14ac:dyDescent="0.3">
      <c r="B348" t="s">
        <v>1939</v>
      </c>
      <c r="C348" s="487" t="s">
        <v>2059</v>
      </c>
    </row>
    <row r="350" spans="2:3" ht="36.6" x14ac:dyDescent="0.3">
      <c r="B350" s="417" t="s">
        <v>2323</v>
      </c>
    </row>
    <row r="351" spans="2:3" ht="72" x14ac:dyDescent="0.3">
      <c r="B351" t="s">
        <v>1288</v>
      </c>
      <c r="C351" s="607" t="s">
        <v>2324</v>
      </c>
    </row>
    <row r="352" spans="2:3" ht="72" x14ac:dyDescent="0.3">
      <c r="B352" t="s">
        <v>1930</v>
      </c>
      <c r="C352" s="607" t="s">
        <v>2325</v>
      </c>
    </row>
    <row r="353" spans="2:3" ht="72" x14ac:dyDescent="0.3">
      <c r="B353" t="s">
        <v>1438</v>
      </c>
      <c r="C353" s="608" t="s">
        <v>2326</v>
      </c>
    </row>
    <row r="354" spans="2:3" ht="28.8" x14ac:dyDescent="0.3">
      <c r="B354" t="s">
        <v>2039</v>
      </c>
      <c r="C354" s="607" t="s">
        <v>2327</v>
      </c>
    </row>
    <row r="355" spans="2:3" x14ac:dyDescent="0.3">
      <c r="B355" t="s">
        <v>1939</v>
      </c>
      <c r="C355" s="608" t="s">
        <v>2328</v>
      </c>
    </row>
    <row r="357" spans="2:3" ht="24.6" x14ac:dyDescent="0.3">
      <c r="B357" s="417" t="s">
        <v>2329</v>
      </c>
    </row>
    <row r="358" spans="2:3" ht="28.8" x14ac:dyDescent="0.3">
      <c r="B358" t="s">
        <v>1288</v>
      </c>
      <c r="C358" s="607" t="s">
        <v>2330</v>
      </c>
    </row>
    <row r="359" spans="2:3" ht="72" x14ac:dyDescent="0.3">
      <c r="B359" t="s">
        <v>1930</v>
      </c>
      <c r="C359" s="607" t="s">
        <v>2331</v>
      </c>
    </row>
    <row r="360" spans="2:3" x14ac:dyDescent="0.3">
      <c r="B360" t="s">
        <v>1438</v>
      </c>
      <c r="C360" s="608" t="s">
        <v>2332</v>
      </c>
    </row>
    <row r="361" spans="2:3" x14ac:dyDescent="0.3">
      <c r="B361" t="s">
        <v>2039</v>
      </c>
      <c r="C361" s="607" t="s">
        <v>2333</v>
      </c>
    </row>
    <row r="362" spans="2:3" x14ac:dyDescent="0.3">
      <c r="B362" t="s">
        <v>1939</v>
      </c>
      <c r="C362" s="608" t="s">
        <v>2334</v>
      </c>
    </row>
    <row r="364" spans="2:3" ht="24.6" x14ac:dyDescent="0.3">
      <c r="B364" s="417" t="s">
        <v>2335</v>
      </c>
    </row>
    <row r="365" spans="2:3" ht="28.8" x14ac:dyDescent="0.3">
      <c r="B365" t="s">
        <v>1288</v>
      </c>
      <c r="C365" s="607" t="s">
        <v>2336</v>
      </c>
    </row>
    <row r="366" spans="2:3" ht="43.2" x14ac:dyDescent="0.3">
      <c r="B366" t="s">
        <v>1930</v>
      </c>
      <c r="C366" s="607" t="s">
        <v>2337</v>
      </c>
    </row>
    <row r="367" spans="2:3" x14ac:dyDescent="0.3">
      <c r="B367" t="s">
        <v>1438</v>
      </c>
      <c r="C367" s="608" t="s">
        <v>2338</v>
      </c>
    </row>
    <row r="368" spans="2:3" x14ac:dyDescent="0.3">
      <c r="B368" t="s">
        <v>2039</v>
      </c>
      <c r="C368" s="607" t="s">
        <v>2339</v>
      </c>
    </row>
    <row r="369" spans="2:3" x14ac:dyDescent="0.3">
      <c r="B369" t="s">
        <v>1939</v>
      </c>
      <c r="C369" s="608" t="s">
        <v>2340</v>
      </c>
    </row>
    <row r="371" spans="2:3" ht="24.6" x14ac:dyDescent="0.3">
      <c r="B371" s="417" t="s">
        <v>2341</v>
      </c>
    </row>
    <row r="372" spans="2:3" ht="57.6" x14ac:dyDescent="0.3">
      <c r="B372" t="s">
        <v>1288</v>
      </c>
      <c r="C372" s="607" t="s">
        <v>2342</v>
      </c>
    </row>
    <row r="373" spans="2:3" ht="86.4" x14ac:dyDescent="0.3">
      <c r="B373" t="s">
        <v>1930</v>
      </c>
      <c r="C373" s="607" t="s">
        <v>2343</v>
      </c>
    </row>
    <row r="374" spans="2:3" ht="28.8" x14ac:dyDescent="0.3">
      <c r="B374" t="s">
        <v>1438</v>
      </c>
      <c r="C374" s="608" t="s">
        <v>2344</v>
      </c>
    </row>
    <row r="375" spans="2:3" x14ac:dyDescent="0.3">
      <c r="B375" t="s">
        <v>2039</v>
      </c>
      <c r="C375" s="607" t="s">
        <v>2339</v>
      </c>
    </row>
    <row r="376" spans="2:3" x14ac:dyDescent="0.3">
      <c r="B376" t="s">
        <v>1939</v>
      </c>
      <c r="C376" s="608" t="s">
        <v>2328</v>
      </c>
    </row>
    <row r="378" spans="2:3" ht="48.6" x14ac:dyDescent="0.3">
      <c r="B378" s="417" t="s">
        <v>2345</v>
      </c>
    </row>
    <row r="379" spans="2:3" ht="72" x14ac:dyDescent="0.3">
      <c r="B379" t="s">
        <v>1288</v>
      </c>
      <c r="C379" s="607" t="s">
        <v>2346</v>
      </c>
    </row>
    <row r="380" spans="2:3" ht="86.4" x14ac:dyDescent="0.3">
      <c r="B380" t="s">
        <v>1930</v>
      </c>
      <c r="C380" s="607" t="s">
        <v>2347</v>
      </c>
    </row>
    <row r="381" spans="2:3" x14ac:dyDescent="0.3">
      <c r="B381" t="s">
        <v>1438</v>
      </c>
      <c r="C381" s="608" t="s">
        <v>2348</v>
      </c>
    </row>
    <row r="382" spans="2:3" x14ac:dyDescent="0.3">
      <c r="B382" t="s">
        <v>2039</v>
      </c>
      <c r="C382" s="607" t="s">
        <v>2339</v>
      </c>
    </row>
    <row r="383" spans="2:3" ht="28.8" x14ac:dyDescent="0.3">
      <c r="B383" t="s">
        <v>1939</v>
      </c>
      <c r="C383" s="608" t="s">
        <v>2436</v>
      </c>
    </row>
    <row r="385" spans="2:3" ht="36.6" x14ac:dyDescent="0.3">
      <c r="B385" s="417" t="s">
        <v>2349</v>
      </c>
    </row>
    <row r="386" spans="2:3" ht="28.8" x14ac:dyDescent="0.3">
      <c r="B386" t="s">
        <v>1288</v>
      </c>
      <c r="C386" s="607" t="s">
        <v>2350</v>
      </c>
    </row>
    <row r="387" spans="2:3" ht="43.2" x14ac:dyDescent="0.3">
      <c r="B387" t="s">
        <v>1930</v>
      </c>
      <c r="C387" s="607" t="s">
        <v>2351</v>
      </c>
    </row>
    <row r="388" spans="2:3" ht="28.8" x14ac:dyDescent="0.3">
      <c r="B388" t="s">
        <v>1438</v>
      </c>
      <c r="C388" s="608" t="s">
        <v>2352</v>
      </c>
    </row>
    <row r="389" spans="2:3" x14ac:dyDescent="0.3">
      <c r="B389" t="s">
        <v>2039</v>
      </c>
      <c r="C389" s="607" t="s">
        <v>2353</v>
      </c>
    </row>
    <row r="390" spans="2:3" x14ac:dyDescent="0.3">
      <c r="B390" t="s">
        <v>1939</v>
      </c>
      <c r="C390" s="608" t="s">
        <v>2328</v>
      </c>
    </row>
    <row r="392" spans="2:3" ht="24.6" x14ac:dyDescent="0.3">
      <c r="B392" s="417" t="s">
        <v>2354</v>
      </c>
    </row>
    <row r="393" spans="2:3" ht="57.6" x14ac:dyDescent="0.3">
      <c r="B393" t="s">
        <v>1288</v>
      </c>
      <c r="C393" s="607" t="s">
        <v>2355</v>
      </c>
    </row>
    <row r="394" spans="2:3" ht="158.4" x14ac:dyDescent="0.3">
      <c r="B394" t="s">
        <v>1930</v>
      </c>
      <c r="C394" s="607" t="s">
        <v>2356</v>
      </c>
    </row>
    <row r="395" spans="2:3" x14ac:dyDescent="0.3">
      <c r="B395" t="s">
        <v>1438</v>
      </c>
      <c r="C395" s="608" t="s">
        <v>2348</v>
      </c>
    </row>
    <row r="396" spans="2:3" x14ac:dyDescent="0.3">
      <c r="B396" t="s">
        <v>2039</v>
      </c>
      <c r="C396" s="607" t="s">
        <v>2357</v>
      </c>
    </row>
    <row r="397" spans="2:3" ht="86.4" x14ac:dyDescent="0.3">
      <c r="B397" t="s">
        <v>1939</v>
      </c>
      <c r="C397" s="608" t="s">
        <v>2448</v>
      </c>
    </row>
    <row r="399" spans="2:3" ht="36.6" x14ac:dyDescent="0.3">
      <c r="B399" s="417" t="s">
        <v>2358</v>
      </c>
    </row>
    <row r="400" spans="2:3" ht="57.6" x14ac:dyDescent="0.3">
      <c r="B400" t="s">
        <v>1288</v>
      </c>
      <c r="C400" s="607" t="s">
        <v>2359</v>
      </c>
    </row>
    <row r="401" spans="2:3" ht="144" x14ac:dyDescent="0.3">
      <c r="B401" t="s">
        <v>1930</v>
      </c>
      <c r="C401" s="607" t="s">
        <v>2360</v>
      </c>
    </row>
    <row r="402" spans="2:3" ht="57.6" x14ac:dyDescent="0.3">
      <c r="B402" t="s">
        <v>1438</v>
      </c>
      <c r="C402" s="608" t="s">
        <v>2361</v>
      </c>
    </row>
    <row r="403" spans="2:3" ht="43.2" x14ac:dyDescent="0.3">
      <c r="B403" t="s">
        <v>2039</v>
      </c>
      <c r="C403" s="607" t="s">
        <v>2362</v>
      </c>
    </row>
    <row r="404" spans="2:3" ht="28.8" x14ac:dyDescent="0.3">
      <c r="B404" t="s">
        <v>1939</v>
      </c>
      <c r="C404" s="608" t="s">
        <v>2437</v>
      </c>
    </row>
    <row r="406" spans="2:3" ht="48.6" x14ac:dyDescent="0.3">
      <c r="B406" s="417" t="s">
        <v>2363</v>
      </c>
    </row>
    <row r="407" spans="2:3" ht="57.6" x14ac:dyDescent="0.3">
      <c r="B407" t="s">
        <v>1288</v>
      </c>
      <c r="C407" s="607" t="s">
        <v>2364</v>
      </c>
    </row>
    <row r="408" spans="2:3" ht="187.2" x14ac:dyDescent="0.3">
      <c r="B408" t="s">
        <v>1930</v>
      </c>
      <c r="C408" s="607" t="s">
        <v>2365</v>
      </c>
    </row>
    <row r="409" spans="2:3" ht="100.8" x14ac:dyDescent="0.3">
      <c r="B409" t="s">
        <v>1438</v>
      </c>
      <c r="C409" s="608" t="s">
        <v>2366</v>
      </c>
    </row>
    <row r="410" spans="2:3" ht="57.6" x14ac:dyDescent="0.3">
      <c r="B410" t="s">
        <v>2039</v>
      </c>
      <c r="C410" s="607" t="s">
        <v>2367</v>
      </c>
    </row>
    <row r="411" spans="2:3" ht="28.8" x14ac:dyDescent="0.3">
      <c r="B411" t="s">
        <v>1939</v>
      </c>
      <c r="C411" s="608" t="s">
        <v>2438</v>
      </c>
    </row>
    <row r="413" spans="2:3" ht="36.6" x14ac:dyDescent="0.3">
      <c r="B413" s="417" t="s">
        <v>2368</v>
      </c>
    </row>
    <row r="414" spans="2:3" ht="43.2" x14ac:dyDescent="0.3">
      <c r="B414" t="s">
        <v>1288</v>
      </c>
      <c r="C414" s="607" t="s">
        <v>2369</v>
      </c>
    </row>
    <row r="415" spans="2:3" ht="86.4" x14ac:dyDescent="0.3">
      <c r="B415" t="s">
        <v>1930</v>
      </c>
      <c r="C415" s="607" t="s">
        <v>2370</v>
      </c>
    </row>
    <row r="416" spans="2:3" ht="57.6" x14ac:dyDescent="0.3">
      <c r="B416" t="s">
        <v>1438</v>
      </c>
      <c r="C416" s="608" t="s">
        <v>2371</v>
      </c>
    </row>
    <row r="417" spans="2:3" x14ac:dyDescent="0.3">
      <c r="B417" t="s">
        <v>2039</v>
      </c>
      <c r="C417" s="607" t="s">
        <v>2372</v>
      </c>
    </row>
    <row r="418" spans="2:3" ht="28.8" x14ac:dyDescent="0.3">
      <c r="B418" t="s">
        <v>1939</v>
      </c>
      <c r="C418" s="608" t="s">
        <v>2439</v>
      </c>
    </row>
    <row r="420" spans="2:3" ht="36.6" x14ac:dyDescent="0.3">
      <c r="B420" s="417" t="s">
        <v>2373</v>
      </c>
    </row>
    <row r="421" spans="2:3" ht="43.2" x14ac:dyDescent="0.3">
      <c r="B421" t="s">
        <v>1288</v>
      </c>
      <c r="C421" s="607" t="s">
        <v>2374</v>
      </c>
    </row>
    <row r="422" spans="2:3" ht="129.6" x14ac:dyDescent="0.3">
      <c r="B422" t="s">
        <v>1930</v>
      </c>
      <c r="C422" s="607" t="s">
        <v>2375</v>
      </c>
    </row>
    <row r="423" spans="2:3" ht="57.6" x14ac:dyDescent="0.3">
      <c r="B423" t="s">
        <v>1438</v>
      </c>
      <c r="C423" s="608" t="s">
        <v>2376</v>
      </c>
    </row>
    <row r="424" spans="2:3" ht="28.8" x14ac:dyDescent="0.3">
      <c r="B424" t="s">
        <v>2039</v>
      </c>
      <c r="C424" s="607" t="s">
        <v>2377</v>
      </c>
    </row>
    <row r="425" spans="2:3" ht="28.8" x14ac:dyDescent="0.3">
      <c r="B425" t="s">
        <v>1939</v>
      </c>
      <c r="C425" s="608" t="s">
        <v>2440</v>
      </c>
    </row>
    <row r="427" spans="2:3" ht="36.6" x14ac:dyDescent="0.3">
      <c r="B427" s="417" t="s">
        <v>2378</v>
      </c>
    </row>
    <row r="428" spans="2:3" ht="43.2" x14ac:dyDescent="0.3">
      <c r="B428" t="s">
        <v>1288</v>
      </c>
      <c r="C428" s="607" t="s">
        <v>2379</v>
      </c>
    </row>
    <row r="429" spans="2:3" ht="115.2" x14ac:dyDescent="0.3">
      <c r="B429" t="s">
        <v>1930</v>
      </c>
      <c r="C429" s="607" t="s">
        <v>2380</v>
      </c>
    </row>
    <row r="430" spans="2:3" ht="57.6" x14ac:dyDescent="0.3">
      <c r="B430" t="s">
        <v>1438</v>
      </c>
      <c r="C430" s="608" t="s">
        <v>2381</v>
      </c>
    </row>
    <row r="431" spans="2:3" ht="43.2" x14ac:dyDescent="0.3">
      <c r="B431" t="s">
        <v>2039</v>
      </c>
      <c r="C431" s="607" t="s">
        <v>2382</v>
      </c>
    </row>
    <row r="432" spans="2:3" x14ac:dyDescent="0.3">
      <c r="B432" t="s">
        <v>1939</v>
      </c>
      <c r="C432" s="608" t="s">
        <v>2441</v>
      </c>
    </row>
    <row r="434" spans="2:3" ht="36.6" x14ac:dyDescent="0.3">
      <c r="B434" s="417" t="s">
        <v>2383</v>
      </c>
    </row>
    <row r="435" spans="2:3" ht="43.2" x14ac:dyDescent="0.3">
      <c r="B435" t="s">
        <v>1288</v>
      </c>
      <c r="C435" s="607" t="s">
        <v>2384</v>
      </c>
    </row>
    <row r="436" spans="2:3" ht="115.2" x14ac:dyDescent="0.3">
      <c r="B436" t="s">
        <v>1930</v>
      </c>
      <c r="C436" s="607" t="s">
        <v>2385</v>
      </c>
    </row>
    <row r="437" spans="2:3" ht="28.8" x14ac:dyDescent="0.3">
      <c r="B437" t="s">
        <v>1438</v>
      </c>
      <c r="C437" s="608" t="s">
        <v>2386</v>
      </c>
    </row>
    <row r="438" spans="2:3" ht="57.6" x14ac:dyDescent="0.3">
      <c r="B438" t="s">
        <v>2039</v>
      </c>
      <c r="C438" s="607" t="s">
        <v>2387</v>
      </c>
    </row>
    <row r="439" spans="2:3" ht="28.8" x14ac:dyDescent="0.3">
      <c r="B439" t="s">
        <v>1939</v>
      </c>
      <c r="C439" s="608" t="s">
        <v>2442</v>
      </c>
    </row>
    <row r="441" spans="2:3" ht="24.6" x14ac:dyDescent="0.3">
      <c r="B441" s="417" t="s">
        <v>2388</v>
      </c>
    </row>
    <row r="442" spans="2:3" x14ac:dyDescent="0.3">
      <c r="B442" t="s">
        <v>1288</v>
      </c>
      <c r="C442" s="607" t="s">
        <v>2389</v>
      </c>
    </row>
    <row r="443" spans="2:3" ht="86.4" x14ac:dyDescent="0.3">
      <c r="B443" t="s">
        <v>1930</v>
      </c>
      <c r="C443" s="607" t="s">
        <v>2449</v>
      </c>
    </row>
    <row r="444" spans="2:3" ht="100.8" x14ac:dyDescent="0.3">
      <c r="B444" t="s">
        <v>1438</v>
      </c>
      <c r="C444" s="608" t="s">
        <v>2390</v>
      </c>
    </row>
    <row r="445" spans="2:3" ht="28.8" x14ac:dyDescent="0.3">
      <c r="B445" t="s">
        <v>2039</v>
      </c>
      <c r="C445" s="607" t="s">
        <v>2391</v>
      </c>
    </row>
    <row r="446" spans="2:3" x14ac:dyDescent="0.3">
      <c r="B446" t="s">
        <v>1939</v>
      </c>
      <c r="C446" s="608" t="s">
        <v>2328</v>
      </c>
    </row>
    <row r="448" spans="2:3" ht="24.6" x14ac:dyDescent="0.3">
      <c r="B448" s="417" t="s">
        <v>2392</v>
      </c>
    </row>
    <row r="449" spans="2:3" ht="28.8" x14ac:dyDescent="0.3">
      <c r="B449" t="s">
        <v>1288</v>
      </c>
      <c r="C449" s="607" t="s">
        <v>2393</v>
      </c>
    </row>
    <row r="450" spans="2:3" ht="43.2" x14ac:dyDescent="0.3">
      <c r="B450" t="s">
        <v>1930</v>
      </c>
      <c r="C450" s="607" t="s">
        <v>2394</v>
      </c>
    </row>
    <row r="451" spans="2:3" ht="43.2" x14ac:dyDescent="0.3">
      <c r="B451" t="s">
        <v>1438</v>
      </c>
      <c r="C451" s="608" t="s">
        <v>2395</v>
      </c>
    </row>
    <row r="452" spans="2:3" x14ac:dyDescent="0.3">
      <c r="B452" t="s">
        <v>2039</v>
      </c>
      <c r="C452" s="607" t="s">
        <v>2396</v>
      </c>
    </row>
    <row r="453" spans="2:3" ht="28.8" x14ac:dyDescent="0.3">
      <c r="B453" t="s">
        <v>1939</v>
      </c>
      <c r="C453" s="608" t="s">
        <v>2397</v>
      </c>
    </row>
    <row r="455" spans="2:3" ht="36.6" x14ac:dyDescent="0.3">
      <c r="B455" s="417" t="s">
        <v>2410</v>
      </c>
    </row>
    <row r="456" spans="2:3" ht="28.8" x14ac:dyDescent="0.3">
      <c r="B456" t="s">
        <v>1288</v>
      </c>
      <c r="C456" s="607" t="s">
        <v>2443</v>
      </c>
    </row>
    <row r="457" spans="2:3" ht="230.4" x14ac:dyDescent="0.3">
      <c r="B457" t="s">
        <v>1930</v>
      </c>
      <c r="C457" s="607" t="s">
        <v>2458</v>
      </c>
    </row>
    <row r="458" spans="2:3" ht="72" x14ac:dyDescent="0.3">
      <c r="B458" t="s">
        <v>1438</v>
      </c>
      <c r="C458" s="608" t="s">
        <v>2411</v>
      </c>
    </row>
    <row r="459" spans="2:3" ht="43.2" x14ac:dyDescent="0.3">
      <c r="B459" t="s">
        <v>2039</v>
      </c>
      <c r="C459" s="607" t="s">
        <v>2450</v>
      </c>
    </row>
    <row r="460" spans="2:3" ht="43.2" x14ac:dyDescent="0.3">
      <c r="B460" t="s">
        <v>1939</v>
      </c>
      <c r="C460" s="608" t="s">
        <v>2451</v>
      </c>
    </row>
    <row r="462" spans="2:3" ht="36.6" x14ac:dyDescent="0.3">
      <c r="B462" s="417" t="s">
        <v>2414</v>
      </c>
    </row>
    <row r="463" spans="2:3" ht="57.6" x14ac:dyDescent="0.3">
      <c r="B463" t="s">
        <v>1288</v>
      </c>
      <c r="C463" s="607" t="s">
        <v>2415</v>
      </c>
    </row>
    <row r="464" spans="2:3" ht="115.2" x14ac:dyDescent="0.3">
      <c r="B464" t="s">
        <v>1930</v>
      </c>
      <c r="C464" s="607" t="s">
        <v>2452</v>
      </c>
    </row>
    <row r="465" spans="2:3" x14ac:dyDescent="0.3">
      <c r="B465" t="s">
        <v>1438</v>
      </c>
      <c r="C465" s="608" t="s">
        <v>2416</v>
      </c>
    </row>
    <row r="466" spans="2:3" x14ac:dyDescent="0.3">
      <c r="B466" t="s">
        <v>2039</v>
      </c>
      <c r="C466" s="607" t="s">
        <v>2417</v>
      </c>
    </row>
    <row r="467" spans="2:3" ht="28.8" x14ac:dyDescent="0.3">
      <c r="B467" t="s">
        <v>1939</v>
      </c>
      <c r="C467" s="608" t="s">
        <v>2418</v>
      </c>
    </row>
    <row r="469" spans="2:3" ht="24.6" x14ac:dyDescent="0.3">
      <c r="B469" s="417" t="s">
        <v>2459</v>
      </c>
    </row>
    <row r="470" spans="2:3" ht="28.8" x14ac:dyDescent="0.3">
      <c r="B470" t="s">
        <v>1288</v>
      </c>
      <c r="C470" s="607" t="s">
        <v>2460</v>
      </c>
    </row>
    <row r="471" spans="2:3" ht="43.2" x14ac:dyDescent="0.3">
      <c r="B471" t="s">
        <v>2461</v>
      </c>
      <c r="C471" s="607" t="s">
        <v>2462</v>
      </c>
    </row>
    <row r="472" spans="2:3" ht="43.2" x14ac:dyDescent="0.3">
      <c r="B472" t="s">
        <v>2463</v>
      </c>
      <c r="C472" s="608" t="s">
        <v>2464</v>
      </c>
    </row>
    <row r="473" spans="2:3" ht="43.2" x14ac:dyDescent="0.3">
      <c r="B473" t="s">
        <v>2465</v>
      </c>
      <c r="C473" s="607" t="s">
        <v>2466</v>
      </c>
    </row>
    <row r="474" spans="2:3" ht="57.6" x14ac:dyDescent="0.3">
      <c r="B474" t="s">
        <v>1263</v>
      </c>
      <c r="C474" s="608" t="s">
        <v>2467</v>
      </c>
    </row>
    <row r="476" spans="2:3" ht="36.6" x14ac:dyDescent="0.3">
      <c r="B476" s="417" t="s">
        <v>2478</v>
      </c>
    </row>
    <row r="477" spans="2:3" ht="57.6" x14ac:dyDescent="0.3">
      <c r="B477" t="s">
        <v>1288</v>
      </c>
      <c r="C477" s="607" t="s">
        <v>2479</v>
      </c>
    </row>
    <row r="478" spans="2:3" ht="216" x14ac:dyDescent="0.3">
      <c r="B478" t="s">
        <v>1930</v>
      </c>
      <c r="C478" s="607" t="s">
        <v>2480</v>
      </c>
    </row>
    <row r="479" spans="2:3" ht="129.6" x14ac:dyDescent="0.3">
      <c r="B479" t="s">
        <v>1438</v>
      </c>
      <c r="C479" s="607" t="s">
        <v>2481</v>
      </c>
    </row>
    <row r="480" spans="2:3" ht="57.6" x14ac:dyDescent="0.3">
      <c r="B480" t="s">
        <v>2039</v>
      </c>
      <c r="C480" s="607" t="s">
        <v>2482</v>
      </c>
    </row>
    <row r="481" spans="2:3" ht="86.4" x14ac:dyDescent="0.3">
      <c r="B481" t="s">
        <v>1939</v>
      </c>
      <c r="C481" s="607" t="s">
        <v>2483</v>
      </c>
    </row>
    <row r="482" spans="2:3" ht="72" x14ac:dyDescent="0.3">
      <c r="B482" t="s">
        <v>2488</v>
      </c>
      <c r="C482" s="607" t="s">
        <v>2489</v>
      </c>
    </row>
    <row r="484" spans="2:3" ht="48.6" x14ac:dyDescent="0.3">
      <c r="B484" s="417" t="s">
        <v>2559</v>
      </c>
    </row>
    <row r="485" spans="2:3" ht="86.4" x14ac:dyDescent="0.3">
      <c r="B485" t="s">
        <v>1288</v>
      </c>
      <c r="C485" s="633" t="s">
        <v>2560</v>
      </c>
    </row>
    <row r="486" spans="2:3" ht="216" x14ac:dyDescent="0.3">
      <c r="B486" t="s">
        <v>1930</v>
      </c>
      <c r="C486" s="633" t="s">
        <v>2561</v>
      </c>
    </row>
    <row r="487" spans="2:3" ht="144" x14ac:dyDescent="0.3">
      <c r="B487" t="s">
        <v>1438</v>
      </c>
      <c r="C487" s="633" t="s">
        <v>2562</v>
      </c>
    </row>
    <row r="488" spans="2:3" ht="72" x14ac:dyDescent="0.3">
      <c r="B488" t="s">
        <v>2039</v>
      </c>
      <c r="C488" s="633" t="s">
        <v>2563</v>
      </c>
    </row>
    <row r="489" spans="2:3" ht="187.2" x14ac:dyDescent="0.3">
      <c r="B489" t="s">
        <v>1939</v>
      </c>
      <c r="C489" s="633" t="s">
        <v>2568</v>
      </c>
    </row>
    <row r="490" spans="2:3" x14ac:dyDescent="0.3">
      <c r="C490" s="607"/>
    </row>
    <row r="491" spans="2:3" ht="36.6" x14ac:dyDescent="0.3">
      <c r="B491" s="417" t="s">
        <v>2605</v>
      </c>
    </row>
    <row r="492" spans="2:3" ht="28.8" x14ac:dyDescent="0.3">
      <c r="B492" t="s">
        <v>1288</v>
      </c>
      <c r="C492" s="607" t="s">
        <v>2606</v>
      </c>
    </row>
    <row r="493" spans="2:3" ht="100.8" x14ac:dyDescent="0.3">
      <c r="B493" t="s">
        <v>1930</v>
      </c>
      <c r="C493" s="607" t="s">
        <v>2607</v>
      </c>
    </row>
    <row r="494" spans="2:3" ht="28.8" x14ac:dyDescent="0.3">
      <c r="B494" t="s">
        <v>2039</v>
      </c>
      <c r="C494" s="607" t="s">
        <v>2608</v>
      </c>
    </row>
    <row r="496" spans="2:3" ht="24.6" x14ac:dyDescent="0.3">
      <c r="B496" s="417" t="s">
        <v>2609</v>
      </c>
    </row>
    <row r="497" spans="2:3" ht="28.8" x14ac:dyDescent="0.3">
      <c r="B497" t="s">
        <v>1288</v>
      </c>
      <c r="C497" s="607" t="s">
        <v>2610</v>
      </c>
    </row>
    <row r="498" spans="2:3" ht="100.8" x14ac:dyDescent="0.3">
      <c r="B498" t="s">
        <v>1930</v>
      </c>
      <c r="C498" s="607" t="s">
        <v>2611</v>
      </c>
    </row>
    <row r="499" spans="2:3" ht="28.8" x14ac:dyDescent="0.3">
      <c r="B499" t="s">
        <v>2039</v>
      </c>
      <c r="C499" s="607" t="s">
        <v>2612</v>
      </c>
    </row>
    <row r="501" spans="2:3" ht="24.6" x14ac:dyDescent="0.3">
      <c r="B501" s="417" t="s">
        <v>2613</v>
      </c>
    </row>
    <row r="502" spans="2:3" x14ac:dyDescent="0.3">
      <c r="B502" t="s">
        <v>1288</v>
      </c>
      <c r="C502" s="607" t="s">
        <v>2614</v>
      </c>
    </row>
    <row r="503" spans="2:3" ht="43.2" x14ac:dyDescent="0.3">
      <c r="B503" t="s">
        <v>1930</v>
      </c>
      <c r="C503" s="607" t="s">
        <v>2615</v>
      </c>
    </row>
    <row r="504" spans="2:3" ht="28.8" x14ac:dyDescent="0.3">
      <c r="B504" t="s">
        <v>2039</v>
      </c>
      <c r="C504" s="607" t="s">
        <v>2616</v>
      </c>
    </row>
    <row r="506" spans="2:3" ht="24.6" x14ac:dyDescent="0.3">
      <c r="B506" s="417" t="s">
        <v>2627</v>
      </c>
    </row>
    <row r="507" spans="2:3" x14ac:dyDescent="0.3">
      <c r="B507" t="s">
        <v>1288</v>
      </c>
      <c r="C507" s="607" t="s">
        <v>2628</v>
      </c>
    </row>
    <row r="508" spans="2:3" ht="100.8" x14ac:dyDescent="0.3">
      <c r="B508" t="s">
        <v>1930</v>
      </c>
      <c r="C508" s="607" t="s">
        <v>2629</v>
      </c>
    </row>
    <row r="509" spans="2:3" ht="43.2" x14ac:dyDescent="0.3">
      <c r="B509" t="s">
        <v>2039</v>
      </c>
      <c r="C509" s="607" t="s">
        <v>2630</v>
      </c>
    </row>
    <row r="511" spans="2:3" x14ac:dyDescent="0.3">
      <c r="B511" s="417" t="s">
        <v>2642</v>
      </c>
      <c r="C511" t="s">
        <v>2643</v>
      </c>
    </row>
    <row r="512" spans="2:3" x14ac:dyDescent="0.3">
      <c r="B512" t="s">
        <v>2644</v>
      </c>
      <c r="C512" s="608" t="s">
        <v>2645</v>
      </c>
    </row>
    <row r="513" spans="2:3" ht="57.6" x14ac:dyDescent="0.3">
      <c r="B513" t="s">
        <v>1930</v>
      </c>
      <c r="C513" s="607" t="s">
        <v>2646</v>
      </c>
    </row>
    <row r="514" spans="2:3" x14ac:dyDescent="0.3">
      <c r="B514" t="s">
        <v>2647</v>
      </c>
      <c r="C514" s="607" t="s">
        <v>2648</v>
      </c>
    </row>
    <row r="516" spans="2:3" ht="24.6" x14ac:dyDescent="0.3">
      <c r="B516" s="417" t="s">
        <v>2651</v>
      </c>
    </row>
    <row r="517" spans="2:3" ht="43.2" x14ac:dyDescent="0.3">
      <c r="B517" t="s">
        <v>1288</v>
      </c>
      <c r="C517" s="607" t="s">
        <v>2652</v>
      </c>
    </row>
    <row r="518" spans="2:3" ht="43.2" x14ac:dyDescent="0.3">
      <c r="B518" t="s">
        <v>1930</v>
      </c>
      <c r="C518" s="607" t="s">
        <v>2653</v>
      </c>
    </row>
    <row r="519" spans="2:3" ht="28.8" x14ac:dyDescent="0.3">
      <c r="B519" t="s">
        <v>2039</v>
      </c>
      <c r="C519" s="607" t="s">
        <v>2654</v>
      </c>
    </row>
    <row r="521" spans="2:3" ht="24.6" x14ac:dyDescent="0.3">
      <c r="B521" s="417" t="s">
        <v>2657</v>
      </c>
    </row>
    <row r="522" spans="2:3" ht="57.6" x14ac:dyDescent="0.3">
      <c r="B522" t="s">
        <v>1288</v>
      </c>
      <c r="C522" s="607" t="s">
        <v>2658</v>
      </c>
    </row>
    <row r="523" spans="2:3" ht="57.6" x14ac:dyDescent="0.3">
      <c r="B523" t="s">
        <v>1930</v>
      </c>
      <c r="C523" s="607" t="s">
        <v>2659</v>
      </c>
    </row>
    <row r="524" spans="2:3" ht="28.8" x14ac:dyDescent="0.3">
      <c r="B524" t="s">
        <v>2039</v>
      </c>
      <c r="C524" s="607" t="s">
        <v>2660</v>
      </c>
    </row>
    <row r="526" spans="2:3" ht="24" x14ac:dyDescent="0.3">
      <c r="B526" s="336" t="s">
        <v>2709</v>
      </c>
      <c r="C526" s="633"/>
    </row>
    <row r="527" spans="2:3" ht="28.8" x14ac:dyDescent="0.3">
      <c r="B527" s="633" t="s">
        <v>1288</v>
      </c>
      <c r="C527" s="633" t="s">
        <v>2710</v>
      </c>
    </row>
    <row r="528" spans="2:3" ht="72" x14ac:dyDescent="0.3">
      <c r="B528" s="633" t="s">
        <v>1930</v>
      </c>
      <c r="C528" s="633" t="s">
        <v>2711</v>
      </c>
    </row>
    <row r="529" spans="2:3" ht="57.6" x14ac:dyDescent="0.3">
      <c r="B529" s="633" t="s">
        <v>2039</v>
      </c>
      <c r="C529" s="633" t="s">
        <v>2712</v>
      </c>
    </row>
    <row r="530" spans="2:3" x14ac:dyDescent="0.3">
      <c r="B530" s="633"/>
      <c r="C530" s="633"/>
    </row>
    <row r="531" spans="2:3" ht="24" x14ac:dyDescent="0.3">
      <c r="B531" s="336" t="s">
        <v>2713</v>
      </c>
      <c r="C531" s="633"/>
    </row>
    <row r="532" spans="2:3" ht="28.8" x14ac:dyDescent="0.3">
      <c r="B532" s="633" t="s">
        <v>1288</v>
      </c>
      <c r="C532" s="633" t="s">
        <v>2714</v>
      </c>
    </row>
    <row r="533" spans="2:3" ht="28.8" x14ac:dyDescent="0.3">
      <c r="B533" s="633" t="s">
        <v>1930</v>
      </c>
      <c r="C533" s="633" t="s">
        <v>2715</v>
      </c>
    </row>
    <row r="534" spans="2:3" ht="57.6" x14ac:dyDescent="0.3">
      <c r="B534" s="633" t="s">
        <v>2039</v>
      </c>
      <c r="C534" s="633" t="s">
        <v>2716</v>
      </c>
    </row>
    <row r="535" spans="2:3" x14ac:dyDescent="0.3">
      <c r="B535" s="633"/>
      <c r="C535" s="633"/>
    </row>
    <row r="536" spans="2:3" ht="24" x14ac:dyDescent="0.3">
      <c r="B536" s="336" t="s">
        <v>2717</v>
      </c>
      <c r="C536" s="633"/>
    </row>
    <row r="537" spans="2:3" ht="28.8" x14ac:dyDescent="0.3">
      <c r="B537" s="633" t="s">
        <v>1288</v>
      </c>
      <c r="C537" s="633" t="s">
        <v>2672</v>
      </c>
    </row>
    <row r="538" spans="2:3" ht="43.2" x14ac:dyDescent="0.3">
      <c r="B538" s="633" t="s">
        <v>1930</v>
      </c>
      <c r="C538" s="633" t="s">
        <v>2673</v>
      </c>
    </row>
    <row r="539" spans="2:3" ht="28.8" x14ac:dyDescent="0.3">
      <c r="B539" s="633" t="s">
        <v>2039</v>
      </c>
      <c r="C539" s="633" t="s">
        <v>2674</v>
      </c>
    </row>
    <row r="540" spans="2:3" x14ac:dyDescent="0.3">
      <c r="B540" s="633"/>
      <c r="C540" s="633"/>
    </row>
    <row r="541" spans="2:3" ht="24" x14ac:dyDescent="0.3">
      <c r="B541" s="336" t="s">
        <v>2718</v>
      </c>
      <c r="C541" s="633"/>
    </row>
    <row r="542" spans="2:3" ht="28.8" x14ac:dyDescent="0.3">
      <c r="B542" s="633" t="s">
        <v>1288</v>
      </c>
      <c r="C542" s="633" t="s">
        <v>2719</v>
      </c>
    </row>
    <row r="543" spans="2:3" ht="43.2" x14ac:dyDescent="0.3">
      <c r="B543" s="633" t="s">
        <v>1930</v>
      </c>
      <c r="C543" s="633" t="s">
        <v>2677</v>
      </c>
    </row>
    <row r="544" spans="2:3" ht="43.2" x14ac:dyDescent="0.3">
      <c r="B544" s="633" t="s">
        <v>2039</v>
      </c>
      <c r="C544" s="633" t="s">
        <v>2678</v>
      </c>
    </row>
    <row r="545" spans="2:3" x14ac:dyDescent="0.3">
      <c r="B545" s="633"/>
      <c r="C545" s="633"/>
    </row>
    <row r="546" spans="2:3" ht="36" x14ac:dyDescent="0.3">
      <c r="B546" s="336" t="s">
        <v>2720</v>
      </c>
      <c r="C546" s="633"/>
    </row>
    <row r="547" spans="2:3" ht="100.8" x14ac:dyDescent="0.3">
      <c r="B547" s="633" t="s">
        <v>1288</v>
      </c>
      <c r="C547" s="633" t="s">
        <v>2721</v>
      </c>
    </row>
    <row r="548" spans="2:3" ht="86.4" x14ac:dyDescent="0.3">
      <c r="B548" s="633" t="s">
        <v>2722</v>
      </c>
      <c r="C548" s="633" t="s">
        <v>2723</v>
      </c>
    </row>
    <row r="549" spans="2:3" ht="72" x14ac:dyDescent="0.3">
      <c r="B549" s="633" t="s">
        <v>2724</v>
      </c>
      <c r="C549" s="633" t="s">
        <v>2725</v>
      </c>
    </row>
    <row r="550" spans="2:3" ht="28.8" x14ac:dyDescent="0.3">
      <c r="B550" s="633" t="s">
        <v>2726</v>
      </c>
      <c r="C550" s="633" t="s">
        <v>2727</v>
      </c>
    </row>
    <row r="551" spans="2:3" ht="43.2" x14ac:dyDescent="0.3">
      <c r="B551" s="633" t="s">
        <v>2728</v>
      </c>
      <c r="C551" s="633" t="s">
        <v>2729</v>
      </c>
    </row>
    <row r="552" spans="2:3" ht="100.8" x14ac:dyDescent="0.3">
      <c r="B552" s="633" t="s">
        <v>2039</v>
      </c>
      <c r="C552" s="633" t="s">
        <v>2730</v>
      </c>
    </row>
    <row r="554" spans="2:3" ht="36" x14ac:dyDescent="0.3">
      <c r="B554" s="336" t="s">
        <v>2749</v>
      </c>
      <c r="C554" s="633"/>
    </row>
    <row r="555" spans="2:3" ht="28.8" x14ac:dyDescent="0.3">
      <c r="B555" s="633" t="s">
        <v>1288</v>
      </c>
      <c r="C555" s="633" t="s">
        <v>2750</v>
      </c>
    </row>
    <row r="556" spans="2:3" ht="86.4" x14ac:dyDescent="0.3">
      <c r="B556" s="633" t="s">
        <v>1930</v>
      </c>
      <c r="C556" s="633" t="s">
        <v>2751</v>
      </c>
    </row>
    <row r="557" spans="2:3" ht="57.6" x14ac:dyDescent="0.3">
      <c r="B557" s="633" t="s">
        <v>2752</v>
      </c>
      <c r="C557" s="633" t="s">
        <v>2753</v>
      </c>
    </row>
    <row r="558" spans="2:3" ht="86.4" x14ac:dyDescent="0.3">
      <c r="B558" s="633" t="s">
        <v>1438</v>
      </c>
      <c r="C558" s="633" t="s">
        <v>2755</v>
      </c>
    </row>
    <row r="559" spans="2:3" ht="86.4" x14ac:dyDescent="0.3">
      <c r="B559" s="633" t="s">
        <v>2039</v>
      </c>
      <c r="C559" s="633" t="s">
        <v>2754</v>
      </c>
    </row>
    <row r="561" spans="2:3" ht="24" x14ac:dyDescent="0.3">
      <c r="B561" s="336" t="s">
        <v>2781</v>
      </c>
      <c r="C561" s="633"/>
    </row>
    <row r="562" spans="2:3" ht="57.6" x14ac:dyDescent="0.3">
      <c r="B562" s="633" t="s">
        <v>1288</v>
      </c>
      <c r="C562" s="633" t="s">
        <v>2782</v>
      </c>
    </row>
    <row r="563" spans="2:3" ht="57.6" x14ac:dyDescent="0.3">
      <c r="B563" s="633" t="s">
        <v>1930</v>
      </c>
      <c r="C563" s="633" t="s">
        <v>2783</v>
      </c>
    </row>
    <row r="564" spans="2:3" ht="28.8" x14ac:dyDescent="0.3">
      <c r="B564" s="633" t="s">
        <v>2784</v>
      </c>
      <c r="C564" s="633" t="s">
        <v>2785</v>
      </c>
    </row>
    <row r="565" spans="2:3" ht="28.8" x14ac:dyDescent="0.3">
      <c r="B565" s="633" t="s">
        <v>2726</v>
      </c>
      <c r="C565" s="633" t="s">
        <v>2786</v>
      </c>
    </row>
    <row r="566" spans="2:3" ht="57.6" x14ac:dyDescent="0.3">
      <c r="B566" s="633" t="s">
        <v>2039</v>
      </c>
      <c r="C566" s="633" t="s">
        <v>2787</v>
      </c>
    </row>
  </sheetData>
  <mergeCells count="1">
    <mergeCell ref="B4:C4"/>
  </mergeCells>
  <printOptions horizontalCentered="1"/>
  <pageMargins left="0.30000000000000004" right="0.30000000000000004" top="0.41666666666666669" bottom="0.41666666666666669" header="0.3" footer="0.3"/>
  <pageSetup fitToHeight="0" orientation="landscape" verticalDpi="0" r:id="rId1"/>
  <headerFooter>
    <oddHeader>&amp;L&amp;"Calibri,Bold"&amp;11Alphabet (GOOGL) - Handover Note&amp;R&amp;"Calibri,Italic"&amp;9&amp;A</oddHeader>
    <oddFooter>&amp;L&amp;9&amp;Z&amp;F&amp;C&amp;9Page &amp;P of &amp;N&amp;R&amp;9Printed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45</vt:i4>
      </vt:variant>
    </vt:vector>
  </HeadingPairs>
  <TitlesOfParts>
    <vt:vector size="81" baseType="lpstr">
      <vt:lpstr>00 Contents</vt:lpstr>
      <vt:lpstr>01 Income Statement</vt:lpstr>
      <vt:lpstr>02 Quarterly</vt:lpstr>
      <vt:lpstr>03 Segments</vt:lpstr>
      <vt:lpstr>04 Balance Sheet</vt:lpstr>
      <vt:lpstr>05 Capital Structure</vt:lpstr>
      <vt:lpstr>06 Core EPS Bridge</vt:lpstr>
      <vt:lpstr>07 Consensus</vt:lpstr>
      <vt:lpstr>08 PPE and Depreciation</vt:lpstr>
      <vt:lpstr>09 Cash Flow</vt:lpstr>
      <vt:lpstr>10 Guidance and Quotes</vt:lpstr>
      <vt:lpstr>11 Valuation</vt:lpstr>
      <vt:lpstr>12 Peers</vt:lpstr>
      <vt:lpstr>13 EPIC Ranking</vt:lpstr>
      <vt:lpstr>14 Model Cover</vt:lpstr>
      <vt:lpstr>15 Assumptions</vt:lpstr>
      <vt:lpstr>16 Scenarios</vt:lpstr>
      <vt:lpstr>DCF Base Drivers</vt:lpstr>
      <vt:lpstr>DCF Best Drivers</vt:lpstr>
      <vt:lpstr>DCF Worst Drivers</vt:lpstr>
      <vt:lpstr>17 Model</vt:lpstr>
      <vt:lpstr>DCF Base Model</vt:lpstr>
      <vt:lpstr>DCF Best Model</vt:lpstr>
      <vt:lpstr>DCF Worst Model</vt:lpstr>
      <vt:lpstr>18 Balance Sheet</vt:lpstr>
      <vt:lpstr>19 Model Summary</vt:lpstr>
      <vt:lpstr>20 DCF Valuation</vt:lpstr>
      <vt:lpstr>21 Reverse DCF</vt:lpstr>
      <vt:lpstr>22 Earnings Quality</vt:lpstr>
      <vt:lpstr>23 Growth and Mix</vt:lpstr>
      <vt:lpstr>24 Cash and Margins</vt:lpstr>
      <vt:lpstr>25 Peers and Priorities</vt:lpstr>
      <vt:lpstr>26 Pack Audit</vt:lpstr>
      <vt:lpstr>27 Model Audit</vt:lpstr>
      <vt:lpstr>28 Sources</vt:lpstr>
      <vt:lpstr>29 Change Log</vt:lpstr>
      <vt:lpstr>'00 Contents'!Print_Area</vt:lpstr>
      <vt:lpstr>'01 Income Statement'!Print_Area</vt:lpstr>
      <vt:lpstr>'02 Quarterly'!Print_Area</vt:lpstr>
      <vt:lpstr>'03 Segments'!Print_Area</vt:lpstr>
      <vt:lpstr>'04 Balance Sheet'!Print_Area</vt:lpstr>
      <vt:lpstr>'05 Capital Structure'!Print_Area</vt:lpstr>
      <vt:lpstr>'06 Core EPS Bridge'!Print_Area</vt:lpstr>
      <vt:lpstr>'07 Consensus'!Print_Area</vt:lpstr>
      <vt:lpstr>'08 PPE and Depreciation'!Print_Area</vt:lpstr>
      <vt:lpstr>'09 Cash Flow'!Print_Area</vt:lpstr>
      <vt:lpstr>'10 Guidance and Quotes'!Print_Area</vt:lpstr>
      <vt:lpstr>'11 Valuation'!Print_Area</vt:lpstr>
      <vt:lpstr>'12 Peers'!Print_Area</vt:lpstr>
      <vt:lpstr>'13 EPIC Ranking'!Print_Area</vt:lpstr>
      <vt:lpstr>'15 Assumptions'!Print_Area</vt:lpstr>
      <vt:lpstr>'18 Balance Sheet'!Print_Area</vt:lpstr>
      <vt:lpstr>'20 DCF Valuation'!Print_Area</vt:lpstr>
      <vt:lpstr>'22 Earnings Quality'!Print_Area</vt:lpstr>
      <vt:lpstr>'23 Growth and Mix'!Print_Area</vt:lpstr>
      <vt:lpstr>'24 Cash and Margins'!Print_Area</vt:lpstr>
      <vt:lpstr>'25 Peers and Priorities'!Print_Area</vt:lpstr>
      <vt:lpstr>'26 Pack Audit'!Print_Area</vt:lpstr>
      <vt:lpstr>'28 Sources'!Print_Area</vt:lpstr>
      <vt:lpstr>'29 Change Log'!Print_Area</vt:lpstr>
      <vt:lpstr>'00 Contents'!Print_Titles</vt:lpstr>
      <vt:lpstr>'01 Income Statement'!Print_Titles</vt:lpstr>
      <vt:lpstr>'02 Quarterly'!Print_Titles</vt:lpstr>
      <vt:lpstr>'03 Segments'!Print_Titles</vt:lpstr>
      <vt:lpstr>'04 Balance Sheet'!Print_Titles</vt:lpstr>
      <vt:lpstr>'05 Capital Structure'!Print_Titles</vt:lpstr>
      <vt:lpstr>'06 Core EPS Bridge'!Print_Titles</vt:lpstr>
      <vt:lpstr>'07 Consensus'!Print_Titles</vt:lpstr>
      <vt:lpstr>'08 PPE and Depreciation'!Print_Titles</vt:lpstr>
      <vt:lpstr>'09 Cash Flow'!Print_Titles</vt:lpstr>
      <vt:lpstr>'10 Guidance and Quotes'!Print_Titles</vt:lpstr>
      <vt:lpstr>'11 Valuation'!Print_Titles</vt:lpstr>
      <vt:lpstr>'12 Peers'!Print_Titles</vt:lpstr>
      <vt:lpstr>'13 EPIC Ranking'!Print_Titles</vt:lpstr>
      <vt:lpstr>'22 Earnings Quality'!Print_Titles</vt:lpstr>
      <vt:lpstr>'23 Growth and Mix'!Print_Titles</vt:lpstr>
      <vt:lpstr>'24 Cash and Margins'!Print_Titles</vt:lpstr>
      <vt:lpstr>'25 Peers and Priorities'!Print_Titles</vt:lpstr>
      <vt:lpstr>'26 Pack Audit'!Print_Titles</vt:lpstr>
      <vt:lpstr>'28 Sources'!Print_Titles</vt:lpstr>
      <vt:lpstr>'29 Change 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Ahmadi</dc:creator>
  <cp:lastModifiedBy>Mohammad Ahmadi</cp:lastModifiedBy>
  <dcterms:created xsi:type="dcterms:W3CDTF">2026-09-10T20:02:47Z</dcterms:created>
  <dcterms:modified xsi:type="dcterms:W3CDTF">2026-10-19T18:17:07Z</dcterms:modified>
</cp:coreProperties>
</file>